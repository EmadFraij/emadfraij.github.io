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omments6.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اقرأني" sheetId="1" state="visible" r:id="rId3"/>
    <sheet name="سلم التقدير" sheetId="2" state="visible" r:id="rId4"/>
    <sheet name="الإجابات" sheetId="3" state="visible" r:id="rId5"/>
    <sheet name="تصحيحي" sheetId="4" state="visible" r:id="rId6"/>
    <sheet name="تصحيح كلود" sheetId="5" state="visible" r:id="rId7"/>
    <sheet name="الدرجات المرجعية" sheetId="6" state="visible" r:id="rId8"/>
    <sheet name="المقارنة" sheetId="7" state="visible" r:id="rId9"/>
  </sheets>
  <calcPr iterateCount="100" refMode="A1" iterate="false" iterateDelta="0.0001"/>
  <extLst>
    <ext xmlns:loext="http://schemas.libreoffice.org/" uri="{7626C862-2A13-11E5-B345-FEFF819CDC9F}">
      <loext:extCalcPr stringRefSyntax="ExcelA1"/>
    </ext>
  </extLst>
</workbook>
</file>

<file path=xl/comments6.xml><?xml version="1.0" encoding="utf-8"?>
<comments xmlns="http://schemas.openxmlformats.org/spreadsheetml/2006/main" xmlns:xdr="http://schemas.openxmlformats.org/drawingml/2006/spreadsheetDrawing">
  <authors>
    <author>Unknown Author</author>
  </authors>
  <commentList>
    <comment ref="A1" authorId="0">
      <text>
        <r>
          <rPr>
            <sz val="10"/>
            <rFont val="FreeSans"/>
            <family val="2"/>
          </rPr>
          <t xml:space="preserve">لا تفتح هذه الورقة قبل أن تنهي تصحيحك</t>
        </r>
        <r>
          <rPr>
            <sz val="10"/>
            <rFont val="Arial"/>
            <family val="2"/>
          </rPr>
          <t xml:space="preserve">.</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A1" authorId="0">
      <text>
        <r>
          <rPr>
            <sz val="10"/>
            <rFont val="FreeSans"/>
            <family val="2"/>
          </rPr>
          <t xml:space="preserve">الاتفاق يُحسب على مستوى كل درجة جزئية: </t>
        </r>
        <r>
          <rPr>
            <sz val="10"/>
            <rFont val="Arial"/>
            <family val="2"/>
          </rPr>
          <t xml:space="preserve">8 إجابات × 3 معايير = 24 درجة.</t>
        </r>
      </text>
    </comment>
  </commentList>
</comments>
</file>

<file path=xl/sharedStrings.xml><?xml version="1.0" encoding="utf-8"?>
<sst xmlns="http://schemas.openxmlformats.org/spreadsheetml/2006/main" count="100" uniqueCount="62">
  <si>
    <t xml:space="preserve">مشغل الأسبوع 8 — معايرة سلم تقدير تحليلي</t>
  </si>
  <si>
    <t xml:space="preserve">مساق القياس والتقويم التربوي — دبلوم الدراسات العليا المهني في التدريس</t>
  </si>
  <si>
    <t xml:space="preserve">تنبيه: الإجابات الثماني نموذج تدريبي كُتب للمساق، وليست إجابات طلبة حقيقيين.</t>
  </si>
  <si>
    <t xml:space="preserve">السؤال: يقول أحد الطلبة: «يصدأ مسمار الحديد في الماء المالح أسرع منه في الماء المقطّر». صمّم تجربة لاختبار هذه العبارة، وحدّد المتغيرات، ثم فسّر النتيجة التي تتوقعها.</t>
  </si>
  <si>
    <t xml:space="preserve">خطوات العمل:</t>
  </si>
  <si>
    <t xml:space="preserve">1. اقرأ سلم التقدير في ورقة «سلم التقدير».</t>
  </si>
  <si>
    <t xml:space="preserve">2. صحّح الإجابات الثماني في ورقة «تصحيحي» دون النظر إلى ورقة «الدرجات المرجعية».</t>
  </si>
  <si>
    <t xml:space="preserve">3. أدخل درجات كلود في ورقة «تصحيح كلود» بعد أن تطلب منه التصحيح بالسلم نفسه.</t>
  </si>
  <si>
    <t xml:space="preserve">4. افتح ورقة «المقارنة» لترى نسبة اتفاقك مع الدرجات المرجعية، والمعيار الذي تتشدد فيه أو تتساهل.</t>
  </si>
  <si>
    <t xml:space="preserve">الدرجات المرجعية تقديرات أعدّها المساق للتدريب، وليست إجابة نهائية لا تُناقش. الخلاف المبرر جزء من المعايرة.</t>
  </si>
  <si>
    <t xml:space="preserve">المعيار</t>
  </si>
  <si>
    <t xml:space="preserve">0</t>
  </si>
  <si>
    <t xml:space="preserve">1</t>
  </si>
  <si>
    <t xml:space="preserve">2</t>
  </si>
  <si>
    <t xml:space="preserve">3</t>
  </si>
  <si>
    <t xml:space="preserve">المتغيرات والضبط</t>
  </si>
  <si>
    <t xml:space="preserve">لا يحدد أي متغير</t>
  </si>
  <si>
    <t xml:space="preserve">يذكر متغيراً واحداً أو يخلط بين المتغيرات</t>
  </si>
  <si>
    <t xml:space="preserve">يحدد المستقل والتابع، ويضبط ثابتاً واحداً على الأقل</t>
  </si>
  <si>
    <t xml:space="preserve">يحدد المستقل والتابع بدقة، ويضبط ثابتين أو أكثر</t>
  </si>
  <si>
    <t xml:space="preserve">خطوات التجربة وجمع البيانات</t>
  </si>
  <si>
    <t xml:space="preserve">لا خطوات أو خطوات لا تختبر العبارة</t>
  </si>
  <si>
    <t xml:space="preserve">خطوات ناقصة لا يمكن تكرارها</t>
  </si>
  <si>
    <t xml:space="preserve">خطوات قابلة للتنفيذ مع طريقة لملاحظة الصدأ</t>
  </si>
  <si>
    <t xml:space="preserve">خطوات قابلة للتكرار، ومدة محددة، وطريقة واضحة لقياس الصدأ أو مقارنته</t>
  </si>
  <si>
    <t xml:space="preserve">التفسير العلمي</t>
  </si>
  <si>
    <t xml:space="preserve">لا تفسير، أو تفسير لا يتناول أثر الملح، أو تفسير خاطئ</t>
  </si>
  <si>
    <t xml:space="preserve">يتوقع أن الملح يزيد الصدأ دون تفسير علمي للتفاعل</t>
  </si>
  <si>
    <t xml:space="preserve">يربط الصدأ بتفاعل الحديد مع الأكسجين والماء ويذكر أن الملح يسرّعه</t>
  </si>
  <si>
    <t xml:space="preserve">تفسير دقيق يربط تسارع الصدأ بأثر الملح ويقترح كيف تؤكد النتائج ذلك أو تنفيه</t>
  </si>
  <si>
    <t xml:space="preserve">الإجابة</t>
  </si>
  <si>
    <t xml:space="preserve">النص</t>
  </si>
  <si>
    <t xml:space="preserve">ج1</t>
  </si>
  <si>
    <t xml:space="preserve">أضع مسمارين متماثلين في كأسين: الأولى فيها ماء مقطّر والثانية ماء مالح بالكمية نفسها، وأغطي الكأسين وأتركهما في المكان نفسه أسبوعاً. المتغير المستقل نوع الماء، والتابع كمية الصدأ، والثوابت: نوع المسمار وحجم الماء ودرجة الحرارة والمدة. أصوّر المسمارين كل يومين وأقارن مساحة الصدأ. أتوقع صدأً أكثر في الماء المالح لأن الملح يسرّع تفاعل الحديد مع الأكسجين والماء، وإذا ظهر الصدأ متساوياً فالعبارة غير صحيحة.</t>
  </si>
  <si>
    <t xml:space="preserve">ج2</t>
  </si>
  <si>
    <t xml:space="preserve">أضع مسماراً في ماء مالح ومسماراً في ماء عادي بالكمية نفسها وأنتظر. المتغير هو الملح. أنظر بعد أيام أيهما صدئ أكثر. الملح يجعل الحديد يصدأ.</t>
  </si>
  <si>
    <t xml:space="preserve">ج3</t>
  </si>
  <si>
    <t xml:space="preserve">الحديد يصدأ في الماء. أضع مسماراً في الماء المالح وأرى هل يصدأ.</t>
  </si>
  <si>
    <t xml:space="preserve">ج4</t>
  </si>
  <si>
    <t xml:space="preserve">المتغير المستقل: وجود الملح في الماء. التابع: الصدأ. الثوابت: نوع المسامير وكمية الماء. أضع ثلاثة مسامير في ماء مالح وثلاثة في ماء مقطّر لمدة خمسة أيام، ثم أقارن لون المسامير. الصدأ تفاعل بين الحديد والأكسجين بوجود الماء، والملح يسرّعه.</t>
  </si>
  <si>
    <t xml:space="preserve">ج5</t>
  </si>
  <si>
    <t xml:space="preserve">الصدأ لونه بني ويحدث للسيارات القديمة والأبواب. الماء المالح موجود في البحر لذلك السفن تصدأ.</t>
  </si>
  <si>
    <t xml:space="preserve">ج6</t>
  </si>
  <si>
    <t xml:space="preserve">أحضر كأسين متماثلين، وأضع 200 مل ماء مقطّر في الأولى و200 مل ماء مذاب فيه ملعقة ملح في الثانية، وأضع في كل كأس مسماراً جديداً، وأتركهما سبعة أيام في درجة حرارة الغرفة، ثم أزن المسمارين بعد تجفيفهما وأقارن التغير في الكتلة. المتغير هو نوع الماء. أتوقع أن الماء المالح يصدّئ أكثر.</t>
  </si>
  <si>
    <t xml:space="preserve">ج7</t>
  </si>
  <si>
    <t xml:space="preserve">الصدأ تفاعل كيميائي بين الحديد والأكسجين والماء. الملح يزيد سرعة هذا التفاعل، ولذلك تصدأ الأشياء الحديدية قرب البحر أسرع. أتوقع أن العبارة صحيحة.</t>
  </si>
  <si>
    <t xml:space="preserve">ج8</t>
  </si>
  <si>
    <t xml:space="preserve">المستقل: نوع الماء (مالح أو مقطّر). التابع: مقدار الصدأ. الثوابت: نوع المسمار، حجم الماء، المدة، المكان. أضعهما وأراقب. أتوقع صدأً أسرع في الماء المالح، لأن الملح يسرّع تفاعل الحديد مع الأكسجين والماء، ولو كررت التجربة بتركيزين مختلفين من الملح وزاد الصدأ مع التركيز لتأكدت النتيجة أكثر.</t>
  </si>
  <si>
    <t xml:space="preserve">المجموع</t>
  </si>
  <si>
    <t xml:space="preserve">الفرق عن المرجعي</t>
  </si>
  <si>
    <t xml:space="preserve">المقارنة</t>
  </si>
  <si>
    <t xml:space="preserve">عدد الدرجات المُدخلة</t>
  </si>
  <si>
    <t xml:space="preserve">اتفاق تام</t>
  </si>
  <si>
    <t xml:space="preserve">اتفاق تام أو متجاور</t>
  </si>
  <si>
    <t xml:space="preserve">متوسط الفرق: المتغيرات والضبط</t>
  </si>
  <si>
    <t xml:space="preserve">متوسط الفرق: خطوات التجربة وجمع البيانات</t>
  </si>
  <si>
    <t xml:space="preserve">متوسط الفرق: التفسير العلمي</t>
  </si>
  <si>
    <t xml:space="preserve">تصحيحي مقابل المرجعية</t>
  </si>
  <si>
    <t xml:space="preserve">تصحيح كلود مقابل المرجعية</t>
  </si>
  <si>
    <t xml:space="preserve">تصحيحي مقابل تصحيح كلود</t>
  </si>
  <si>
    <t xml:space="preserve">قراءة متوسط الفرق: الموجب يعني أن المصحّح الأول أكثر تساهلاً في هذا المعيار، والسالب أكثر تشدداً.</t>
  </si>
  <si>
    <t xml:space="preserve">الإجابات التي يختلف فيها مجموعك عن المرجعي بدرجتين أو أكثر:</t>
  </si>
</sst>
</file>

<file path=xl/styles.xml><?xml version="1.0" encoding="utf-8"?>
<styleSheet xmlns="http://schemas.openxmlformats.org/spreadsheetml/2006/main">
  <numFmts count="5">
    <numFmt numFmtId="164" formatCode="General"/>
    <numFmt numFmtId="165" formatCode="\+0;\-0;0"/>
    <numFmt numFmtId="166" formatCode="0%"/>
    <numFmt numFmtId="167" formatCode="\+0.00;\-0.00;0.00"/>
    <numFmt numFmtId="168" formatCode="General"/>
  </numFmts>
  <fonts count="11">
    <font>
      <sz val="11"/>
      <color theme="1"/>
      <name val="Calibri"/>
      <family val="2"/>
      <charset val="1"/>
    </font>
    <font>
      <sz val="10"/>
      <name val="Arial"/>
      <family val="0"/>
    </font>
    <font>
      <sz val="10"/>
      <name val="Arial"/>
      <family val="0"/>
    </font>
    <font>
      <sz val="10"/>
      <name val="Arial"/>
      <family val="0"/>
    </font>
    <font>
      <b val="true"/>
      <sz val="13"/>
      <color rgb="FF1F4E79"/>
      <name val="IBM Plex Sans Arabic"/>
      <family val="0"/>
      <charset val="1"/>
    </font>
    <font>
      <sz val="11"/>
      <name val="IBM Plex Sans Arabic"/>
      <family val="0"/>
      <charset val="1"/>
    </font>
    <font>
      <b val="true"/>
      <sz val="11"/>
      <name val="IBM Plex Sans Arabic"/>
      <family val="0"/>
      <charset val="1"/>
    </font>
    <font>
      <b val="true"/>
      <sz val="11"/>
      <color rgb="FFFFFFFF"/>
      <name val="IBM Plex Sans Arabic"/>
      <family val="0"/>
      <charset val="1"/>
    </font>
    <font>
      <sz val="10"/>
      <name val="FreeSans"/>
      <family val="2"/>
    </font>
    <font>
      <sz val="10"/>
      <name val="Arial"/>
      <family val="2"/>
    </font>
    <font>
      <sz val="11"/>
      <color rgb="FF595959"/>
      <name val="IBM Plex Sans Arabic"/>
      <family val="0"/>
      <charset val="1"/>
    </font>
  </fonts>
  <fills count="4">
    <fill>
      <patternFill patternType="none"/>
    </fill>
    <fill>
      <patternFill patternType="gray125"/>
    </fill>
    <fill>
      <patternFill patternType="solid">
        <fgColor rgb="FF1F4E79"/>
        <bgColor rgb="FF003366"/>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right"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5" fontId="0" fillId="0" borderId="1" xfId="0" applyFont="false" applyBorder="true" applyAlignment="true" applyProtection="false">
      <alignment horizontal="center" vertical="center" textRotation="0" wrapText="true" indent="0" shrinkToFit="false"/>
      <protection locked="true" hidden="false"/>
    </xf>
    <xf numFmtId="166" fontId="5" fillId="0" borderId="1" xfId="0" applyFont="true" applyBorder="true" applyAlignment="true" applyProtection="false">
      <alignment horizontal="center" vertical="center" textRotation="0" wrapText="true" indent="0" shrinkToFit="false"/>
      <protection locked="true" hidden="false"/>
    </xf>
    <xf numFmtId="167" fontId="5" fillId="0"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1.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5"/>
  </cols>
  <sheetData>
    <row r="1" customFormat="false" ht="20.1"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7.9" hidden="false" customHeight="false" outlineLevel="0" collapsed="false">
      <c r="A4" s="3" t="s">
        <v>2</v>
      </c>
    </row>
    <row r="5" customFormat="false" ht="17.9" hidden="false" customHeight="false" outlineLevel="0" collapsed="false">
      <c r="A5" s="2" t="s">
        <v>3</v>
      </c>
    </row>
    <row r="6" customFormat="false" ht="15" hidden="false" customHeight="false" outlineLevel="0" collapsed="false">
      <c r="A6" s="2"/>
    </row>
    <row r="7" customFormat="false" ht="17.9" hidden="false" customHeight="false" outlineLevel="0" collapsed="false">
      <c r="A7" s="3" t="s">
        <v>4</v>
      </c>
    </row>
    <row r="8" customFormat="false" ht="17.9" hidden="false" customHeight="false" outlineLevel="0" collapsed="false">
      <c r="A8" s="2" t="s">
        <v>5</v>
      </c>
    </row>
    <row r="9" customFormat="false" ht="17.9" hidden="false" customHeight="false" outlineLevel="0" collapsed="false">
      <c r="A9" s="2" t="s">
        <v>6</v>
      </c>
    </row>
    <row r="10" customFormat="false" ht="17.9" hidden="false" customHeight="false" outlineLevel="0" collapsed="false">
      <c r="A10" s="2" t="s">
        <v>7</v>
      </c>
    </row>
    <row r="11" customFormat="false" ht="17.9" hidden="false" customHeight="false" outlineLevel="0" collapsed="false">
      <c r="A11" s="2" t="s">
        <v>8</v>
      </c>
    </row>
    <row r="12" customFormat="false" ht="15" hidden="false" customHeight="false" outlineLevel="0" collapsed="false">
      <c r="A12" s="2"/>
    </row>
    <row r="13" customFormat="false" ht="17.9" hidden="false" customHeight="false" outlineLevel="0" collapsed="false">
      <c r="A13" s="3"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5" min="2" style="0" width="34"/>
  </cols>
  <sheetData>
    <row r="1" customFormat="false" ht="17.9" hidden="false" customHeight="false" outlineLevel="0" collapsed="false">
      <c r="A1" s="4" t="s">
        <v>10</v>
      </c>
      <c r="B1" s="4" t="s">
        <v>11</v>
      </c>
      <c r="C1" s="4" t="s">
        <v>12</v>
      </c>
      <c r="D1" s="4" t="s">
        <v>13</v>
      </c>
      <c r="E1" s="4" t="s">
        <v>14</v>
      </c>
    </row>
    <row r="2" customFormat="false" ht="60" hidden="false" customHeight="true" outlineLevel="0" collapsed="false">
      <c r="A2" s="5" t="s">
        <v>15</v>
      </c>
      <c r="B2" s="5" t="s">
        <v>16</v>
      </c>
      <c r="C2" s="5" t="s">
        <v>17</v>
      </c>
      <c r="D2" s="5" t="s">
        <v>18</v>
      </c>
      <c r="E2" s="5" t="s">
        <v>19</v>
      </c>
    </row>
    <row r="3" customFormat="false" ht="60" hidden="false" customHeight="true" outlineLevel="0" collapsed="false">
      <c r="A3" s="5" t="s">
        <v>20</v>
      </c>
      <c r="B3" s="5" t="s">
        <v>21</v>
      </c>
      <c r="C3" s="5" t="s">
        <v>22</v>
      </c>
      <c r="D3" s="5" t="s">
        <v>23</v>
      </c>
      <c r="E3" s="5" t="s">
        <v>24</v>
      </c>
    </row>
    <row r="4" customFormat="false" ht="60" hidden="false" customHeight="true" outlineLevel="0" collapsed="false">
      <c r="A4" s="5" t="s">
        <v>25</v>
      </c>
      <c r="B4" s="5" t="s">
        <v>26</v>
      </c>
      <c r="C4" s="5" t="s">
        <v>27</v>
      </c>
      <c r="D4" s="5" t="s">
        <v>28</v>
      </c>
      <c r="E4" s="5" t="s">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10"/>
  </cols>
  <sheetData>
    <row r="1" customFormat="false" ht="17.9" hidden="false" customHeight="false" outlineLevel="0" collapsed="false">
      <c r="A1" s="4" t="s">
        <v>30</v>
      </c>
      <c r="B1" s="4" t="s">
        <v>31</v>
      </c>
    </row>
    <row r="2" customFormat="false" ht="75" hidden="false" customHeight="true" outlineLevel="0" collapsed="false">
      <c r="A2" s="5" t="s">
        <v>32</v>
      </c>
      <c r="B2" s="5" t="s">
        <v>33</v>
      </c>
    </row>
    <row r="3" customFormat="false" ht="75" hidden="false" customHeight="true" outlineLevel="0" collapsed="false">
      <c r="A3" s="5" t="s">
        <v>34</v>
      </c>
      <c r="B3" s="5" t="s">
        <v>35</v>
      </c>
    </row>
    <row r="4" customFormat="false" ht="75" hidden="false" customHeight="true" outlineLevel="0" collapsed="false">
      <c r="A4" s="5" t="s">
        <v>36</v>
      </c>
      <c r="B4" s="5" t="s">
        <v>37</v>
      </c>
    </row>
    <row r="5" customFormat="false" ht="75" hidden="false" customHeight="true" outlineLevel="0" collapsed="false">
      <c r="A5" s="5" t="s">
        <v>38</v>
      </c>
      <c r="B5" s="5" t="s">
        <v>39</v>
      </c>
    </row>
    <row r="6" customFormat="false" ht="75" hidden="false" customHeight="true" outlineLevel="0" collapsed="false">
      <c r="A6" s="5" t="s">
        <v>40</v>
      </c>
      <c r="B6" s="5" t="s">
        <v>41</v>
      </c>
    </row>
    <row r="7" customFormat="false" ht="75" hidden="false" customHeight="true" outlineLevel="0" collapsed="false">
      <c r="A7" s="5" t="s">
        <v>42</v>
      </c>
      <c r="B7" s="5" t="s">
        <v>43</v>
      </c>
    </row>
    <row r="8" customFormat="false" ht="75" hidden="false" customHeight="true" outlineLevel="0" collapsed="false">
      <c r="A8" s="5" t="s">
        <v>44</v>
      </c>
      <c r="B8" s="5" t="s">
        <v>45</v>
      </c>
    </row>
    <row r="9" customFormat="false" ht="75" hidden="false" customHeight="true" outlineLevel="0" collapsed="false">
      <c r="A9" s="5" t="s">
        <v>46</v>
      </c>
      <c r="B9" s="5" t="s">
        <v>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28"/>
    <col collapsed="false" customWidth="true" hidden="false" outlineLevel="0" max="4" min="4" style="0" width="18"/>
    <col collapsed="false" customWidth="true" hidden="false" outlineLevel="0" max="5" min="5" style="0" width="10"/>
    <col collapsed="false" customWidth="true" hidden="false" outlineLevel="0" max="6" min="6" style="0" width="16"/>
  </cols>
  <sheetData>
    <row r="1" customFormat="false" ht="17.9" hidden="false" customHeight="false" outlineLevel="0" collapsed="false">
      <c r="A1" s="4" t="s">
        <v>30</v>
      </c>
      <c r="B1" s="4" t="s">
        <v>15</v>
      </c>
      <c r="C1" s="4" t="s">
        <v>20</v>
      </c>
      <c r="D1" s="4" t="s">
        <v>25</v>
      </c>
      <c r="E1" s="4" t="s">
        <v>48</v>
      </c>
      <c r="F1" s="4" t="s">
        <v>49</v>
      </c>
    </row>
    <row r="2" customFormat="false" ht="17.9" hidden="false" customHeight="false" outlineLevel="0" collapsed="false">
      <c r="A2" s="6" t="s">
        <v>32</v>
      </c>
      <c r="B2" s="7"/>
      <c r="C2" s="7"/>
      <c r="D2" s="7"/>
      <c r="E2" s="6" t="str">
        <f aca="false">IF(COUNT(B2:D2)=0,"",SUM(B2:D2))</f>
        <v/>
      </c>
      <c r="F2" s="8" t="str">
        <f aca="false">IF(E2="","",E2-'الدرجات المرجعية'!E2)</f>
        <v/>
      </c>
    </row>
    <row r="3" customFormat="false" ht="17.9" hidden="false" customHeight="false" outlineLevel="0" collapsed="false">
      <c r="A3" s="6" t="s">
        <v>34</v>
      </c>
      <c r="B3" s="7"/>
      <c r="C3" s="7"/>
      <c r="D3" s="7"/>
      <c r="E3" s="6" t="str">
        <f aca="false">IF(COUNT(B3:D3)=0,"",SUM(B3:D3))</f>
        <v/>
      </c>
      <c r="F3" s="8" t="str">
        <f aca="false">IF(E3="","",E3-'الدرجات المرجعية'!E3)</f>
        <v/>
      </c>
    </row>
    <row r="4" customFormat="false" ht="17.9" hidden="false" customHeight="false" outlineLevel="0" collapsed="false">
      <c r="A4" s="6" t="s">
        <v>36</v>
      </c>
      <c r="B4" s="7"/>
      <c r="C4" s="7"/>
      <c r="D4" s="7"/>
      <c r="E4" s="6" t="str">
        <f aca="false">IF(COUNT(B4:D4)=0,"",SUM(B4:D4))</f>
        <v/>
      </c>
      <c r="F4" s="8" t="str">
        <f aca="false">IF(E4="","",E4-'الدرجات المرجعية'!E4)</f>
        <v/>
      </c>
    </row>
    <row r="5" customFormat="false" ht="17.9" hidden="false" customHeight="false" outlineLevel="0" collapsed="false">
      <c r="A5" s="6" t="s">
        <v>38</v>
      </c>
      <c r="B5" s="7"/>
      <c r="C5" s="7"/>
      <c r="D5" s="7"/>
      <c r="E5" s="6" t="str">
        <f aca="false">IF(COUNT(B5:D5)=0,"",SUM(B5:D5))</f>
        <v/>
      </c>
      <c r="F5" s="8" t="str">
        <f aca="false">IF(E5="","",E5-'الدرجات المرجعية'!E5)</f>
        <v/>
      </c>
    </row>
    <row r="6" customFormat="false" ht="17.9" hidden="false" customHeight="false" outlineLevel="0" collapsed="false">
      <c r="A6" s="6" t="s">
        <v>40</v>
      </c>
      <c r="B6" s="7"/>
      <c r="C6" s="7"/>
      <c r="D6" s="7"/>
      <c r="E6" s="6" t="str">
        <f aca="false">IF(COUNT(B6:D6)=0,"",SUM(B6:D6))</f>
        <v/>
      </c>
      <c r="F6" s="8" t="str">
        <f aca="false">IF(E6="","",E6-'الدرجات المرجعية'!E6)</f>
        <v/>
      </c>
    </row>
    <row r="7" customFormat="false" ht="17.9" hidden="false" customHeight="false" outlineLevel="0" collapsed="false">
      <c r="A7" s="6" t="s">
        <v>42</v>
      </c>
      <c r="B7" s="7"/>
      <c r="C7" s="7"/>
      <c r="D7" s="7"/>
      <c r="E7" s="6" t="str">
        <f aca="false">IF(COUNT(B7:D7)=0,"",SUM(B7:D7))</f>
        <v/>
      </c>
      <c r="F7" s="8" t="str">
        <f aca="false">IF(E7="","",E7-'الدرجات المرجعية'!E7)</f>
        <v/>
      </c>
    </row>
    <row r="8" customFormat="false" ht="17.9" hidden="false" customHeight="false" outlineLevel="0" collapsed="false">
      <c r="A8" s="6" t="s">
        <v>44</v>
      </c>
      <c r="B8" s="7"/>
      <c r="C8" s="7"/>
      <c r="D8" s="7"/>
      <c r="E8" s="6" t="str">
        <f aca="false">IF(COUNT(B8:D8)=0,"",SUM(B8:D8))</f>
        <v/>
      </c>
      <c r="F8" s="8" t="str">
        <f aca="false">IF(E8="","",E8-'الدرجات المرجعية'!E8)</f>
        <v/>
      </c>
    </row>
    <row r="9" customFormat="false" ht="17.9" hidden="false" customHeight="false" outlineLevel="0" collapsed="false">
      <c r="A9" s="6" t="s">
        <v>46</v>
      </c>
      <c r="B9" s="7"/>
      <c r="C9" s="7"/>
      <c r="D9" s="7"/>
      <c r="E9" s="6" t="str">
        <f aca="false">IF(COUNT(B9:D9)=0,"",SUM(B9:D9))</f>
        <v/>
      </c>
      <c r="F9" s="8" t="str">
        <f aca="false">IF(E9="","",E9-'الدرجات المرجعية'!E9)</f>
        <v/>
      </c>
    </row>
  </sheetData>
  <dataValidations count="1">
    <dataValidation allowBlank="true" error="الدرجة من 0 إلى 3" errorStyle="stop" errorTitle="قيمة غير مقبولة" operator="between" showDropDown="false" showErrorMessage="false" showInputMessage="false" sqref="B2:D9" type="whole">
      <formula1>0</formula1>
      <formula2>3</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28"/>
    <col collapsed="false" customWidth="true" hidden="false" outlineLevel="0" max="4" min="4" style="0" width="18"/>
    <col collapsed="false" customWidth="true" hidden="false" outlineLevel="0" max="5" min="5" style="0" width="10"/>
  </cols>
  <sheetData>
    <row r="1" customFormat="false" ht="17.9" hidden="false" customHeight="false" outlineLevel="0" collapsed="false">
      <c r="A1" s="4" t="s">
        <v>30</v>
      </c>
      <c r="B1" s="4" t="s">
        <v>15</v>
      </c>
      <c r="C1" s="4" t="s">
        <v>20</v>
      </c>
      <c r="D1" s="4" t="s">
        <v>25</v>
      </c>
      <c r="E1" s="4" t="s">
        <v>48</v>
      </c>
    </row>
    <row r="2" customFormat="false" ht="17.9" hidden="false" customHeight="false" outlineLevel="0" collapsed="false">
      <c r="A2" s="6" t="s">
        <v>32</v>
      </c>
      <c r="B2" s="7"/>
      <c r="C2" s="7"/>
      <c r="D2" s="7"/>
      <c r="E2" s="6" t="str">
        <f aca="false">IF(COUNT(B2:D2)=0,"",SUM(B2:D2))</f>
        <v/>
      </c>
    </row>
    <row r="3" customFormat="false" ht="17.9" hidden="false" customHeight="false" outlineLevel="0" collapsed="false">
      <c r="A3" s="6" t="s">
        <v>34</v>
      </c>
      <c r="B3" s="7"/>
      <c r="C3" s="7"/>
      <c r="D3" s="7"/>
      <c r="E3" s="6" t="str">
        <f aca="false">IF(COUNT(B3:D3)=0,"",SUM(B3:D3))</f>
        <v/>
      </c>
    </row>
    <row r="4" customFormat="false" ht="17.9" hidden="false" customHeight="false" outlineLevel="0" collapsed="false">
      <c r="A4" s="6" t="s">
        <v>36</v>
      </c>
      <c r="B4" s="7"/>
      <c r="C4" s="7"/>
      <c r="D4" s="7"/>
      <c r="E4" s="6" t="str">
        <f aca="false">IF(COUNT(B4:D4)=0,"",SUM(B4:D4))</f>
        <v/>
      </c>
    </row>
    <row r="5" customFormat="false" ht="17.9" hidden="false" customHeight="false" outlineLevel="0" collapsed="false">
      <c r="A5" s="6" t="s">
        <v>38</v>
      </c>
      <c r="B5" s="7"/>
      <c r="C5" s="7"/>
      <c r="D5" s="7"/>
      <c r="E5" s="6" t="str">
        <f aca="false">IF(COUNT(B5:D5)=0,"",SUM(B5:D5))</f>
        <v/>
      </c>
    </row>
    <row r="6" customFormat="false" ht="17.9" hidden="false" customHeight="false" outlineLevel="0" collapsed="false">
      <c r="A6" s="6" t="s">
        <v>40</v>
      </c>
      <c r="B6" s="7"/>
      <c r="C6" s="7"/>
      <c r="D6" s="7"/>
      <c r="E6" s="6" t="str">
        <f aca="false">IF(COUNT(B6:D6)=0,"",SUM(B6:D6))</f>
        <v/>
      </c>
    </row>
    <row r="7" customFormat="false" ht="17.9" hidden="false" customHeight="false" outlineLevel="0" collapsed="false">
      <c r="A7" s="6" t="s">
        <v>42</v>
      </c>
      <c r="B7" s="7"/>
      <c r="C7" s="7"/>
      <c r="D7" s="7"/>
      <c r="E7" s="6" t="str">
        <f aca="false">IF(COUNT(B7:D7)=0,"",SUM(B7:D7))</f>
        <v/>
      </c>
    </row>
    <row r="8" customFormat="false" ht="17.9" hidden="false" customHeight="false" outlineLevel="0" collapsed="false">
      <c r="A8" s="6" t="s">
        <v>44</v>
      </c>
      <c r="B8" s="7"/>
      <c r="C8" s="7"/>
      <c r="D8" s="7"/>
      <c r="E8" s="6" t="str">
        <f aca="false">IF(COUNT(B8:D8)=0,"",SUM(B8:D8))</f>
        <v/>
      </c>
    </row>
    <row r="9" customFormat="false" ht="17.9" hidden="false" customHeight="false" outlineLevel="0" collapsed="false">
      <c r="A9" s="6" t="s">
        <v>46</v>
      </c>
      <c r="B9" s="7"/>
      <c r="C9" s="7"/>
      <c r="D9" s="7"/>
      <c r="E9" s="6" t="str">
        <f aca="false">IF(COUNT(B9:D9)=0,"",SUM(B9:D9))</f>
        <v/>
      </c>
    </row>
  </sheetData>
  <dataValidations count="1">
    <dataValidation allowBlank="true" error="الدرجة من 0 إلى 3" errorStyle="stop" errorTitle="قيمة غير مقبولة" operator="between" showDropDown="false" showErrorMessage="false" showInputMessage="false" sqref="B2:D9" type="whole">
      <formula1>0</formula1>
      <formula2>3</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28"/>
    <col collapsed="false" customWidth="true" hidden="false" outlineLevel="0" max="4" min="4" style="0" width="18"/>
    <col collapsed="false" customWidth="true" hidden="false" outlineLevel="0" max="5" min="5" style="0" width="10"/>
  </cols>
  <sheetData>
    <row r="1" customFormat="false" ht="17.9" hidden="false" customHeight="false" outlineLevel="0" collapsed="false">
      <c r="A1" s="4" t="s">
        <v>30</v>
      </c>
      <c r="B1" s="4" t="s">
        <v>15</v>
      </c>
      <c r="C1" s="4" t="s">
        <v>20</v>
      </c>
      <c r="D1" s="4" t="s">
        <v>25</v>
      </c>
      <c r="E1" s="4" t="s">
        <v>48</v>
      </c>
    </row>
    <row r="2" customFormat="false" ht="17.9" hidden="false" customHeight="false" outlineLevel="0" collapsed="false">
      <c r="A2" s="6" t="s">
        <v>32</v>
      </c>
      <c r="B2" s="6" t="n">
        <v>3</v>
      </c>
      <c r="C2" s="6" t="n">
        <v>3</v>
      </c>
      <c r="D2" s="6" t="n">
        <v>3</v>
      </c>
      <c r="E2" s="6" t="n">
        <f aca="false">IF(COUNT(B2:D2)=0,"",SUM(B2:D2))</f>
        <v>9</v>
      </c>
    </row>
    <row r="3" customFormat="false" ht="17.9" hidden="false" customHeight="false" outlineLevel="0" collapsed="false">
      <c r="A3" s="6" t="s">
        <v>34</v>
      </c>
      <c r="B3" s="6" t="n">
        <v>2</v>
      </c>
      <c r="C3" s="6" t="n">
        <v>1</v>
      </c>
      <c r="D3" s="6" t="n">
        <v>1</v>
      </c>
      <c r="E3" s="6" t="n">
        <f aca="false">IF(COUNT(B3:D3)=0,"",SUM(B3:D3))</f>
        <v>4</v>
      </c>
    </row>
    <row r="4" customFormat="false" ht="17.9" hidden="false" customHeight="false" outlineLevel="0" collapsed="false">
      <c r="A4" s="6" t="s">
        <v>36</v>
      </c>
      <c r="B4" s="6" t="n">
        <v>1</v>
      </c>
      <c r="C4" s="6" t="n">
        <v>1</v>
      </c>
      <c r="D4" s="6" t="n">
        <v>0</v>
      </c>
      <c r="E4" s="6" t="n">
        <f aca="false">IF(COUNT(B4:D4)=0,"",SUM(B4:D4))</f>
        <v>2</v>
      </c>
    </row>
    <row r="5" customFormat="false" ht="17.9" hidden="false" customHeight="false" outlineLevel="0" collapsed="false">
      <c r="A5" s="6" t="s">
        <v>38</v>
      </c>
      <c r="B5" s="6" t="n">
        <v>3</v>
      </c>
      <c r="C5" s="6" t="n">
        <v>2</v>
      </c>
      <c r="D5" s="6" t="n">
        <v>2</v>
      </c>
      <c r="E5" s="6" t="n">
        <f aca="false">IF(COUNT(B5:D5)=0,"",SUM(B5:D5))</f>
        <v>7</v>
      </c>
    </row>
    <row r="6" customFormat="false" ht="17.9" hidden="false" customHeight="false" outlineLevel="0" collapsed="false">
      <c r="A6" s="6" t="s">
        <v>40</v>
      </c>
      <c r="B6" s="6" t="n">
        <v>0</v>
      </c>
      <c r="C6" s="6" t="n">
        <v>0</v>
      </c>
      <c r="D6" s="6" t="n">
        <v>1</v>
      </c>
      <c r="E6" s="6" t="n">
        <f aca="false">IF(COUNT(B6:D6)=0,"",SUM(B6:D6))</f>
        <v>1</v>
      </c>
    </row>
    <row r="7" customFormat="false" ht="17.9" hidden="false" customHeight="false" outlineLevel="0" collapsed="false">
      <c r="A7" s="6" t="s">
        <v>42</v>
      </c>
      <c r="B7" s="6" t="n">
        <v>2</v>
      </c>
      <c r="C7" s="6" t="n">
        <v>3</v>
      </c>
      <c r="D7" s="6" t="n">
        <v>1</v>
      </c>
      <c r="E7" s="6" t="n">
        <f aca="false">IF(COUNT(B7:D7)=0,"",SUM(B7:D7))</f>
        <v>6</v>
      </c>
    </row>
    <row r="8" customFormat="false" ht="17.9" hidden="false" customHeight="false" outlineLevel="0" collapsed="false">
      <c r="A8" s="6" t="s">
        <v>44</v>
      </c>
      <c r="B8" s="6" t="n">
        <v>0</v>
      </c>
      <c r="C8" s="6" t="n">
        <v>0</v>
      </c>
      <c r="D8" s="6" t="n">
        <v>2</v>
      </c>
      <c r="E8" s="6" t="n">
        <f aca="false">IF(COUNT(B8:D8)=0,"",SUM(B8:D8))</f>
        <v>2</v>
      </c>
    </row>
    <row r="9" customFormat="false" ht="17.9" hidden="false" customHeight="false" outlineLevel="0" collapsed="false">
      <c r="A9" s="6" t="s">
        <v>46</v>
      </c>
      <c r="B9" s="6" t="n">
        <v>3</v>
      </c>
      <c r="C9" s="6" t="n">
        <v>1</v>
      </c>
      <c r="D9" s="6" t="n">
        <v>3</v>
      </c>
      <c r="E9" s="6" t="n">
        <f aca="false">IF(COUNT(B9:D9)=0,"",SUM(B9:D9))</f>
        <v>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7" min="2" style="0" width="20"/>
  </cols>
  <sheetData>
    <row r="1" customFormat="false" ht="34.3" hidden="false" customHeight="false" outlineLevel="0" collapsed="false">
      <c r="A1" s="4" t="s">
        <v>50</v>
      </c>
      <c r="B1" s="4" t="s">
        <v>51</v>
      </c>
      <c r="C1" s="4" t="s">
        <v>52</v>
      </c>
      <c r="D1" s="4" t="s">
        <v>53</v>
      </c>
      <c r="E1" s="4" t="s">
        <v>54</v>
      </c>
      <c r="F1" s="4" t="s">
        <v>55</v>
      </c>
      <c r="G1" s="4" t="s">
        <v>56</v>
      </c>
    </row>
    <row r="2" customFormat="false" ht="17.9" hidden="false" customHeight="false" outlineLevel="0" collapsed="false">
      <c r="A2" s="6" t="s">
        <v>57</v>
      </c>
      <c r="B2" s="6" t="n">
        <f aca="false">SUMPRODUCT(ISNUMBER(تصحيحي!$B$2:$D$9)*ISNUMBER('الدرجات المرجعية'!$B$2:$D$9))</f>
        <v>0</v>
      </c>
      <c r="C2" s="9" t="str">
        <f aca="false">IF(B2=0,"",SUMPRODUCT(ISNUMBER(تصحيحي!$B$2:$D$9)*ISNUMBER('الدرجات المرجعية'!$B$2:$D$9)*(تصحيحي!$B$2:$D$9='الدرجات المرجعية'!$B$2:$D$9))/SUMPRODUCT(ISNUMBER(تصحيحي!$B$2:$D$9)*ISNUMBER('الدرجات المرجعية'!$B$2:$D$9)))</f>
        <v/>
      </c>
      <c r="D2" s="9" t="str">
        <f aca="false">IF(B2=0,"",SUMPRODUCT(ISNUMBER(تصحيحي!$B$2:$D$9)*ISNUMBER('الدرجات المرجعية'!$B$2:$D$9)*(ABS(تصحيحي!$B$2:$D$9-'الدرجات المرجعية'!$B$2:$D$9)&lt;=1))/SUMPRODUCT(ISNUMBER(تصحيحي!$B$2:$D$9)*ISNUMBER('الدرجات المرجعية'!$B$2:$D$9)))</f>
        <v/>
      </c>
      <c r="E2" s="10" t="str">
        <f aca="false">IF(SUMPRODUCT(ISNUMBER(تصحيحي!$B$2:$B$9)*ISNUMBER('الدرجات المرجعية'!$B$2:$B$9))=0,"",SUMPRODUCT(ISNUMBER(تصحيحي!$B$2:$B$9)*ISNUMBER('الدرجات المرجعية'!$B$2:$B$9)*(تصحيحي!$B$2:$B$9-'الدرجات المرجعية'!$B$2:$B$9))/SUMPRODUCT(ISNUMBER(تصحيحي!$B$2:$B$9)*ISNUMBER('الدرجات المرجعية'!$B$2:$B$9)))</f>
        <v/>
      </c>
      <c r="F2" s="10" t="str">
        <f aca="false">IF(SUMPRODUCT(ISNUMBER(تصحيحي!$C$2:$C$9)*ISNUMBER('الدرجات المرجعية'!$C$2:$C$9))=0,"",SUMPRODUCT(ISNUMBER(تصحيحي!$C$2:$C$9)*ISNUMBER('الدرجات المرجعية'!$C$2:$C$9)*(تصحيحي!$C$2:$C$9-'الدرجات المرجعية'!$C$2:$C$9))/SUMPRODUCT(ISNUMBER(تصحيحي!$C$2:$C$9)*ISNUMBER('الدرجات المرجعية'!$C$2:$C$9)))</f>
        <v/>
      </c>
      <c r="G2" s="10" t="str">
        <f aca="false">IF(SUMPRODUCT(ISNUMBER(تصحيحي!$D$2:$D$9)*ISNUMBER('الدرجات المرجعية'!$D$2:$D$9))=0,"",SUMPRODUCT(ISNUMBER(تصحيحي!$D$2:$D$9)*ISNUMBER('الدرجات المرجعية'!$D$2:$D$9)*(تصحيحي!$D$2:$D$9-'الدرجات المرجعية'!$D$2:$D$9))/SUMPRODUCT(ISNUMBER(تصحيحي!$D$2:$D$9)*ISNUMBER('الدرجات المرجعية'!$D$2:$D$9)))</f>
        <v/>
      </c>
    </row>
    <row r="3" customFormat="false" ht="17.9" hidden="false" customHeight="false" outlineLevel="0" collapsed="false">
      <c r="A3" s="6" t="s">
        <v>58</v>
      </c>
      <c r="B3" s="6" t="n">
        <f aca="false">SUMPRODUCT(ISNUMBER('تصحيح كلود'!$B$2:$D$9)*ISNUMBER('الدرجات المرجعية'!$B$2:$D$9))</f>
        <v>0</v>
      </c>
      <c r="C3" s="9" t="str">
        <f aca="false">IF(B3=0,"",SUMPRODUCT(ISNUMBER('تصحيح كلود'!$B$2:$D$9)*ISNUMBER('الدرجات المرجعية'!$B$2:$D$9)*('تصحيح كلود'!$B$2:$D$9='الدرجات المرجعية'!$B$2:$D$9))/SUMPRODUCT(ISNUMBER('تصحيح كلود'!$B$2:$D$9)*ISNUMBER('الدرجات المرجعية'!$B$2:$D$9)))</f>
        <v/>
      </c>
      <c r="D3" s="9" t="str">
        <f aca="false">IF(B3=0,"",SUMPRODUCT(ISNUMBER('تصحيح كلود'!$B$2:$D$9)*ISNUMBER('الدرجات المرجعية'!$B$2:$D$9)*(ABS('تصحيح كلود'!$B$2:$D$9-'الدرجات المرجعية'!$B$2:$D$9)&lt;=1))/SUMPRODUCT(ISNUMBER('تصحيح كلود'!$B$2:$D$9)*ISNUMBER('الدرجات المرجعية'!$B$2:$D$9)))</f>
        <v/>
      </c>
      <c r="E3" s="10" t="str">
        <f aca="false">IF(SUMPRODUCT(ISNUMBER('تصحيح كلود'!$B$2:$B$9)*ISNUMBER('الدرجات المرجعية'!$B$2:$B$9))=0,"",SUMPRODUCT(ISNUMBER('تصحيح كلود'!$B$2:$B$9)*ISNUMBER('الدرجات المرجعية'!$B$2:$B$9)*('تصحيح كلود'!$B$2:$B$9-'الدرجات المرجعية'!$B$2:$B$9))/SUMPRODUCT(ISNUMBER('تصحيح كلود'!$B$2:$B$9)*ISNUMBER('الدرجات المرجعية'!$B$2:$B$9)))</f>
        <v/>
      </c>
      <c r="F3" s="10" t="str">
        <f aca="false">IF(SUMPRODUCT(ISNUMBER('تصحيح كلود'!$C$2:$C$9)*ISNUMBER('الدرجات المرجعية'!$C$2:$C$9))=0,"",SUMPRODUCT(ISNUMBER('تصحيح كلود'!$C$2:$C$9)*ISNUMBER('الدرجات المرجعية'!$C$2:$C$9)*('تصحيح كلود'!$C$2:$C$9-'الدرجات المرجعية'!$C$2:$C$9))/SUMPRODUCT(ISNUMBER('تصحيح كلود'!$C$2:$C$9)*ISNUMBER('الدرجات المرجعية'!$C$2:$C$9)))</f>
        <v/>
      </c>
      <c r="G3" s="10" t="str">
        <f aca="false">IF(SUMPRODUCT(ISNUMBER('تصحيح كلود'!$D$2:$D$9)*ISNUMBER('الدرجات المرجعية'!$D$2:$D$9))=0,"",SUMPRODUCT(ISNUMBER('تصحيح كلود'!$D$2:$D$9)*ISNUMBER('الدرجات المرجعية'!$D$2:$D$9)*('تصحيح كلود'!$D$2:$D$9-'الدرجات المرجعية'!$D$2:$D$9))/SUMPRODUCT(ISNUMBER('تصحيح كلود'!$D$2:$D$9)*ISNUMBER('الدرجات المرجعية'!$D$2:$D$9)))</f>
        <v/>
      </c>
    </row>
    <row r="4" customFormat="false" ht="17.9" hidden="false" customHeight="false" outlineLevel="0" collapsed="false">
      <c r="A4" s="6" t="s">
        <v>59</v>
      </c>
      <c r="B4" s="6" t="n">
        <f aca="false">SUMPRODUCT(ISNUMBER(تصحيحي!$B$2:$D$9)*ISNUMBER('تصحيح كلود'!$B$2:$D$9))</f>
        <v>0</v>
      </c>
      <c r="C4" s="9" t="str">
        <f aca="false">IF(B4=0,"",SUMPRODUCT(ISNUMBER(تصحيحي!$B$2:$D$9)*ISNUMBER('تصحيح كلود'!$B$2:$D$9)*(تصحيحي!$B$2:$D$9='تصحيح كلود'!$B$2:$D$9))/SUMPRODUCT(ISNUMBER(تصحيحي!$B$2:$D$9)*ISNUMBER('تصحيح كلود'!$B$2:$D$9)))</f>
        <v/>
      </c>
      <c r="D4" s="9" t="str">
        <f aca="false">IF(B4=0,"",SUMPRODUCT(ISNUMBER(تصحيحي!$B$2:$D$9)*ISNUMBER('تصحيح كلود'!$B$2:$D$9)*(ABS(تصحيحي!$B$2:$D$9-'تصحيح كلود'!$B$2:$D$9)&lt;=1))/SUMPRODUCT(ISNUMBER(تصحيحي!$B$2:$D$9)*ISNUMBER('تصحيح كلود'!$B$2:$D$9)))</f>
        <v/>
      </c>
      <c r="E4" s="10" t="str">
        <f aca="false">IF(SUMPRODUCT(ISNUMBER(تصحيحي!$B$2:$B$9)*ISNUMBER('تصحيح كلود'!$B$2:$B$9))=0,"",SUMPRODUCT(ISNUMBER(تصحيحي!$B$2:$B$9)*ISNUMBER('تصحيح كلود'!$B$2:$B$9)*(تصحيحي!$B$2:$B$9-'تصحيح كلود'!$B$2:$B$9))/SUMPRODUCT(ISNUMBER(تصحيحي!$B$2:$B$9)*ISNUMBER('تصحيح كلود'!$B$2:$B$9)))</f>
        <v/>
      </c>
      <c r="F4" s="10" t="str">
        <f aca="false">IF(SUMPRODUCT(ISNUMBER(تصحيحي!$C$2:$C$9)*ISNUMBER('تصحيح كلود'!$C$2:$C$9))=0,"",SUMPRODUCT(ISNUMBER(تصحيحي!$C$2:$C$9)*ISNUMBER('تصحيح كلود'!$C$2:$C$9)*(تصحيحي!$C$2:$C$9-'تصحيح كلود'!$C$2:$C$9))/SUMPRODUCT(ISNUMBER(تصحيحي!$C$2:$C$9)*ISNUMBER('تصحيح كلود'!$C$2:$C$9)))</f>
        <v/>
      </c>
      <c r="G4" s="10" t="str">
        <f aca="false">IF(SUMPRODUCT(ISNUMBER(تصحيحي!$D$2:$D$9)*ISNUMBER('تصحيح كلود'!$D$2:$D$9))=0,"",SUMPRODUCT(ISNUMBER(تصحيحي!$D$2:$D$9)*ISNUMBER('تصحيح كلود'!$D$2:$D$9)*(تصحيحي!$D$2:$D$9-'تصحيح كلود'!$D$2:$D$9))/SUMPRODUCT(ISNUMBER(تصحيحي!$D$2:$D$9)*ISNUMBER('تصحيح كلود'!$D$2:$D$9)))</f>
        <v/>
      </c>
    </row>
    <row r="6" customFormat="false" ht="17.9" hidden="false" customHeight="false" outlineLevel="0" collapsed="false">
      <c r="A6" s="11" t="s">
        <v>60</v>
      </c>
    </row>
    <row r="7" customFormat="false" ht="17.9" hidden="false" customHeight="false" outlineLevel="0" collapsed="false">
      <c r="A7" s="3" t="s">
        <v>61</v>
      </c>
      <c r="D7" s="12" t="n">
        <f aca="false">COUNTIF(تصحيحي!$F$2:$F$9,"&gt;=2")+COUNTIF(تصحيحي!$F$2:$F$9,"&lt;=-2")</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2026-10-05T16:20:33Z</dcterms:created>
  <dc:creator>openpyxl</dc:creator>
  <dc:description/>
  <dc:language>en-US</dc:language>
  <cp:lastModifiedBy/>
  <dcterms:modified xsi:type="dcterms:W3CDTF">2026-10-05T16:20:33Z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