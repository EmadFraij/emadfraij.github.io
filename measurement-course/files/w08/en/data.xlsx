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Rubric" sheetId="2" state="visible" r:id="rId4"/>
    <sheet name="Responses" sheetId="3" state="visible" r:id="rId5"/>
    <sheet name="My Scoring" sheetId="4" state="visible" r:id="rId6"/>
    <sheet name="Claude Scoring" sheetId="5" state="visible" r:id="rId7"/>
    <sheet name="Benchmark Scores" sheetId="6" state="visible" r:id="rId8"/>
    <sheet name="Comparison" sheetId="7" state="visible" r:id="rId9"/>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Do not open this sheet before you finish your scoring.</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Agreement is calculated at the level of each partial score: 8 responses × 3 criteria = 24 scores.</t>
        </r>
      </text>
    </comment>
  </commentList>
</comments>
</file>

<file path=xl/sharedStrings.xml><?xml version="1.0" encoding="utf-8"?>
<sst xmlns="http://schemas.openxmlformats.org/spreadsheetml/2006/main" count="100" uniqueCount="62">
  <si>
    <t xml:space="preserve">Week 8 workshop — Calibrating an analytic rubric</t>
  </si>
  <si>
    <t xml:space="preserve">Educational Measurement and Evaluation — Postgraduate Professional Diploma in Teaching</t>
  </si>
  <si>
    <t xml:space="preserve">Note: the eight responses are a training sample written for the course; they are not real students' responses.</t>
  </si>
  <si>
    <t xml:space="preserve">The question: A student says: "An iron nail rusts faster in salt water than in distilled water." Design an experiment to test this statement, identify the variables, then explain the result you expect.</t>
  </si>
  <si>
    <t xml:space="preserve">Work steps:</t>
  </si>
  <si>
    <t xml:space="preserve">1. Read the rubric in the "Rubric" sheet.</t>
  </si>
  <si>
    <t xml:space="preserve">2. Score the eight responses in the "My Scoring" sheet without looking at the "Benchmark Scores" sheet.</t>
  </si>
  <si>
    <t xml:space="preserve">3. Enter Claude's scores in the "Claude Scoring" sheet after asking it to score with the same rubric.</t>
  </si>
  <si>
    <t xml:space="preserve">4. Open the "Comparison" sheet to see your rate of agreement with the benchmark scores, and the criterion on which you are severe or lenient.</t>
  </si>
  <si>
    <t xml:space="preserve">The benchmark scores are estimates prepared by the course for training; they are not a final answer beyond discussion. Justified disagreement is part of calibration.</t>
  </si>
  <si>
    <t xml:space="preserve">Criterion</t>
  </si>
  <si>
    <t xml:space="preserve">0</t>
  </si>
  <si>
    <t xml:space="preserve">1</t>
  </si>
  <si>
    <t xml:space="preserve">2</t>
  </si>
  <si>
    <t xml:space="preserve">3</t>
  </si>
  <si>
    <t xml:space="preserve">Variables and control</t>
  </si>
  <si>
    <t xml:space="preserve">Does not identify any variable</t>
  </si>
  <si>
    <t xml:space="preserve">Mentions one variable or confuses the variables</t>
  </si>
  <si>
    <t xml:space="preserve">Identifies the independent and dependent variables, and controls at least one constant</t>
  </si>
  <si>
    <t xml:space="preserve">Identifies the independent and dependent variables precisely, and controls two or more constants</t>
  </si>
  <si>
    <t xml:space="preserve">Experimental steps and data collection</t>
  </si>
  <si>
    <t xml:space="preserve">No steps, or steps that do not test the statement</t>
  </si>
  <si>
    <t xml:space="preserve">Incomplete steps that cannot be repeated</t>
  </si>
  <si>
    <t xml:space="preserve">Workable steps with a way of observing the rust</t>
  </si>
  <si>
    <t xml:space="preserve">Repeatable steps, a specified duration, and a clear way of measuring or comparing the rust</t>
  </si>
  <si>
    <t xml:space="preserve">Scientific explanation</t>
  </si>
  <si>
    <t xml:space="preserve">No explanation, or an explanation that does not address the effect of salt, or a wrong explanation</t>
  </si>
  <si>
    <t xml:space="preserve">Predicts that salt increases rusting without a scientific explanation of the reaction</t>
  </si>
  <si>
    <t xml:space="preserve">Links rusting to the reaction of iron with oxygen and water and states that salt speeds it up</t>
  </si>
  <si>
    <t xml:space="preserve">A precise explanation linking the faster rusting to the effect of salt and suggesting how the results would confirm or refute it</t>
  </si>
  <si>
    <t xml:space="preserve">Response</t>
  </si>
  <si>
    <t xml:space="preserve">Text</t>
  </si>
  <si>
    <t xml:space="preserve">R1</t>
  </si>
  <si>
    <t xml:space="preserve">I put two identical nails in two glasses: the first has distilled water and the second salt water of the same amount. I cover both glasses and leave them in the same place for a week. The independent variable is the type of water, the dependent variable is the amount of rust, and the constants are: the type of nail, the volume of water, the temperature and the duration. I photograph the two nails every two days and compare the area of rust. I expect more rust in the salt water because salt speeds up the reaction of iron with oxygen and water, and if the rust appears equal then the statement is not correct.</t>
  </si>
  <si>
    <t xml:space="preserve">R2</t>
  </si>
  <si>
    <t xml:space="preserve">I put one nail in salt water and one nail in ordinary water of the same amount and wait. The variable is the salt. I look after some days to see which one rusted more. Salt makes iron rust.</t>
  </si>
  <si>
    <t xml:space="preserve">R3</t>
  </si>
  <si>
    <t xml:space="preserve">Iron rusts in water. I put a nail in salt water and see whether it rusts.</t>
  </si>
  <si>
    <t xml:space="preserve">R4</t>
  </si>
  <si>
    <t xml:space="preserve">Independent variable: the presence of salt in the water. Dependent: the rust. Constants: the type of nails and the amount of water. I put three nails in salt water and three in distilled water for five days, then compare the colour of the nails. Rust is a reaction between iron and oxygen in the presence of water, and salt speeds it up.</t>
  </si>
  <si>
    <t xml:space="preserve">R5</t>
  </si>
  <si>
    <t xml:space="preserve">Rust is brown and happens to old cars and doors. Salt water is found in the sea, which is why ships rust.</t>
  </si>
  <si>
    <t xml:space="preserve">R6</t>
  </si>
  <si>
    <t xml:space="preserve">I bring two identical glasses, put 200 mL of distilled water in the first and 200 mL of water with a spoonful of salt dissolved in it in the second, put a new nail in each glass, and leave them for seven days at room temperature, then weigh the two nails after drying them and compare the change in mass. The variable is the type of water. I expect the salt water to cause more rust.</t>
  </si>
  <si>
    <t xml:space="preserve">R7</t>
  </si>
  <si>
    <t xml:space="preserve">Rust is a chemical reaction between iron, oxygen and water. Salt increases the speed of this reaction, which is why iron objects near the sea rust faster. I expect the statement is correct.</t>
  </si>
  <si>
    <t xml:space="preserve">R8</t>
  </si>
  <si>
    <t xml:space="preserve">Independent: the type of water (salt or distilled). Dependent: the amount of rust. Constants: the type of nail, the volume of water, the duration, the place. I put them in and watch. I expect faster rusting in the salt water, because salt speeds up the reaction of iron with oxygen and water, and if I repeated the experiment with two different salt concentrations and the rust increased with the concentration, the result would be confirmed further.</t>
  </si>
  <si>
    <t xml:space="preserve">Total</t>
  </si>
  <si>
    <t xml:space="preserve">Difference from benchmark</t>
  </si>
  <si>
    <t xml:space="preserve">Comparison</t>
  </si>
  <si>
    <t xml:space="preserve">Number of scores entered</t>
  </si>
  <si>
    <t xml:space="preserve">Exact agreement</t>
  </si>
  <si>
    <t xml:space="preserve">Exact or adjacent agreement</t>
  </si>
  <si>
    <t xml:space="preserve">Mean difference: Variables and control</t>
  </si>
  <si>
    <t xml:space="preserve">Mean difference: Experimental steps and data collection</t>
  </si>
  <si>
    <t xml:space="preserve">Mean difference: Scientific explanation</t>
  </si>
  <si>
    <t xml:space="preserve">My scoring vs benchmark</t>
  </si>
  <si>
    <t xml:space="preserve">Claude's scoring vs benchmark</t>
  </si>
  <si>
    <t xml:space="preserve">My scoring vs Claude's scoring</t>
  </si>
  <si>
    <t xml:space="preserve">Reading the mean difference: a positive value means the first scorer is more lenient on this criterion, a negative value more severe.</t>
  </si>
  <si>
    <t xml:space="preserve">Responses where your total differs from the benchmark total by two or more points:</t>
  </si>
</sst>
</file>

<file path=xl/styles.xml><?xml version="1.0" encoding="utf-8"?>
<styleSheet xmlns="http://schemas.openxmlformats.org/spreadsheetml/2006/main">
  <numFmts count="5">
    <numFmt numFmtId="164" formatCode="General"/>
    <numFmt numFmtId="165" formatCode="\+0;\-0;0"/>
    <numFmt numFmtId="166" formatCode="0%"/>
    <numFmt numFmtId="167" formatCode="\+0.00;\-0.00;0.00"/>
    <numFmt numFmtId="168"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1F4E79"/>
      <name val="Calibri"/>
      <family val="0"/>
      <charset val="1"/>
    </font>
    <font>
      <sz val="11"/>
      <name val="Calibri"/>
      <family val="0"/>
      <charset val="1"/>
    </font>
    <font>
      <b val="true"/>
      <sz val="11"/>
      <name val="Calibri"/>
      <family val="0"/>
      <charset val="1"/>
    </font>
    <font>
      <b val="true"/>
      <sz val="11"/>
      <color rgb="FFFFFFFF"/>
      <name val="Calibri"/>
      <family val="0"/>
      <charset val="1"/>
    </font>
    <font>
      <sz val="10"/>
      <name val="Arial"/>
      <family val="2"/>
    </font>
    <font>
      <sz val="11"/>
      <color rgb="FF595959"/>
      <name val="Calibri"/>
      <family val="0"/>
      <charset val="1"/>
    </font>
  </fonts>
  <fills count="4">
    <fill>
      <patternFill patternType="none"/>
    </fill>
    <fill>
      <patternFill patternType="gray125"/>
    </fill>
    <fill>
      <patternFill patternType="solid">
        <fgColor rgb="FF1F4E79"/>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5" fontId="0" fillId="0" borderId="1" xfId="0" applyFont="fals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34"/>
  </cols>
  <sheetData>
    <row r="1" customFormat="false" ht="15" hidden="false" customHeight="false" outlineLevel="0" collapsed="false">
      <c r="A1" s="4" t="s">
        <v>10</v>
      </c>
      <c r="B1" s="4" t="s">
        <v>11</v>
      </c>
      <c r="C1" s="4" t="s">
        <v>12</v>
      </c>
      <c r="D1" s="4" t="s">
        <v>13</v>
      </c>
      <c r="E1" s="4" t="s">
        <v>14</v>
      </c>
    </row>
    <row r="2" customFormat="false" ht="60" hidden="false" customHeight="true" outlineLevel="0" collapsed="false">
      <c r="A2" s="5" t="s">
        <v>15</v>
      </c>
      <c r="B2" s="5" t="s">
        <v>16</v>
      </c>
      <c r="C2" s="5" t="s">
        <v>17</v>
      </c>
      <c r="D2" s="5" t="s">
        <v>18</v>
      </c>
      <c r="E2" s="5" t="s">
        <v>19</v>
      </c>
    </row>
    <row r="3" customFormat="false" ht="60" hidden="false" customHeight="true" outlineLevel="0" collapsed="false">
      <c r="A3" s="5" t="s">
        <v>20</v>
      </c>
      <c r="B3" s="5" t="s">
        <v>21</v>
      </c>
      <c r="C3" s="5" t="s">
        <v>22</v>
      </c>
      <c r="D3" s="5" t="s">
        <v>23</v>
      </c>
      <c r="E3" s="5" t="s">
        <v>24</v>
      </c>
    </row>
    <row r="4" customFormat="false" ht="60" hidden="false" customHeight="true" outlineLevel="0" collapsed="false">
      <c r="A4" s="5" t="s">
        <v>25</v>
      </c>
      <c r="B4" s="5" t="s">
        <v>26</v>
      </c>
      <c r="C4" s="5" t="s">
        <v>27</v>
      </c>
      <c r="D4" s="5" t="s">
        <v>28</v>
      </c>
      <c r="E4" s="5"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0"/>
  </cols>
  <sheetData>
    <row r="1" customFormat="false" ht="15" hidden="false" customHeight="false" outlineLevel="0" collapsed="false">
      <c r="A1" s="4" t="s">
        <v>30</v>
      </c>
      <c r="B1" s="4" t="s">
        <v>31</v>
      </c>
    </row>
    <row r="2" customFormat="false" ht="75" hidden="false" customHeight="true" outlineLevel="0" collapsed="false">
      <c r="A2" s="5" t="s">
        <v>32</v>
      </c>
      <c r="B2" s="5" t="s">
        <v>33</v>
      </c>
    </row>
    <row r="3" customFormat="false" ht="75" hidden="false" customHeight="true" outlineLevel="0" collapsed="false">
      <c r="A3" s="5" t="s">
        <v>34</v>
      </c>
      <c r="B3" s="5" t="s">
        <v>35</v>
      </c>
    </row>
    <row r="4" customFormat="false" ht="75" hidden="false" customHeight="true" outlineLevel="0" collapsed="false">
      <c r="A4" s="5" t="s">
        <v>36</v>
      </c>
      <c r="B4" s="5" t="s">
        <v>37</v>
      </c>
    </row>
    <row r="5" customFormat="false" ht="75" hidden="false" customHeight="true" outlineLevel="0" collapsed="false">
      <c r="A5" s="5" t="s">
        <v>38</v>
      </c>
      <c r="B5" s="5" t="s">
        <v>39</v>
      </c>
    </row>
    <row r="6" customFormat="false" ht="75" hidden="false" customHeight="true" outlineLevel="0" collapsed="false">
      <c r="A6" s="5" t="s">
        <v>40</v>
      </c>
      <c r="B6" s="5" t="s">
        <v>41</v>
      </c>
    </row>
    <row r="7" customFormat="false" ht="75" hidden="false" customHeight="true" outlineLevel="0" collapsed="false">
      <c r="A7" s="5" t="s">
        <v>42</v>
      </c>
      <c r="B7" s="5" t="s">
        <v>43</v>
      </c>
    </row>
    <row r="8" customFormat="false" ht="75" hidden="false" customHeight="true" outlineLevel="0" collapsed="false">
      <c r="A8" s="5" t="s">
        <v>44</v>
      </c>
      <c r="B8" s="5" t="s">
        <v>45</v>
      </c>
    </row>
    <row r="9" customFormat="false" ht="75" hidden="false" customHeight="true" outlineLevel="0" collapsed="false">
      <c r="A9" s="5" t="s">
        <v>46</v>
      </c>
      <c r="B9" s="5"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8"/>
    <col collapsed="false" customWidth="true" hidden="false" outlineLevel="0" max="4" min="4" style="0" width="18"/>
    <col collapsed="false" customWidth="true" hidden="false" outlineLevel="0" max="5" min="5" style="0" width="10"/>
    <col collapsed="false" customWidth="true" hidden="false" outlineLevel="0" max="6" min="6" style="0" width="16"/>
  </cols>
  <sheetData>
    <row r="1" customFormat="false" ht="28.35" hidden="false" customHeight="false" outlineLevel="0" collapsed="false">
      <c r="A1" s="4" t="s">
        <v>30</v>
      </c>
      <c r="B1" s="4" t="s">
        <v>15</v>
      </c>
      <c r="C1" s="4" t="s">
        <v>20</v>
      </c>
      <c r="D1" s="4" t="s">
        <v>25</v>
      </c>
      <c r="E1" s="4" t="s">
        <v>48</v>
      </c>
      <c r="F1" s="4" t="s">
        <v>49</v>
      </c>
    </row>
    <row r="2" customFormat="false" ht="15" hidden="false" customHeight="false" outlineLevel="0" collapsed="false">
      <c r="A2" s="6" t="s">
        <v>32</v>
      </c>
      <c r="B2" s="7"/>
      <c r="C2" s="7"/>
      <c r="D2" s="7"/>
      <c r="E2" s="6" t="str">
        <f aca="false">IF(COUNT(B2:D2)=0,"",SUM(B2:D2))</f>
        <v/>
      </c>
      <c r="F2" s="8" t="str">
        <f aca="false">IF(E2="","",E2-'Benchmark Scores'!E2)</f>
        <v/>
      </c>
    </row>
    <row r="3" customFormat="false" ht="15" hidden="false" customHeight="false" outlineLevel="0" collapsed="false">
      <c r="A3" s="6" t="s">
        <v>34</v>
      </c>
      <c r="B3" s="7"/>
      <c r="C3" s="7"/>
      <c r="D3" s="7"/>
      <c r="E3" s="6" t="str">
        <f aca="false">IF(COUNT(B3:D3)=0,"",SUM(B3:D3))</f>
        <v/>
      </c>
      <c r="F3" s="8" t="str">
        <f aca="false">IF(E3="","",E3-'Benchmark Scores'!E3)</f>
        <v/>
      </c>
    </row>
    <row r="4" customFormat="false" ht="15" hidden="false" customHeight="false" outlineLevel="0" collapsed="false">
      <c r="A4" s="6" t="s">
        <v>36</v>
      </c>
      <c r="B4" s="7"/>
      <c r="C4" s="7"/>
      <c r="D4" s="7"/>
      <c r="E4" s="6" t="str">
        <f aca="false">IF(COUNT(B4:D4)=0,"",SUM(B4:D4))</f>
        <v/>
      </c>
      <c r="F4" s="8" t="str">
        <f aca="false">IF(E4="","",E4-'Benchmark Scores'!E4)</f>
        <v/>
      </c>
    </row>
    <row r="5" customFormat="false" ht="15" hidden="false" customHeight="false" outlineLevel="0" collapsed="false">
      <c r="A5" s="6" t="s">
        <v>38</v>
      </c>
      <c r="B5" s="7"/>
      <c r="C5" s="7"/>
      <c r="D5" s="7"/>
      <c r="E5" s="6" t="str">
        <f aca="false">IF(COUNT(B5:D5)=0,"",SUM(B5:D5))</f>
        <v/>
      </c>
      <c r="F5" s="8" t="str">
        <f aca="false">IF(E5="","",E5-'Benchmark Scores'!E5)</f>
        <v/>
      </c>
    </row>
    <row r="6" customFormat="false" ht="15" hidden="false" customHeight="false" outlineLevel="0" collapsed="false">
      <c r="A6" s="6" t="s">
        <v>40</v>
      </c>
      <c r="B6" s="7"/>
      <c r="C6" s="7"/>
      <c r="D6" s="7"/>
      <c r="E6" s="6" t="str">
        <f aca="false">IF(COUNT(B6:D6)=0,"",SUM(B6:D6))</f>
        <v/>
      </c>
      <c r="F6" s="8" t="str">
        <f aca="false">IF(E6="","",E6-'Benchmark Scores'!E6)</f>
        <v/>
      </c>
    </row>
    <row r="7" customFormat="false" ht="15" hidden="false" customHeight="false" outlineLevel="0" collapsed="false">
      <c r="A7" s="6" t="s">
        <v>42</v>
      </c>
      <c r="B7" s="7"/>
      <c r="C7" s="7"/>
      <c r="D7" s="7"/>
      <c r="E7" s="6" t="str">
        <f aca="false">IF(COUNT(B7:D7)=0,"",SUM(B7:D7))</f>
        <v/>
      </c>
      <c r="F7" s="8" t="str">
        <f aca="false">IF(E7="","",E7-'Benchmark Scores'!E7)</f>
        <v/>
      </c>
    </row>
    <row r="8" customFormat="false" ht="15" hidden="false" customHeight="false" outlineLevel="0" collapsed="false">
      <c r="A8" s="6" t="s">
        <v>44</v>
      </c>
      <c r="B8" s="7"/>
      <c r="C8" s="7"/>
      <c r="D8" s="7"/>
      <c r="E8" s="6" t="str">
        <f aca="false">IF(COUNT(B8:D8)=0,"",SUM(B8:D8))</f>
        <v/>
      </c>
      <c r="F8" s="8" t="str">
        <f aca="false">IF(E8="","",E8-'Benchmark Scores'!E8)</f>
        <v/>
      </c>
    </row>
    <row r="9" customFormat="false" ht="15" hidden="false" customHeight="false" outlineLevel="0" collapsed="false">
      <c r="A9" s="6" t="s">
        <v>46</v>
      </c>
      <c r="B9" s="7"/>
      <c r="C9" s="7"/>
      <c r="D9" s="7"/>
      <c r="E9" s="6" t="str">
        <f aca="false">IF(COUNT(B9:D9)=0,"",SUM(B9:D9))</f>
        <v/>
      </c>
      <c r="F9" s="8" t="str">
        <f aca="false">IF(E9="","",E9-'Benchmark Scores'!E9)</f>
        <v/>
      </c>
    </row>
  </sheetData>
  <dataValidations count="1">
    <dataValidation allowBlank="true" error="The score is from 0 to 3" errorStyle="stop" errorTitle="Invalid value" operator="between" showDropDown="false" showErrorMessage="false" showInputMessage="false" sqref="B2:D9" type="whole">
      <formula1>0</formula1>
      <formula2>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8"/>
    <col collapsed="false" customWidth="true" hidden="false" outlineLevel="0" max="4" min="4" style="0" width="18"/>
    <col collapsed="false" customWidth="true" hidden="false" outlineLevel="0" max="5" min="5" style="0" width="10"/>
  </cols>
  <sheetData>
    <row r="1" customFormat="false" ht="28.35" hidden="false" customHeight="false" outlineLevel="0" collapsed="false">
      <c r="A1" s="4" t="s">
        <v>30</v>
      </c>
      <c r="B1" s="4" t="s">
        <v>15</v>
      </c>
      <c r="C1" s="4" t="s">
        <v>20</v>
      </c>
      <c r="D1" s="4" t="s">
        <v>25</v>
      </c>
      <c r="E1" s="4" t="s">
        <v>48</v>
      </c>
    </row>
    <row r="2" customFormat="false" ht="15" hidden="false" customHeight="false" outlineLevel="0" collapsed="false">
      <c r="A2" s="6" t="s">
        <v>32</v>
      </c>
      <c r="B2" s="7"/>
      <c r="C2" s="7"/>
      <c r="D2" s="7"/>
      <c r="E2" s="6" t="str">
        <f aca="false">IF(COUNT(B2:D2)=0,"",SUM(B2:D2))</f>
        <v/>
      </c>
    </row>
    <row r="3" customFormat="false" ht="15" hidden="false" customHeight="false" outlineLevel="0" collapsed="false">
      <c r="A3" s="6" t="s">
        <v>34</v>
      </c>
      <c r="B3" s="7"/>
      <c r="C3" s="7"/>
      <c r="D3" s="7"/>
      <c r="E3" s="6" t="str">
        <f aca="false">IF(COUNT(B3:D3)=0,"",SUM(B3:D3))</f>
        <v/>
      </c>
    </row>
    <row r="4" customFormat="false" ht="15" hidden="false" customHeight="false" outlineLevel="0" collapsed="false">
      <c r="A4" s="6" t="s">
        <v>36</v>
      </c>
      <c r="B4" s="7"/>
      <c r="C4" s="7"/>
      <c r="D4" s="7"/>
      <c r="E4" s="6" t="str">
        <f aca="false">IF(COUNT(B4:D4)=0,"",SUM(B4:D4))</f>
        <v/>
      </c>
    </row>
    <row r="5" customFormat="false" ht="15" hidden="false" customHeight="false" outlineLevel="0" collapsed="false">
      <c r="A5" s="6" t="s">
        <v>38</v>
      </c>
      <c r="B5" s="7"/>
      <c r="C5" s="7"/>
      <c r="D5" s="7"/>
      <c r="E5" s="6" t="str">
        <f aca="false">IF(COUNT(B5:D5)=0,"",SUM(B5:D5))</f>
        <v/>
      </c>
    </row>
    <row r="6" customFormat="false" ht="15" hidden="false" customHeight="false" outlineLevel="0" collapsed="false">
      <c r="A6" s="6" t="s">
        <v>40</v>
      </c>
      <c r="B6" s="7"/>
      <c r="C6" s="7"/>
      <c r="D6" s="7"/>
      <c r="E6" s="6" t="str">
        <f aca="false">IF(COUNT(B6:D6)=0,"",SUM(B6:D6))</f>
        <v/>
      </c>
    </row>
    <row r="7" customFormat="false" ht="15" hidden="false" customHeight="false" outlineLevel="0" collapsed="false">
      <c r="A7" s="6" t="s">
        <v>42</v>
      </c>
      <c r="B7" s="7"/>
      <c r="C7" s="7"/>
      <c r="D7" s="7"/>
      <c r="E7" s="6" t="str">
        <f aca="false">IF(COUNT(B7:D7)=0,"",SUM(B7:D7))</f>
        <v/>
      </c>
    </row>
    <row r="8" customFormat="false" ht="15" hidden="false" customHeight="false" outlineLevel="0" collapsed="false">
      <c r="A8" s="6" t="s">
        <v>44</v>
      </c>
      <c r="B8" s="7"/>
      <c r="C8" s="7"/>
      <c r="D8" s="7"/>
      <c r="E8" s="6" t="str">
        <f aca="false">IF(COUNT(B8:D8)=0,"",SUM(B8:D8))</f>
        <v/>
      </c>
    </row>
    <row r="9" customFormat="false" ht="15" hidden="false" customHeight="false" outlineLevel="0" collapsed="false">
      <c r="A9" s="6" t="s">
        <v>46</v>
      </c>
      <c r="B9" s="7"/>
      <c r="C9" s="7"/>
      <c r="D9" s="7"/>
      <c r="E9" s="6" t="str">
        <f aca="false">IF(COUNT(B9:D9)=0,"",SUM(B9:D9))</f>
        <v/>
      </c>
    </row>
  </sheetData>
  <dataValidations count="1">
    <dataValidation allowBlank="true" error="The score is from 0 to 3" errorStyle="stop" errorTitle="Invalid value" operator="between" showDropDown="false" showErrorMessage="false" showInputMessage="false" sqref="B2:D9" type="whole">
      <formula1>0</formula1>
      <formula2>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8"/>
    <col collapsed="false" customWidth="true" hidden="false" outlineLevel="0" max="4" min="4" style="0" width="18"/>
    <col collapsed="false" customWidth="true" hidden="false" outlineLevel="0" max="5" min="5" style="0" width="10"/>
  </cols>
  <sheetData>
    <row r="1" customFormat="false" ht="28.35" hidden="false" customHeight="false" outlineLevel="0" collapsed="false">
      <c r="A1" s="4" t="s">
        <v>30</v>
      </c>
      <c r="B1" s="4" t="s">
        <v>15</v>
      </c>
      <c r="C1" s="4" t="s">
        <v>20</v>
      </c>
      <c r="D1" s="4" t="s">
        <v>25</v>
      </c>
      <c r="E1" s="4" t="s">
        <v>48</v>
      </c>
    </row>
    <row r="2" customFormat="false" ht="15" hidden="false" customHeight="false" outlineLevel="0" collapsed="false">
      <c r="A2" s="6" t="s">
        <v>32</v>
      </c>
      <c r="B2" s="6" t="n">
        <v>3</v>
      </c>
      <c r="C2" s="6" t="n">
        <v>3</v>
      </c>
      <c r="D2" s="6" t="n">
        <v>3</v>
      </c>
      <c r="E2" s="6" t="n">
        <f aca="false">IF(COUNT(B2:D2)=0,"",SUM(B2:D2))</f>
        <v>9</v>
      </c>
    </row>
    <row r="3" customFormat="false" ht="15" hidden="false" customHeight="false" outlineLevel="0" collapsed="false">
      <c r="A3" s="6" t="s">
        <v>34</v>
      </c>
      <c r="B3" s="6" t="n">
        <v>2</v>
      </c>
      <c r="C3" s="6" t="n">
        <v>1</v>
      </c>
      <c r="D3" s="6" t="n">
        <v>1</v>
      </c>
      <c r="E3" s="6" t="n">
        <f aca="false">IF(COUNT(B3:D3)=0,"",SUM(B3:D3))</f>
        <v>4</v>
      </c>
    </row>
    <row r="4" customFormat="false" ht="15" hidden="false" customHeight="false" outlineLevel="0" collapsed="false">
      <c r="A4" s="6" t="s">
        <v>36</v>
      </c>
      <c r="B4" s="6" t="n">
        <v>1</v>
      </c>
      <c r="C4" s="6" t="n">
        <v>1</v>
      </c>
      <c r="D4" s="6" t="n">
        <v>0</v>
      </c>
      <c r="E4" s="6" t="n">
        <f aca="false">IF(COUNT(B4:D4)=0,"",SUM(B4:D4))</f>
        <v>2</v>
      </c>
    </row>
    <row r="5" customFormat="false" ht="15" hidden="false" customHeight="false" outlineLevel="0" collapsed="false">
      <c r="A5" s="6" t="s">
        <v>38</v>
      </c>
      <c r="B5" s="6" t="n">
        <v>3</v>
      </c>
      <c r="C5" s="6" t="n">
        <v>2</v>
      </c>
      <c r="D5" s="6" t="n">
        <v>2</v>
      </c>
      <c r="E5" s="6" t="n">
        <f aca="false">IF(COUNT(B5:D5)=0,"",SUM(B5:D5))</f>
        <v>7</v>
      </c>
    </row>
    <row r="6" customFormat="false" ht="15" hidden="false" customHeight="false" outlineLevel="0" collapsed="false">
      <c r="A6" s="6" t="s">
        <v>40</v>
      </c>
      <c r="B6" s="6" t="n">
        <v>0</v>
      </c>
      <c r="C6" s="6" t="n">
        <v>0</v>
      </c>
      <c r="D6" s="6" t="n">
        <v>1</v>
      </c>
      <c r="E6" s="6" t="n">
        <f aca="false">IF(COUNT(B6:D6)=0,"",SUM(B6:D6))</f>
        <v>1</v>
      </c>
    </row>
    <row r="7" customFormat="false" ht="15" hidden="false" customHeight="false" outlineLevel="0" collapsed="false">
      <c r="A7" s="6" t="s">
        <v>42</v>
      </c>
      <c r="B7" s="6" t="n">
        <v>2</v>
      </c>
      <c r="C7" s="6" t="n">
        <v>3</v>
      </c>
      <c r="D7" s="6" t="n">
        <v>1</v>
      </c>
      <c r="E7" s="6" t="n">
        <f aca="false">IF(COUNT(B7:D7)=0,"",SUM(B7:D7))</f>
        <v>6</v>
      </c>
    </row>
    <row r="8" customFormat="false" ht="15" hidden="false" customHeight="false" outlineLevel="0" collapsed="false">
      <c r="A8" s="6" t="s">
        <v>44</v>
      </c>
      <c r="B8" s="6" t="n">
        <v>0</v>
      </c>
      <c r="C8" s="6" t="n">
        <v>0</v>
      </c>
      <c r="D8" s="6" t="n">
        <v>2</v>
      </c>
      <c r="E8" s="6" t="n">
        <f aca="false">IF(COUNT(B8:D8)=0,"",SUM(B8:D8))</f>
        <v>2</v>
      </c>
    </row>
    <row r="9" customFormat="false" ht="15" hidden="false" customHeight="false" outlineLevel="0" collapsed="false">
      <c r="A9" s="6" t="s">
        <v>46</v>
      </c>
      <c r="B9" s="6" t="n">
        <v>3</v>
      </c>
      <c r="C9" s="6" t="n">
        <v>1</v>
      </c>
      <c r="D9" s="6" t="n">
        <v>3</v>
      </c>
      <c r="E9" s="6" t="n">
        <f aca="false">IF(COUNT(B9:D9)=0,"",SUM(B9:D9))</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7" min="2" style="0" width="20"/>
  </cols>
  <sheetData>
    <row r="1" customFormat="false" ht="41.75" hidden="false" customHeight="false" outlineLevel="0" collapsed="false">
      <c r="A1" s="4" t="s">
        <v>50</v>
      </c>
      <c r="B1" s="4" t="s">
        <v>51</v>
      </c>
      <c r="C1" s="4" t="s">
        <v>52</v>
      </c>
      <c r="D1" s="4" t="s">
        <v>53</v>
      </c>
      <c r="E1" s="4" t="s">
        <v>54</v>
      </c>
      <c r="F1" s="4" t="s">
        <v>55</v>
      </c>
      <c r="G1" s="4" t="s">
        <v>56</v>
      </c>
    </row>
    <row r="2" customFormat="false" ht="15" hidden="false" customHeight="false" outlineLevel="0" collapsed="false">
      <c r="A2" s="6" t="s">
        <v>57</v>
      </c>
      <c r="B2" s="6" t="n">
        <f aca="false">SUMPRODUCT(ISNUMBER('My Scoring'!$B$2:$D$9)*ISNUMBER('Benchmark Scores'!$B$2:$D$9))</f>
        <v>0</v>
      </c>
      <c r="C2" s="9" t="str">
        <f aca="false">IF(B2=0,"",SUMPRODUCT(ISNUMBER('My Scoring'!$B$2:$D$9)*ISNUMBER('Benchmark Scores'!$B$2:$D$9)*('My Scoring'!$B$2:$D$9='Benchmark Scores'!$B$2:$D$9))/SUMPRODUCT(ISNUMBER('My Scoring'!$B$2:$D$9)*ISNUMBER('Benchmark Scores'!$B$2:$D$9)))</f>
        <v/>
      </c>
      <c r="D2" s="9" t="str">
        <f aca="false">IF(B2=0,"",SUMPRODUCT(ISNUMBER('My Scoring'!$B$2:$D$9)*ISNUMBER('Benchmark Scores'!$B$2:$D$9)*(ABS('My Scoring'!$B$2:$D$9-'Benchmark Scores'!$B$2:$D$9)&lt;=1))/SUMPRODUCT(ISNUMBER('My Scoring'!$B$2:$D$9)*ISNUMBER('Benchmark Scores'!$B$2:$D$9)))</f>
        <v/>
      </c>
      <c r="E2" s="10" t="str">
        <f aca="false">IF(SUMPRODUCT(ISNUMBER('My Scoring'!$B$2:$B$9)*ISNUMBER('Benchmark Scores'!$B$2:$B$9))=0,"",SUMPRODUCT(ISNUMBER('My Scoring'!$B$2:$B$9)*ISNUMBER('Benchmark Scores'!$B$2:$B$9)*('My Scoring'!$B$2:$B$9-'Benchmark Scores'!$B$2:$B$9))/SUMPRODUCT(ISNUMBER('My Scoring'!$B$2:$B$9)*ISNUMBER('Benchmark Scores'!$B$2:$B$9)))</f>
        <v/>
      </c>
      <c r="F2" s="10" t="str">
        <f aca="false">IF(SUMPRODUCT(ISNUMBER('My Scoring'!$C$2:$C$9)*ISNUMBER('Benchmark Scores'!$C$2:$C$9))=0,"",SUMPRODUCT(ISNUMBER('My Scoring'!$C$2:$C$9)*ISNUMBER('Benchmark Scores'!$C$2:$C$9)*('My Scoring'!$C$2:$C$9-'Benchmark Scores'!$C$2:$C$9))/SUMPRODUCT(ISNUMBER('My Scoring'!$C$2:$C$9)*ISNUMBER('Benchmark Scores'!$C$2:$C$9)))</f>
        <v/>
      </c>
      <c r="G2" s="10" t="str">
        <f aca="false">IF(SUMPRODUCT(ISNUMBER('My Scoring'!$D$2:$D$9)*ISNUMBER('Benchmark Scores'!$D$2:$D$9))=0,"",SUMPRODUCT(ISNUMBER('My Scoring'!$D$2:$D$9)*ISNUMBER('Benchmark Scores'!$D$2:$D$9)*('My Scoring'!$D$2:$D$9-'Benchmark Scores'!$D$2:$D$9))/SUMPRODUCT(ISNUMBER('My Scoring'!$D$2:$D$9)*ISNUMBER('Benchmark Scores'!$D$2:$D$9)))</f>
        <v/>
      </c>
    </row>
    <row r="3" customFormat="false" ht="15" hidden="false" customHeight="false" outlineLevel="0" collapsed="false">
      <c r="A3" s="6" t="s">
        <v>58</v>
      </c>
      <c r="B3" s="6" t="n">
        <f aca="false">SUMPRODUCT(ISNUMBER('Claude Scoring'!$B$2:$D$9)*ISNUMBER('Benchmark Scores'!$B$2:$D$9))</f>
        <v>0</v>
      </c>
      <c r="C3" s="9" t="str">
        <f aca="false">IF(B3=0,"",SUMPRODUCT(ISNUMBER('Claude Scoring'!$B$2:$D$9)*ISNUMBER('Benchmark Scores'!$B$2:$D$9)*('Claude Scoring'!$B$2:$D$9='Benchmark Scores'!$B$2:$D$9))/SUMPRODUCT(ISNUMBER('Claude Scoring'!$B$2:$D$9)*ISNUMBER('Benchmark Scores'!$B$2:$D$9)))</f>
        <v/>
      </c>
      <c r="D3" s="9" t="str">
        <f aca="false">IF(B3=0,"",SUMPRODUCT(ISNUMBER('Claude Scoring'!$B$2:$D$9)*ISNUMBER('Benchmark Scores'!$B$2:$D$9)*(ABS('Claude Scoring'!$B$2:$D$9-'Benchmark Scores'!$B$2:$D$9)&lt;=1))/SUMPRODUCT(ISNUMBER('Claude Scoring'!$B$2:$D$9)*ISNUMBER('Benchmark Scores'!$B$2:$D$9)))</f>
        <v/>
      </c>
      <c r="E3" s="10" t="str">
        <f aca="false">IF(SUMPRODUCT(ISNUMBER('Claude Scoring'!$B$2:$B$9)*ISNUMBER('Benchmark Scores'!$B$2:$B$9))=0,"",SUMPRODUCT(ISNUMBER('Claude Scoring'!$B$2:$B$9)*ISNUMBER('Benchmark Scores'!$B$2:$B$9)*('Claude Scoring'!$B$2:$B$9-'Benchmark Scores'!$B$2:$B$9))/SUMPRODUCT(ISNUMBER('Claude Scoring'!$B$2:$B$9)*ISNUMBER('Benchmark Scores'!$B$2:$B$9)))</f>
        <v/>
      </c>
      <c r="F3" s="10" t="str">
        <f aca="false">IF(SUMPRODUCT(ISNUMBER('Claude Scoring'!$C$2:$C$9)*ISNUMBER('Benchmark Scores'!$C$2:$C$9))=0,"",SUMPRODUCT(ISNUMBER('Claude Scoring'!$C$2:$C$9)*ISNUMBER('Benchmark Scores'!$C$2:$C$9)*('Claude Scoring'!$C$2:$C$9-'Benchmark Scores'!$C$2:$C$9))/SUMPRODUCT(ISNUMBER('Claude Scoring'!$C$2:$C$9)*ISNUMBER('Benchmark Scores'!$C$2:$C$9)))</f>
        <v/>
      </c>
      <c r="G3" s="10" t="str">
        <f aca="false">IF(SUMPRODUCT(ISNUMBER('Claude Scoring'!$D$2:$D$9)*ISNUMBER('Benchmark Scores'!$D$2:$D$9))=0,"",SUMPRODUCT(ISNUMBER('Claude Scoring'!$D$2:$D$9)*ISNUMBER('Benchmark Scores'!$D$2:$D$9)*('Claude Scoring'!$D$2:$D$9-'Benchmark Scores'!$D$2:$D$9))/SUMPRODUCT(ISNUMBER('Claude Scoring'!$D$2:$D$9)*ISNUMBER('Benchmark Scores'!$D$2:$D$9)))</f>
        <v/>
      </c>
    </row>
    <row r="4" customFormat="false" ht="15" hidden="false" customHeight="false" outlineLevel="0" collapsed="false">
      <c r="A4" s="6" t="s">
        <v>59</v>
      </c>
      <c r="B4" s="6" t="n">
        <f aca="false">SUMPRODUCT(ISNUMBER('My Scoring'!$B$2:$D$9)*ISNUMBER('Claude Scoring'!$B$2:$D$9))</f>
        <v>0</v>
      </c>
      <c r="C4" s="9" t="str">
        <f aca="false">IF(B4=0,"",SUMPRODUCT(ISNUMBER('My Scoring'!$B$2:$D$9)*ISNUMBER('Claude Scoring'!$B$2:$D$9)*('My Scoring'!$B$2:$D$9='Claude Scoring'!$B$2:$D$9))/SUMPRODUCT(ISNUMBER('My Scoring'!$B$2:$D$9)*ISNUMBER('Claude Scoring'!$B$2:$D$9)))</f>
        <v/>
      </c>
      <c r="D4" s="9" t="str">
        <f aca="false">IF(B4=0,"",SUMPRODUCT(ISNUMBER('My Scoring'!$B$2:$D$9)*ISNUMBER('Claude Scoring'!$B$2:$D$9)*(ABS('My Scoring'!$B$2:$D$9-'Claude Scoring'!$B$2:$D$9)&lt;=1))/SUMPRODUCT(ISNUMBER('My Scoring'!$B$2:$D$9)*ISNUMBER('Claude Scoring'!$B$2:$D$9)))</f>
        <v/>
      </c>
      <c r="E4" s="10" t="str">
        <f aca="false">IF(SUMPRODUCT(ISNUMBER('My Scoring'!$B$2:$B$9)*ISNUMBER('Claude Scoring'!$B$2:$B$9))=0,"",SUMPRODUCT(ISNUMBER('My Scoring'!$B$2:$B$9)*ISNUMBER('Claude Scoring'!$B$2:$B$9)*('My Scoring'!$B$2:$B$9-'Claude Scoring'!$B$2:$B$9))/SUMPRODUCT(ISNUMBER('My Scoring'!$B$2:$B$9)*ISNUMBER('Claude Scoring'!$B$2:$B$9)))</f>
        <v/>
      </c>
      <c r="F4" s="10" t="str">
        <f aca="false">IF(SUMPRODUCT(ISNUMBER('My Scoring'!$C$2:$C$9)*ISNUMBER('Claude Scoring'!$C$2:$C$9))=0,"",SUMPRODUCT(ISNUMBER('My Scoring'!$C$2:$C$9)*ISNUMBER('Claude Scoring'!$C$2:$C$9)*('My Scoring'!$C$2:$C$9-'Claude Scoring'!$C$2:$C$9))/SUMPRODUCT(ISNUMBER('My Scoring'!$C$2:$C$9)*ISNUMBER('Claude Scoring'!$C$2:$C$9)))</f>
        <v/>
      </c>
      <c r="G4" s="10" t="str">
        <f aca="false">IF(SUMPRODUCT(ISNUMBER('My Scoring'!$D$2:$D$9)*ISNUMBER('Claude Scoring'!$D$2:$D$9))=0,"",SUMPRODUCT(ISNUMBER('My Scoring'!$D$2:$D$9)*ISNUMBER('Claude Scoring'!$D$2:$D$9)*('My Scoring'!$D$2:$D$9-'Claude Scoring'!$D$2:$D$9))/SUMPRODUCT(ISNUMBER('My Scoring'!$D$2:$D$9)*ISNUMBER('Claude Scoring'!$D$2:$D$9)))</f>
        <v/>
      </c>
    </row>
    <row r="6" customFormat="false" ht="15" hidden="false" customHeight="false" outlineLevel="0" collapsed="false">
      <c r="A6" s="11" t="s">
        <v>60</v>
      </c>
    </row>
    <row r="7" customFormat="false" ht="15" hidden="false" customHeight="false" outlineLevel="0" collapsed="false">
      <c r="A7" s="3" t="s">
        <v>61</v>
      </c>
      <c r="D7" s="12" t="n">
        <f aca="false">COUNTIF('My Scoring'!$F$2:$F$9,"&gt;=2")+COUNTIF('My Scoring'!$F$2:$F$9,"&lt;=-2")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2026-10-15T03:54:50Z</dcterms:created>
  <dc:creator>openpyxl</dc:creator>
  <dc:description/>
  <dc:language>en-US</dc:language>
  <cp:lastModifiedBy/>
  <dcterms:modified xsi:type="dcterms:W3CDTF">2026-10-15T03:54:50Z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