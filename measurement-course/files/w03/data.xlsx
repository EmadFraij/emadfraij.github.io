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" sheetId="1" state="visible" r:id="rId3"/>
    <sheet name="النواتج والمستويات" sheetId="2" state="visible" r:id="rId4"/>
    <sheet name="الاختبار" sheetId="3" state="visible" r:id="rId5"/>
    <sheet name="مصفوفة المواءمة" sheetId="4" state="visible" r:id="rId6"/>
    <sheet name="صدق المحكمين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1" authorId="0">
      <text>
        <r>
          <rPr>
            <sz val="10"/>
            <rFont val="FreeSans"/>
            <family val="2"/>
          </rPr>
          <t xml:space="preserve">التوزيع المقصود هو ما اعتمده معلم الاختبار: معرفة </t>
        </r>
        <r>
          <rPr>
            <sz val="10"/>
            <rFont val="Arial"/>
            <family val="2"/>
          </rPr>
          <t xml:space="preserve">35%، تطبيق 40%، استدلال 25%. للمقارنة: إطار تيمس 2023 لعلوم الصف الثامن 35% و35% و30%.</t>
        </r>
      </text>
    </comment>
    <comment ref="C2" authorId="0">
      <text>
        <r>
          <rPr>
            <sz val="10"/>
            <rFont val="FreeSans"/>
            <family val="2"/>
          </rPr>
          <t xml:space="preserve">الأوزان المقصودة مأخوذة من جدول المواصفات الذي يفترض أن المعلم أعدّه قبل كتابة الاختبار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FreeSans"/>
            <family val="2"/>
          </rPr>
          <t xml:space="preserve">الفرق المسموح به بين الوزن الفعلي والمقصود قبل اعتبار الناتج ممثَّلاً تمثيلاً زائداً أو ناقصاً. قيمة اجتهادية يحددها القسم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3" authorId="0">
      <text>
        <r>
          <rPr>
            <sz val="10"/>
            <rFont val="FreeSans"/>
            <family val="2"/>
          </rPr>
          <t xml:space="preserve">لين (</t>
        </r>
        <r>
          <rPr>
            <sz val="10"/>
            <rFont val="Arial"/>
            <family val="2"/>
          </rPr>
          <t xml:space="preserve">1986): مع خمسة محكّمين أو أقل يجب أن يتفق الجميع (مؤشر 1.00). ومع ستة محكّمين فأكثر يوصي بوليت وبيك (2006) بألا يقل المؤشر عن 0.78.</t>
        </r>
      </text>
    </comment>
    <comment ref="K5" authorId="0">
      <text>
        <r>
          <rPr>
            <sz val="10"/>
            <rFont val="FreeSans"/>
            <family val="2"/>
          </rPr>
          <t xml:space="preserve">بوليت وبيك (</t>
        </r>
        <r>
          <rPr>
            <sz val="10"/>
            <rFont val="Arial"/>
            <family val="2"/>
          </rPr>
          <t xml:space="preserve">2006): يُستحسن أن يبلغ المتوسط 0.90 فأكثر.</t>
        </r>
      </text>
    </comment>
  </commentList>
</comments>
</file>

<file path=xl/sharedStrings.xml><?xml version="1.0" encoding="utf-8"?>
<sst xmlns="http://schemas.openxmlformats.org/spreadsheetml/2006/main" count="173" uniqueCount="105">
  <si>
    <t xml:space="preserve">مشغل الأسبوع 3 — أدلة الصدق: مواءمة اختبار مدرسي مع نواتجه</t>
  </si>
  <si>
    <t xml:space="preserve">مساق القياس والتقويم التربوي — دبلوم الدراسات العليا المهني في التدريس</t>
  </si>
  <si>
    <t xml:space="preserve">تنبيه: الاختبار وتقديرات المحكّمين نموذج تدريبي أُعدّ للمساق، وليس اختباراً مدرسياً حقيقياً.</t>
  </si>
  <si>
    <t xml:space="preserve">اختبار وحدة «المادة وتغيّراتها» للصف الثامن: 20 فقرة، مجموع درجاتها 30.</t>
  </si>
  <si>
    <t xml:space="preserve">في الاختبار مشكلات مواءمة مقصودة. مهمتك اكتشافها بالأرقام، ثم اقتراح تعديل يعالجها.</t>
  </si>
  <si>
    <t xml:space="preserve">أوراق المصنف:</t>
  </si>
  <si>
    <t xml:space="preserve">النواتج والمستويات: نواتج الوحدة الستة وأوزانها المقصودة، وتوزيع المستويات المعرفية المقصود.</t>
  </si>
  <si>
    <t xml:space="preserve">الاختبار: نص كل فقرة ونوعها والناتج والمستوى اللذان تقيسهما ودرجتها.</t>
  </si>
  <si>
    <t xml:space="preserve">مصفوفة المواءمة: الوزن الفعلي لكل ناتج ولكل مستوى مقارنة بالمقصود، ومؤشر التغطية.</t>
  </si>
  <si>
    <t xml:space="preserve">صدق المحكّمين: تقديرات خمسة محكّمين لمدى ارتباط كل فقرة بناتجها، ومؤشر صدق المحتوى.</t>
  </si>
  <si>
    <t xml:space="preserve">الخلايا الصفراء مدخلات قابلة للتعديل. جرّب: انقل فقرات من ن1 إلى ن5 وراقب مؤشر التغطية.</t>
  </si>
  <si>
    <t xml:space="preserve">الرمز</t>
  </si>
  <si>
    <t xml:space="preserve">ناتج التعلم</t>
  </si>
  <si>
    <t xml:space="preserve">الوزن المقصود</t>
  </si>
  <si>
    <t xml:space="preserve">ن1</t>
  </si>
  <si>
    <t xml:space="preserve">يميّز بين التغيرات الفيزيائية والتغيرات الكيميائية</t>
  </si>
  <si>
    <t xml:space="preserve">ن2</t>
  </si>
  <si>
    <t xml:space="preserve">يفسّر خصائص حالات المادة باستخدام نموذج الجسيمات</t>
  </si>
  <si>
    <t xml:space="preserve">ن3</t>
  </si>
  <si>
    <t xml:space="preserve">يحسب الكثافة ويستخدمها في تفسير الطفو</t>
  </si>
  <si>
    <t xml:space="preserve">ن4</t>
  </si>
  <si>
    <t xml:space="preserve">يحدد أدلة حدوث التفاعل الكيميائي</t>
  </si>
  <si>
    <t xml:space="preserve">ن5</t>
  </si>
  <si>
    <t xml:space="preserve">يطبّق قانون حفظ الكتلة على تفاعلات بسيطة</t>
  </si>
  <si>
    <t xml:space="preserve">ن6</t>
  </si>
  <si>
    <t xml:space="preserve">يخطط لفصل مكونات مخلوط بطرق مناسبة</t>
  </si>
  <si>
    <t xml:space="preserve">المجموع</t>
  </si>
  <si>
    <t xml:space="preserve">المستوى المعرفي</t>
  </si>
  <si>
    <t xml:space="preserve">معرفة</t>
  </si>
  <si>
    <t xml:space="preserve">تطبيق</t>
  </si>
  <si>
    <t xml:space="preserve">استدلال</t>
  </si>
  <si>
    <t xml:space="preserve">الفقرة</t>
  </si>
  <si>
    <t xml:space="preserve">نص الفقرة</t>
  </si>
  <si>
    <t xml:space="preserve">نوع الفقرة</t>
  </si>
  <si>
    <t xml:space="preserve">الناتج</t>
  </si>
  <si>
    <t xml:space="preserve">المستوى</t>
  </si>
  <si>
    <t xml:space="preserve">الدرجة</t>
  </si>
  <si>
    <t xml:space="preserve">أيّ مما يلي تغيّر فيزيائي؟ (أ) احتراق الورق (ب) ذوبان الجليد (ج) صدأ الحديد (د) طهي البيض</t>
  </si>
  <si>
    <t xml:space="preserve">اختيار من متعدد</t>
  </si>
  <si>
    <t xml:space="preserve">أيّ مما يلي تغيّر كيميائي؟ (أ) تبخر الماء (ب) تمزيق الورق (ج) تخمّر العجين (د) طحن السكر</t>
  </si>
  <si>
    <t xml:space="preserve">ذوبان السكر في الماء تغيّر كيميائي. (صح / خطأ)</t>
  </si>
  <si>
    <t xml:space="preserve">صح أو خطأ</t>
  </si>
  <si>
    <t xml:space="preserve">عرّف التغيّر الفيزيائي.</t>
  </si>
  <si>
    <t xml:space="preserve">إجابة قصيرة</t>
  </si>
  <si>
    <t xml:space="preserve">اذكر مثالين على تغيّر كيميائي من حياتك اليومية.</t>
  </si>
  <si>
    <t xml:space="preserve">انصهار الشمع مثال على تغيّر ...................</t>
  </si>
  <si>
    <t xml:space="preserve">إكمال</t>
  </si>
  <si>
    <t xml:space="preserve">صنّف التغيّرات الآتية إلى فيزيائية وكيميائية: قلي البيض، تجمّد الماء، احتراق الخشب، ذوبان الملح.</t>
  </si>
  <si>
    <t xml:space="preserve">أيّ العبارات الآتية صحيحة عن التغيّر الكيميائي؟ (أربعة بدائل)</t>
  </si>
  <si>
    <t xml:space="preserve">تكثّف بخار الماء على زجاج بارد تغيّر ................</t>
  </si>
  <si>
    <t xml:space="preserve">في أيّ حالة تكون الجسيمات أكثر تقارباً؟ (أ) الصلبة (ب) السائلة (ج) الغازية (د) متساوية</t>
  </si>
  <si>
    <t xml:space="preserve">سمِّ حالات المادة الثلاث.</t>
  </si>
  <si>
    <t xml:space="preserve">فسّر باستخدام نموذج الجسيمات لماذا ينتفخ البالون عند تسخينه.</t>
  </si>
  <si>
    <t xml:space="preserve">عند التبخّر تتحول المادة من الحالة ........ إلى الحالة ........</t>
  </si>
  <si>
    <t xml:space="preserve">وحدة قياس الكثافة في النظام الدولي هي: (أربعة بدائل)</t>
  </si>
  <si>
    <t xml:space="preserve">احسب كثافة جسم كتلته 60 غراماً وحجمه 20 سنتيمتراً مكعباً، ثم حدّد هل يطفو على الماء.</t>
  </si>
  <si>
    <t xml:space="preserve">الجسم الذي يطفو على الماء كثافته ........ من كثافة الماء.</t>
  </si>
  <si>
    <t xml:space="preserve">أيّ مما يلي ليس دليلاً على حدوث تفاعل كيميائي؟ (أربعة بدائل)</t>
  </si>
  <si>
    <t xml:space="preserve">اذكر دليلين على حدوث تفاعل كيميائي.</t>
  </si>
  <si>
    <t xml:space="preserve">خلطت سارة مسحوقين أبيضين فظهرت فقاعات وارتفعت درجة الحرارة. هل حدث تفاعل كيميائي؟ استدل بدليلين على الأقل، وناقش تفسيراً بديلاً.</t>
  </si>
  <si>
    <t xml:space="preserve">مقالية</t>
  </si>
  <si>
    <t xml:space="preserve">لديك مخلوط من الرمل والملح والماء. اكتب خطوات فصل مكوناته الثلاثة.</t>
  </si>
  <si>
    <t xml:space="preserve">عدد الفقرات</t>
  </si>
  <si>
    <t xml:space="preserve">الدرجات</t>
  </si>
  <si>
    <t xml:space="preserve">الوزن الفعلي</t>
  </si>
  <si>
    <t xml:space="preserve">الفرق (نقطة مئوية)</t>
  </si>
  <si>
    <t xml:space="preserve">الحكم</t>
  </si>
  <si>
    <t xml:space="preserve">حدّ التسامح (نقطة مئوية)</t>
  </si>
  <si>
    <t xml:space="preserve">مؤشر التغطية</t>
  </si>
  <si>
    <t xml:space="preserve">نسبة النواتج التي يقع وزنها الفعلي ضمن حدّ التسامح</t>
  </si>
  <si>
    <t xml:space="preserve">نواتج غير ممثَّلة</t>
  </si>
  <si>
    <t xml:space="preserve">المحكّم 1</t>
  </si>
  <si>
    <t xml:space="preserve">المحكّم 2</t>
  </si>
  <si>
    <t xml:space="preserve">المحكّم 3</t>
  </si>
  <si>
    <t xml:space="preserve">المحكّم 4</t>
  </si>
  <si>
    <t xml:space="preserve">المحكّم 5</t>
  </si>
  <si>
    <t xml:space="preserve">عدد من قدّر 3 أو 4</t>
  </si>
  <si>
    <t xml:space="preserve">مؤشر صدق الفقرة</t>
  </si>
  <si>
    <t xml:space="preserve">المعيار</t>
  </si>
  <si>
    <t xml:space="preserve">ف1</t>
  </si>
  <si>
    <t xml:space="preserve">عدد المحكّمين</t>
  </si>
  <si>
    <t xml:space="preserve">ف2</t>
  </si>
  <si>
    <t xml:space="preserve">الحد الأدنى لمؤشر صدق الفقرة</t>
  </si>
  <si>
    <t xml:space="preserve">ف3</t>
  </si>
  <si>
    <t xml:space="preserve">ف4</t>
  </si>
  <si>
    <t xml:space="preserve">متوسط مؤشر صدق المحتوى للاختبار</t>
  </si>
  <si>
    <t xml:space="preserve">ف5</t>
  </si>
  <si>
    <t xml:space="preserve">نسبة الفقرات بإجماع تام</t>
  </si>
  <si>
    <t xml:space="preserve">ف6</t>
  </si>
  <si>
    <t xml:space="preserve">فقرات تحتاج مراجعة</t>
  </si>
  <si>
    <t xml:space="preserve">ف7</t>
  </si>
  <si>
    <t xml:space="preserve">ف8</t>
  </si>
  <si>
    <t xml:space="preserve">مقياس التقدير: 1 غير مرتبطة، 2 مرتبطة بدرجة ضعيفة، 3 مرتبطة، 4 مرتبطة جداً بالناتج</t>
  </si>
  <si>
    <t xml:space="preserve">ف9</t>
  </si>
  <si>
    <t xml:space="preserve">ف10</t>
  </si>
  <si>
    <t xml:space="preserve">ف11</t>
  </si>
  <si>
    <t xml:space="preserve">ف12</t>
  </si>
  <si>
    <t xml:space="preserve">ف13</t>
  </si>
  <si>
    <t xml:space="preserve">ف14</t>
  </si>
  <si>
    <t xml:space="preserve">ف15</t>
  </si>
  <si>
    <t xml:space="preserve">ف16</t>
  </si>
  <si>
    <t xml:space="preserve">ف17</t>
  </si>
  <si>
    <t xml:space="preserve">ف18</t>
  </si>
  <si>
    <t xml:space="preserve">ف19</t>
  </si>
  <si>
    <t xml:space="preserve">ف20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</si>
</sst>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IBM Plex Sans Arabic"/>
      <family val="0"/>
      <charset val="1"/>
    </font>
    <font>
      <sz val="11"/>
      <name val="IBM Plex Sans Arabic"/>
      <family val="0"/>
      <charset val="1"/>
    </font>
    <font>
      <b val="true"/>
      <sz val="11"/>
      <name val="IBM Plex Sans Arabic"/>
      <family val="0"/>
      <charset val="1"/>
    </font>
    <font>
      <b val="true"/>
      <sz val="11"/>
      <color rgb="FFFFFFFF"/>
      <name val="IBM Plex Sans Arabic"/>
      <family val="0"/>
      <charset val="1"/>
    </font>
    <font>
      <sz val="11"/>
      <color rgb="FF0000FF"/>
      <name val="IBM Plex Sans Arabic"/>
      <family val="0"/>
      <charset val="1"/>
    </font>
    <font>
      <sz val="11"/>
      <color theme="1"/>
      <name val="FreeSans"/>
      <family val="2"/>
    </font>
    <font>
      <sz val="10"/>
      <name val="FreeSans"/>
      <family val="2"/>
    </font>
    <font>
      <sz val="10"/>
      <name val="Arial"/>
      <family val="2"/>
    </font>
    <font>
      <sz val="11"/>
      <color rgb="FF595959"/>
      <name val="IBM Plex Sans Arabic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الوزن الفعلي مقابل المقصود لكل ناتج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'مصفوفة المواءمة'!D1</c:f>
              <c:strCache>
                <c:ptCount val="1"/>
                <c:pt idx="0">
                  <c:v>الوزن الفعلي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'مصفوفة المواءمة'!$A$2:$A$7</c:f>
              <c:strCache>
                <c:ptCount val="6"/>
                <c:pt idx="0">
                  <c:v>ن1</c:v>
                </c:pt>
                <c:pt idx="1">
                  <c:v>ن2</c:v>
                </c:pt>
                <c:pt idx="2">
                  <c:v>ن3</c:v>
                </c:pt>
                <c:pt idx="3">
                  <c:v>ن4</c:v>
                </c:pt>
                <c:pt idx="4">
                  <c:v>ن5</c:v>
                </c:pt>
                <c:pt idx="5">
                  <c:v>ن6</c:v>
                </c:pt>
              </c:strCache>
            </c:strRef>
          </c:cat>
          <c:val>
            <c:numRef>
              <c:f>'مصفوفة المواءمة'!$D$2:$D$7</c:f>
              <c:numCache>
                <c:formatCode>0%</c:formatCode>
                <c:ptCount val="6"/>
                <c:pt idx="0">
                  <c:v>0.333333333333333</c:v>
                </c:pt>
                <c:pt idx="1">
                  <c:v>0.2</c:v>
                </c:pt>
                <c:pt idx="2">
                  <c:v>0.166666666666667</c:v>
                </c:pt>
                <c:pt idx="3">
                  <c:v>0.2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</c:ser>
        <c:ser>
          <c:idx val="1"/>
          <c:order val="1"/>
          <c:tx>
            <c:strRef>
              <c:f>'مصفوفة المواءمة'!E1</c:f>
              <c:strCache>
                <c:ptCount val="1"/>
                <c:pt idx="0">
                  <c:v>الوزن المقصود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'مصفوفة المواءمة'!$A$2:$A$7</c:f>
              <c:strCache>
                <c:ptCount val="6"/>
                <c:pt idx="0">
                  <c:v>ن1</c:v>
                </c:pt>
                <c:pt idx="1">
                  <c:v>ن2</c:v>
                </c:pt>
                <c:pt idx="2">
                  <c:v>ن3</c:v>
                </c:pt>
                <c:pt idx="3">
                  <c:v>ن4</c:v>
                </c:pt>
                <c:pt idx="4">
                  <c:v>ن5</c:v>
                </c:pt>
                <c:pt idx="5">
                  <c:v>ن6</c:v>
                </c:pt>
              </c:strCache>
            </c:strRef>
          </c:cat>
          <c:val>
            <c:numRef>
              <c:f>'مصفوفة المواءمة'!$E$2:$E$7</c:f>
              <c:numCache>
                <c:formatCode>0%</c:formatCode>
                <c:ptCount val="6"/>
                <c:pt idx="0">
                  <c:v>0.2</c:v>
                </c:pt>
                <c:pt idx="1">
                  <c:v>0.2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</c:numCache>
            </c:numRef>
          </c:val>
        </c:ser>
        <c:gapWidth val="150"/>
        <c:overlap val="0"/>
        <c:axId val="81219273"/>
        <c:axId val="55076843"/>
      </c:barChart>
      <c:catAx>
        <c:axId val="812192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76843"/>
        <c:crosses val="autoZero"/>
        <c:auto val="1"/>
        <c:lblAlgn val="ctr"/>
        <c:lblOffset val="100"/>
        <c:noMultiLvlLbl val="0"/>
      </c:catAx>
      <c:valAx>
        <c:axId val="55076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192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-398880</xdr:colOff>
      <xdr:row>2</xdr:row>
      <xdr:rowOff>99000</xdr:rowOff>
    </xdr:from>
    <xdr:to>
      <xdr:col>15</xdr:col>
      <xdr:colOff>0</xdr:colOff>
      <xdr:row>13</xdr:row>
      <xdr:rowOff>163440</xdr:rowOff>
    </xdr:to>
    <xdr:graphicFrame>
      <xdr:nvGraphicFramePr>
        <xdr:cNvPr id="0" name="Chart 1"/>
        <xdr:cNvGraphicFramePr/>
      </xdr:nvGraphicFramePr>
      <xdr:xfrm>
        <a:off x="-12573720" y="762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9" hidden="false" customHeight="false" outlineLevel="0" collapsed="false">
      <c r="A4" s="3" t="s">
        <v>2</v>
      </c>
    </row>
    <row r="5" customFormat="false" ht="17.9" hidden="false" customHeight="false" outlineLevel="0" collapsed="false">
      <c r="A5" s="2" t="s">
        <v>3</v>
      </c>
    </row>
    <row r="6" customFormat="false" ht="17.9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7.9" hidden="false" customHeight="false" outlineLevel="0" collapsed="false">
      <c r="A8" s="3" t="s">
        <v>5</v>
      </c>
    </row>
    <row r="9" customFormat="false" ht="17.9" hidden="false" customHeight="false" outlineLevel="0" collapsed="false">
      <c r="A9" s="2" t="s">
        <v>6</v>
      </c>
    </row>
    <row r="10" customFormat="false" ht="17.9" hidden="false" customHeight="false" outlineLevel="0" collapsed="false">
      <c r="A10" s="2" t="s">
        <v>7</v>
      </c>
    </row>
    <row r="11" customFormat="false" ht="17.9" hidden="false" customHeight="false" outlineLevel="0" collapsed="false">
      <c r="A11" s="2" t="s">
        <v>8</v>
      </c>
    </row>
    <row r="12" customFormat="false" ht="17.9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9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3" min="3" style="0" width="14"/>
  </cols>
  <sheetData>
    <row r="1" customFormat="false" ht="17.9" hidden="false" customHeight="false" outlineLevel="0" collapsed="false">
      <c r="A1" s="4" t="s">
        <v>11</v>
      </c>
      <c r="B1" s="4" t="s">
        <v>12</v>
      </c>
      <c r="C1" s="4" t="s">
        <v>13</v>
      </c>
    </row>
    <row r="2" customFormat="false" ht="17.9" hidden="false" customHeight="false" outlineLevel="0" collapsed="false">
      <c r="A2" s="5" t="s">
        <v>14</v>
      </c>
      <c r="B2" s="6" t="s">
        <v>15</v>
      </c>
      <c r="C2" s="7" t="n">
        <v>0.2</v>
      </c>
    </row>
    <row r="3" customFormat="false" ht="17.9" hidden="false" customHeight="false" outlineLevel="0" collapsed="false">
      <c r="A3" s="5" t="s">
        <v>16</v>
      </c>
      <c r="B3" s="6" t="s">
        <v>17</v>
      </c>
      <c r="C3" s="7" t="n">
        <v>0.2</v>
      </c>
    </row>
    <row r="4" customFormat="false" ht="17.9" hidden="false" customHeight="false" outlineLevel="0" collapsed="false">
      <c r="A4" s="5" t="s">
        <v>18</v>
      </c>
      <c r="B4" s="6" t="s">
        <v>19</v>
      </c>
      <c r="C4" s="7" t="n">
        <v>0.15</v>
      </c>
    </row>
    <row r="5" customFormat="false" ht="17.9" hidden="false" customHeight="false" outlineLevel="0" collapsed="false">
      <c r="A5" s="5" t="s">
        <v>20</v>
      </c>
      <c r="B5" s="6" t="s">
        <v>21</v>
      </c>
      <c r="C5" s="7" t="n">
        <v>0.15</v>
      </c>
    </row>
    <row r="6" customFormat="false" ht="17.9" hidden="false" customHeight="false" outlineLevel="0" collapsed="false">
      <c r="A6" s="5" t="s">
        <v>22</v>
      </c>
      <c r="B6" s="6" t="s">
        <v>23</v>
      </c>
      <c r="C6" s="7" t="n">
        <v>0.15</v>
      </c>
    </row>
    <row r="7" customFormat="false" ht="17.9" hidden="false" customHeight="false" outlineLevel="0" collapsed="false">
      <c r="A7" s="5" t="s">
        <v>24</v>
      </c>
      <c r="B7" s="6" t="s">
        <v>25</v>
      </c>
      <c r="C7" s="7" t="n">
        <v>0.15</v>
      </c>
    </row>
    <row r="8" customFormat="false" ht="15" hidden="false" customHeight="false" outlineLevel="0" collapsed="false">
      <c r="B8" s="8" t="s">
        <v>26</v>
      </c>
      <c r="C8" s="9" t="n">
        <f aca="false">SUM(C2:C7)</f>
        <v>1</v>
      </c>
    </row>
    <row r="11" customFormat="false" ht="17.9" hidden="false" customHeight="false" outlineLevel="0" collapsed="false">
      <c r="A11" s="4" t="s">
        <v>27</v>
      </c>
      <c r="B11" s="4"/>
      <c r="C11" s="4" t="s">
        <v>13</v>
      </c>
    </row>
    <row r="12" customFormat="false" ht="17.9" hidden="false" customHeight="false" outlineLevel="0" collapsed="false">
      <c r="A12" s="5" t="s">
        <v>28</v>
      </c>
      <c r="B12" s="5"/>
      <c r="C12" s="7" t="n">
        <v>0.35</v>
      </c>
    </row>
    <row r="13" customFormat="false" ht="17.9" hidden="false" customHeight="false" outlineLevel="0" collapsed="false">
      <c r="A13" s="5" t="s">
        <v>29</v>
      </c>
      <c r="B13" s="5"/>
      <c r="C13" s="7" t="n">
        <v>0.4</v>
      </c>
    </row>
    <row r="14" customFormat="false" ht="17.9" hidden="false" customHeight="false" outlineLevel="0" collapsed="false">
      <c r="A14" s="5" t="s">
        <v>30</v>
      </c>
      <c r="B14" s="5"/>
      <c r="C14" s="7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6" min="4" style="0" width="10"/>
  </cols>
  <sheetData>
    <row r="1" customFormat="false" ht="17.9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</row>
    <row r="2" customFormat="false" ht="17.9" hidden="false" customHeight="false" outlineLevel="0" collapsed="false">
      <c r="A2" s="5" t="n">
        <v>1</v>
      </c>
      <c r="B2" s="6" t="s">
        <v>37</v>
      </c>
      <c r="C2" s="5" t="s">
        <v>38</v>
      </c>
      <c r="D2" s="10" t="s">
        <v>14</v>
      </c>
      <c r="E2" s="10" t="s">
        <v>28</v>
      </c>
      <c r="F2" s="10" t="n">
        <v>1</v>
      </c>
    </row>
    <row r="3" customFormat="false" ht="17.9" hidden="false" customHeight="false" outlineLevel="0" collapsed="false">
      <c r="A3" s="5" t="n">
        <v>2</v>
      </c>
      <c r="B3" s="6" t="s">
        <v>39</v>
      </c>
      <c r="C3" s="5" t="s">
        <v>38</v>
      </c>
      <c r="D3" s="10" t="s">
        <v>14</v>
      </c>
      <c r="E3" s="10" t="s">
        <v>28</v>
      </c>
      <c r="F3" s="10" t="n">
        <v>1</v>
      </c>
    </row>
    <row r="4" customFormat="false" ht="17.9" hidden="false" customHeight="false" outlineLevel="0" collapsed="false">
      <c r="A4" s="5" t="n">
        <v>3</v>
      </c>
      <c r="B4" s="6" t="s">
        <v>40</v>
      </c>
      <c r="C4" s="5" t="s">
        <v>41</v>
      </c>
      <c r="D4" s="10" t="s">
        <v>14</v>
      </c>
      <c r="E4" s="10" t="s">
        <v>28</v>
      </c>
      <c r="F4" s="10" t="n">
        <v>1</v>
      </c>
    </row>
    <row r="5" customFormat="false" ht="17.9" hidden="false" customHeight="false" outlineLevel="0" collapsed="false">
      <c r="A5" s="5" t="n">
        <v>4</v>
      </c>
      <c r="B5" s="6" t="s">
        <v>42</v>
      </c>
      <c r="C5" s="5" t="s">
        <v>43</v>
      </c>
      <c r="D5" s="10" t="s">
        <v>14</v>
      </c>
      <c r="E5" s="10" t="s">
        <v>28</v>
      </c>
      <c r="F5" s="10" t="n">
        <v>1</v>
      </c>
    </row>
    <row r="6" customFormat="false" ht="17.9" hidden="false" customHeight="false" outlineLevel="0" collapsed="false">
      <c r="A6" s="5" t="n">
        <v>5</v>
      </c>
      <c r="B6" s="6" t="s">
        <v>44</v>
      </c>
      <c r="C6" s="5" t="s">
        <v>43</v>
      </c>
      <c r="D6" s="10" t="s">
        <v>14</v>
      </c>
      <c r="E6" s="10" t="s">
        <v>28</v>
      </c>
      <c r="F6" s="10" t="n">
        <v>1</v>
      </c>
    </row>
    <row r="7" customFormat="false" ht="17.9" hidden="false" customHeight="false" outlineLevel="0" collapsed="false">
      <c r="A7" s="5" t="n">
        <v>6</v>
      </c>
      <c r="B7" s="6" t="s">
        <v>45</v>
      </c>
      <c r="C7" s="5" t="s">
        <v>46</v>
      </c>
      <c r="D7" s="10" t="s">
        <v>14</v>
      </c>
      <c r="E7" s="10" t="s">
        <v>28</v>
      </c>
      <c r="F7" s="10" t="n">
        <v>1</v>
      </c>
    </row>
    <row r="8" customFormat="false" ht="34.3" hidden="false" customHeight="false" outlineLevel="0" collapsed="false">
      <c r="A8" s="5" t="n">
        <v>7</v>
      </c>
      <c r="B8" s="6" t="s">
        <v>47</v>
      </c>
      <c r="C8" s="5" t="s">
        <v>43</v>
      </c>
      <c r="D8" s="10" t="s">
        <v>14</v>
      </c>
      <c r="E8" s="10" t="s">
        <v>29</v>
      </c>
      <c r="F8" s="10" t="n">
        <v>2</v>
      </c>
    </row>
    <row r="9" customFormat="false" ht="17.9" hidden="false" customHeight="false" outlineLevel="0" collapsed="false">
      <c r="A9" s="5" t="n">
        <v>8</v>
      </c>
      <c r="B9" s="6" t="s">
        <v>48</v>
      </c>
      <c r="C9" s="5" t="s">
        <v>38</v>
      </c>
      <c r="D9" s="10" t="s">
        <v>14</v>
      </c>
      <c r="E9" s="10" t="s">
        <v>28</v>
      </c>
      <c r="F9" s="10" t="n">
        <v>1</v>
      </c>
    </row>
    <row r="10" customFormat="false" ht="17.9" hidden="false" customHeight="false" outlineLevel="0" collapsed="false">
      <c r="A10" s="5" t="n">
        <v>9</v>
      </c>
      <c r="B10" s="6" t="s">
        <v>49</v>
      </c>
      <c r="C10" s="5" t="s">
        <v>46</v>
      </c>
      <c r="D10" s="10" t="s">
        <v>14</v>
      </c>
      <c r="E10" s="10" t="s">
        <v>28</v>
      </c>
      <c r="F10" s="10" t="n">
        <v>1</v>
      </c>
    </row>
    <row r="11" customFormat="false" ht="17.9" hidden="false" customHeight="false" outlineLevel="0" collapsed="false">
      <c r="A11" s="5" t="n">
        <v>10</v>
      </c>
      <c r="B11" s="6" t="s">
        <v>50</v>
      </c>
      <c r="C11" s="5" t="s">
        <v>38</v>
      </c>
      <c r="D11" s="10" t="s">
        <v>16</v>
      </c>
      <c r="E11" s="10" t="s">
        <v>28</v>
      </c>
      <c r="F11" s="10" t="n">
        <v>1</v>
      </c>
    </row>
    <row r="12" customFormat="false" ht="17.9" hidden="false" customHeight="false" outlineLevel="0" collapsed="false">
      <c r="A12" s="5" t="n">
        <v>11</v>
      </c>
      <c r="B12" s="6" t="s">
        <v>51</v>
      </c>
      <c r="C12" s="5" t="s">
        <v>43</v>
      </c>
      <c r="D12" s="10" t="s">
        <v>16</v>
      </c>
      <c r="E12" s="10" t="s">
        <v>28</v>
      </c>
      <c r="F12" s="10" t="n">
        <v>1</v>
      </c>
    </row>
    <row r="13" customFormat="false" ht="17.9" hidden="false" customHeight="false" outlineLevel="0" collapsed="false">
      <c r="A13" s="5" t="n">
        <v>12</v>
      </c>
      <c r="B13" s="6" t="s">
        <v>52</v>
      </c>
      <c r="C13" s="5" t="s">
        <v>43</v>
      </c>
      <c r="D13" s="10" t="s">
        <v>16</v>
      </c>
      <c r="E13" s="10" t="s">
        <v>29</v>
      </c>
      <c r="F13" s="10" t="n">
        <v>3</v>
      </c>
    </row>
    <row r="14" customFormat="false" ht="17.9" hidden="false" customHeight="false" outlineLevel="0" collapsed="false">
      <c r="A14" s="5" t="n">
        <v>13</v>
      </c>
      <c r="B14" s="6" t="s">
        <v>53</v>
      </c>
      <c r="C14" s="5" t="s">
        <v>46</v>
      </c>
      <c r="D14" s="10" t="s">
        <v>16</v>
      </c>
      <c r="E14" s="10" t="s">
        <v>28</v>
      </c>
      <c r="F14" s="10" t="n">
        <v>1</v>
      </c>
    </row>
    <row r="15" customFormat="false" ht="17.9" hidden="false" customHeight="false" outlineLevel="0" collapsed="false">
      <c r="A15" s="5" t="n">
        <v>14</v>
      </c>
      <c r="B15" s="6" t="s">
        <v>54</v>
      </c>
      <c r="C15" s="5" t="s">
        <v>38</v>
      </c>
      <c r="D15" s="10" t="s">
        <v>18</v>
      </c>
      <c r="E15" s="10" t="s">
        <v>28</v>
      </c>
      <c r="F15" s="10" t="n">
        <v>1</v>
      </c>
    </row>
    <row r="16" customFormat="false" ht="17.9" hidden="false" customHeight="false" outlineLevel="0" collapsed="false">
      <c r="A16" s="5" t="n">
        <v>15</v>
      </c>
      <c r="B16" s="6" t="s">
        <v>55</v>
      </c>
      <c r="C16" s="5" t="s">
        <v>43</v>
      </c>
      <c r="D16" s="10" t="s">
        <v>18</v>
      </c>
      <c r="E16" s="10" t="s">
        <v>29</v>
      </c>
      <c r="F16" s="10" t="n">
        <v>3</v>
      </c>
    </row>
    <row r="17" customFormat="false" ht="17.9" hidden="false" customHeight="false" outlineLevel="0" collapsed="false">
      <c r="A17" s="5" t="n">
        <v>16</v>
      </c>
      <c r="B17" s="6" t="s">
        <v>56</v>
      </c>
      <c r="C17" s="5" t="s">
        <v>46</v>
      </c>
      <c r="D17" s="10" t="s">
        <v>18</v>
      </c>
      <c r="E17" s="10" t="s">
        <v>28</v>
      </c>
      <c r="F17" s="10" t="n">
        <v>1</v>
      </c>
    </row>
    <row r="18" customFormat="false" ht="17.9" hidden="false" customHeight="false" outlineLevel="0" collapsed="false">
      <c r="A18" s="5" t="n">
        <v>17</v>
      </c>
      <c r="B18" s="6" t="s">
        <v>57</v>
      </c>
      <c r="C18" s="5" t="s">
        <v>38</v>
      </c>
      <c r="D18" s="10" t="s">
        <v>20</v>
      </c>
      <c r="E18" s="10" t="s">
        <v>28</v>
      </c>
      <c r="F18" s="10" t="n">
        <v>1</v>
      </c>
    </row>
    <row r="19" customFormat="false" ht="17.9" hidden="false" customHeight="false" outlineLevel="0" collapsed="false">
      <c r="A19" s="5" t="n">
        <v>18</v>
      </c>
      <c r="B19" s="6" t="s">
        <v>58</v>
      </c>
      <c r="C19" s="5" t="s">
        <v>43</v>
      </c>
      <c r="D19" s="10" t="s">
        <v>20</v>
      </c>
      <c r="E19" s="10" t="s">
        <v>28</v>
      </c>
      <c r="F19" s="10" t="n">
        <v>1</v>
      </c>
    </row>
    <row r="20" customFormat="false" ht="34.3" hidden="false" customHeight="false" outlineLevel="0" collapsed="false">
      <c r="A20" s="5" t="n">
        <v>19</v>
      </c>
      <c r="B20" s="6" t="s">
        <v>59</v>
      </c>
      <c r="C20" s="5" t="s">
        <v>60</v>
      </c>
      <c r="D20" s="10" t="s">
        <v>20</v>
      </c>
      <c r="E20" s="10" t="s">
        <v>30</v>
      </c>
      <c r="F20" s="10" t="n">
        <v>4</v>
      </c>
    </row>
    <row r="21" customFormat="false" ht="17.9" hidden="false" customHeight="false" outlineLevel="0" collapsed="false">
      <c r="A21" s="5" t="n">
        <v>20</v>
      </c>
      <c r="B21" s="6" t="s">
        <v>61</v>
      </c>
      <c r="C21" s="5" t="s">
        <v>60</v>
      </c>
      <c r="D21" s="10" t="s">
        <v>24</v>
      </c>
      <c r="E21" s="10" t="s">
        <v>29</v>
      </c>
      <c r="F21" s="10" t="n">
        <v>3</v>
      </c>
    </row>
    <row r="22" customFormat="false" ht="15" hidden="false" customHeight="false" outlineLevel="0" collapsed="false">
      <c r="E22" s="8" t="s">
        <v>26</v>
      </c>
      <c r="F22" s="0" t="n">
        <f aca="false">SUM(F2:F21)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10" min="10" style="0" width="24"/>
  </cols>
  <sheetData>
    <row r="1" customFormat="false" ht="34.3" hidden="false" customHeight="false" outlineLevel="0" collapsed="false">
      <c r="A1" s="4" t="s">
        <v>34</v>
      </c>
      <c r="B1" s="4" t="s">
        <v>62</v>
      </c>
      <c r="C1" s="4" t="s">
        <v>63</v>
      </c>
      <c r="D1" s="4" t="s">
        <v>64</v>
      </c>
      <c r="E1" s="4" t="s">
        <v>13</v>
      </c>
      <c r="F1" s="4" t="s">
        <v>65</v>
      </c>
      <c r="G1" s="4" t="s">
        <v>66</v>
      </c>
      <c r="J1" s="3" t="s">
        <v>67</v>
      </c>
    </row>
    <row r="2" customFormat="false" ht="17.9" hidden="false" customHeight="false" outlineLevel="0" collapsed="false">
      <c r="A2" s="5" t="str">
        <f aca="false">'النواتج والمستويات'!A2</f>
        <v>ن1</v>
      </c>
      <c r="B2" s="5" t="n">
        <f aca="false">COUNTIF(الاختبار!$D$2:$D$21,A2)</f>
        <v>9</v>
      </c>
      <c r="C2" s="5" t="n">
        <f aca="false">SUMIF(الاختبار!$D$2:$D$21,A2,الاختبار!$F$2:$F$21)</f>
        <v>10</v>
      </c>
      <c r="D2" s="11" t="n">
        <f aca="false">C2/الاختبار!$F$22</f>
        <v>0.333333333333333</v>
      </c>
      <c r="E2" s="11" t="n">
        <f aca="false">'النواتج والمستويات'!C2</f>
        <v>0.2</v>
      </c>
      <c r="F2" s="5" t="n">
        <f aca="false">ROUND((D2-E2)*100,1)</f>
        <v>13.3</v>
      </c>
      <c r="G2" s="5" t="str">
        <f aca="false">IF(B2=0,"غير ممثَّل",IF(F2&gt;$J$2,"تمثيل زائد",IF(F2&lt;-$J$2,"تمثيل ناقص","متوازن")))</f>
        <v>تمثيل زائد</v>
      </c>
      <c r="J2" s="12" t="n">
        <v>5</v>
      </c>
    </row>
    <row r="3" customFormat="false" ht="17.9" hidden="false" customHeight="false" outlineLevel="0" collapsed="false">
      <c r="A3" s="5" t="str">
        <f aca="false">'النواتج والمستويات'!A3</f>
        <v>ن2</v>
      </c>
      <c r="B3" s="5" t="n">
        <f aca="false">COUNTIF(الاختبار!$D$2:$D$21,A3)</f>
        <v>4</v>
      </c>
      <c r="C3" s="5" t="n">
        <f aca="false">SUMIF(الاختبار!$D$2:$D$21,A3,الاختبار!$F$2:$F$21)</f>
        <v>6</v>
      </c>
      <c r="D3" s="11" t="n">
        <f aca="false">C3/الاختبار!$F$22</f>
        <v>0.2</v>
      </c>
      <c r="E3" s="11" t="n">
        <f aca="false">'النواتج والمستويات'!C3</f>
        <v>0.2</v>
      </c>
      <c r="F3" s="5" t="n">
        <f aca="false">ROUND((D3-E3)*100,1)</f>
        <v>0</v>
      </c>
      <c r="G3" s="5" t="str">
        <f aca="false">IF(B3=0,"غير ممثَّل",IF(F3&gt;$J$2,"تمثيل زائد",IF(F3&lt;-$J$2,"تمثيل ناقص","متوازن")))</f>
        <v>متوازن</v>
      </c>
    </row>
    <row r="4" customFormat="false" ht="17.9" hidden="false" customHeight="false" outlineLevel="0" collapsed="false">
      <c r="A4" s="5" t="str">
        <f aca="false">'النواتج والمستويات'!A4</f>
        <v>ن3</v>
      </c>
      <c r="B4" s="5" t="n">
        <f aca="false">COUNTIF(الاختبار!$D$2:$D$21,A4)</f>
        <v>3</v>
      </c>
      <c r="C4" s="5" t="n">
        <f aca="false">SUMIF(الاختبار!$D$2:$D$21,A4,الاختبار!$F$2:$F$21)</f>
        <v>5</v>
      </c>
      <c r="D4" s="11" t="n">
        <f aca="false">C4/الاختبار!$F$22</f>
        <v>0.166666666666667</v>
      </c>
      <c r="E4" s="11" t="n">
        <f aca="false">'النواتج والمستويات'!C4</f>
        <v>0.15</v>
      </c>
      <c r="F4" s="5" t="n">
        <f aca="false">ROUND((D4-E4)*100,1)</f>
        <v>1.7</v>
      </c>
      <c r="G4" s="5" t="str">
        <f aca="false">IF(B4=0,"غير ممثَّل",IF(F4&gt;$J$2,"تمثيل زائد",IF(F4&lt;-$J$2,"تمثيل ناقص","متوازن")))</f>
        <v>متوازن</v>
      </c>
    </row>
    <row r="5" customFormat="false" ht="17.9" hidden="false" customHeight="false" outlineLevel="0" collapsed="false">
      <c r="A5" s="5" t="str">
        <f aca="false">'النواتج والمستويات'!A5</f>
        <v>ن4</v>
      </c>
      <c r="B5" s="5" t="n">
        <f aca="false">COUNTIF(الاختبار!$D$2:$D$21,A5)</f>
        <v>3</v>
      </c>
      <c r="C5" s="5" t="n">
        <f aca="false">SUMIF(الاختبار!$D$2:$D$21,A5,الاختبار!$F$2:$F$21)</f>
        <v>6</v>
      </c>
      <c r="D5" s="11" t="n">
        <f aca="false">C5/الاختبار!$F$22</f>
        <v>0.2</v>
      </c>
      <c r="E5" s="11" t="n">
        <f aca="false">'النواتج والمستويات'!C5</f>
        <v>0.15</v>
      </c>
      <c r="F5" s="5" t="n">
        <f aca="false">ROUND((D5-E5)*100,1)</f>
        <v>5</v>
      </c>
      <c r="G5" s="5" t="str">
        <f aca="false">IF(B5=0,"غير ممثَّل",IF(F5&gt;$J$2,"تمثيل زائد",IF(F5&lt;-$J$2,"تمثيل ناقص","متوازن")))</f>
        <v>متوازن</v>
      </c>
    </row>
    <row r="6" customFormat="false" ht="17.9" hidden="false" customHeight="false" outlineLevel="0" collapsed="false">
      <c r="A6" s="5" t="str">
        <f aca="false">'النواتج والمستويات'!A6</f>
        <v>ن5</v>
      </c>
      <c r="B6" s="5" t="n">
        <f aca="false">COUNTIF(الاختبار!$D$2:$D$21,A6)</f>
        <v>0</v>
      </c>
      <c r="C6" s="5" t="n">
        <f aca="false">SUMIF(الاختبار!$D$2:$D$21,A6,الاختبار!$F$2:$F$21)</f>
        <v>0</v>
      </c>
      <c r="D6" s="11" t="n">
        <f aca="false">C6/الاختبار!$F$22</f>
        <v>0</v>
      </c>
      <c r="E6" s="11" t="n">
        <f aca="false">'النواتج والمستويات'!C6</f>
        <v>0.15</v>
      </c>
      <c r="F6" s="5" t="n">
        <f aca="false">ROUND((D6-E6)*100,1)</f>
        <v>-15</v>
      </c>
      <c r="G6" s="5" t="str">
        <f aca="false">IF(B6=0,"غير ممثَّل",IF(F6&gt;$J$2,"تمثيل زائد",IF(F6&lt;-$J$2,"تمثيل ناقص","متوازن")))</f>
        <v>غير ممثَّل</v>
      </c>
    </row>
    <row r="7" customFormat="false" ht="17.9" hidden="false" customHeight="false" outlineLevel="0" collapsed="false">
      <c r="A7" s="5" t="str">
        <f aca="false">'النواتج والمستويات'!A7</f>
        <v>ن6</v>
      </c>
      <c r="B7" s="5" t="n">
        <f aca="false">COUNTIF(الاختبار!$D$2:$D$21,A7)</f>
        <v>1</v>
      </c>
      <c r="C7" s="5" t="n">
        <f aca="false">SUMIF(الاختبار!$D$2:$D$21,A7,الاختبار!$F$2:$F$21)</f>
        <v>3</v>
      </c>
      <c r="D7" s="11" t="n">
        <f aca="false">C7/الاختبار!$F$22</f>
        <v>0.1</v>
      </c>
      <c r="E7" s="11" t="n">
        <f aca="false">'النواتج والمستويات'!C7</f>
        <v>0.15</v>
      </c>
      <c r="F7" s="5" t="n">
        <f aca="false">ROUND((D7-E7)*100,1)</f>
        <v>-5</v>
      </c>
      <c r="G7" s="5" t="str">
        <f aca="false">IF(B7=0,"غير ممثَّل",IF(F7&gt;$J$2,"تمثيل زائد",IF(F7&lt;-$J$2,"تمثيل ناقص","متوازن")))</f>
        <v>متوازن</v>
      </c>
    </row>
    <row r="9" customFormat="false" ht="34.3" hidden="false" customHeight="false" outlineLevel="0" collapsed="false">
      <c r="A9" s="4" t="s">
        <v>35</v>
      </c>
      <c r="B9" s="4" t="s">
        <v>62</v>
      </c>
      <c r="C9" s="4" t="s">
        <v>63</v>
      </c>
      <c r="D9" s="4" t="s">
        <v>64</v>
      </c>
      <c r="E9" s="4" t="s">
        <v>13</v>
      </c>
      <c r="F9" s="4" t="s">
        <v>65</v>
      </c>
      <c r="G9" s="4" t="s">
        <v>66</v>
      </c>
    </row>
    <row r="10" customFormat="false" ht="17.9" hidden="false" customHeight="false" outlineLevel="0" collapsed="false">
      <c r="A10" s="5" t="str">
        <f aca="false">'النواتج والمستويات'!A12</f>
        <v>معرفة</v>
      </c>
      <c r="B10" s="5" t="n">
        <f aca="false">COUNTIF(الاختبار!$E$2:$E$21,A10)</f>
        <v>15</v>
      </c>
      <c r="C10" s="5" t="n">
        <f aca="false">SUMIF(الاختبار!$E$2:$E$21,A10,الاختبار!$F$2:$F$21)</f>
        <v>15</v>
      </c>
      <c r="D10" s="11" t="n">
        <f aca="false">C10/الاختبار!$F$22</f>
        <v>0.5</v>
      </c>
      <c r="E10" s="11" t="n">
        <f aca="false">'النواتج والمستويات'!C12</f>
        <v>0.35</v>
      </c>
      <c r="F10" s="5" t="n">
        <f aca="false">ROUND((D10-E10)*100,1)</f>
        <v>15</v>
      </c>
      <c r="G10" s="5" t="str">
        <f aca="false">IF(B10=0,"غير ممثَّل",IF(F10&gt;$J$2,"تمثيل زائد",IF(F10&lt;-$J$2,"تمثيل ناقص","متوازن")))</f>
        <v>تمثيل زائد</v>
      </c>
    </row>
    <row r="11" customFormat="false" ht="17.9" hidden="false" customHeight="false" outlineLevel="0" collapsed="false">
      <c r="A11" s="5" t="str">
        <f aca="false">'النواتج والمستويات'!A13</f>
        <v>تطبيق</v>
      </c>
      <c r="B11" s="5" t="n">
        <f aca="false">COUNTIF(الاختبار!$E$2:$E$21,A11)</f>
        <v>4</v>
      </c>
      <c r="C11" s="5" t="n">
        <f aca="false">SUMIF(الاختبار!$E$2:$E$21,A11,الاختبار!$F$2:$F$21)</f>
        <v>11</v>
      </c>
      <c r="D11" s="11" t="n">
        <f aca="false">C11/الاختبار!$F$22</f>
        <v>0.366666666666667</v>
      </c>
      <c r="E11" s="11" t="n">
        <f aca="false">'النواتج والمستويات'!C13</f>
        <v>0.4</v>
      </c>
      <c r="F11" s="5" t="n">
        <f aca="false">ROUND((D11-E11)*100,1)</f>
        <v>-3.3</v>
      </c>
      <c r="G11" s="5" t="str">
        <f aca="false">IF(B11=0,"غير ممثَّل",IF(F11&gt;$J$2,"تمثيل زائد",IF(F11&lt;-$J$2,"تمثيل ناقص","متوازن")))</f>
        <v>متوازن</v>
      </c>
    </row>
    <row r="12" customFormat="false" ht="17.9" hidden="false" customHeight="false" outlineLevel="0" collapsed="false">
      <c r="A12" s="5" t="str">
        <f aca="false">'النواتج والمستويات'!A14</f>
        <v>استدلال</v>
      </c>
      <c r="B12" s="5" t="n">
        <f aca="false">COUNTIF(الاختبار!$E$2:$E$21,A12)</f>
        <v>1</v>
      </c>
      <c r="C12" s="5" t="n">
        <f aca="false">SUMIF(الاختبار!$E$2:$E$21,A12,الاختبار!$F$2:$F$21)</f>
        <v>4</v>
      </c>
      <c r="D12" s="11" t="n">
        <f aca="false">C12/الاختبار!$F$22</f>
        <v>0.133333333333333</v>
      </c>
      <c r="E12" s="11" t="n">
        <f aca="false">'النواتج والمستويات'!C14</f>
        <v>0.25</v>
      </c>
      <c r="F12" s="5" t="n">
        <f aca="false">ROUND((D12-E12)*100,1)</f>
        <v>-11.7</v>
      </c>
      <c r="G12" s="5" t="str">
        <f aca="false">IF(B12=0,"غير ممثَّل",IF(F12&gt;$J$2,"تمثيل زائد",IF(F12&lt;-$J$2,"تمثيل ناقص","متوازن")))</f>
        <v>تمثيل ناقص</v>
      </c>
    </row>
    <row r="15" customFormat="false" ht="15" hidden="false" customHeight="false" outlineLevel="0" collapsed="false">
      <c r="A15" s="3" t="s">
        <v>68</v>
      </c>
      <c r="C15" s="9" t="n">
        <f aca="false">COUNTIF(G2:G7,"متوازن")/6</f>
        <v>0.666666666666667</v>
      </c>
      <c r="D15" s="13" t="s">
        <v>69</v>
      </c>
    </row>
    <row r="16" customFormat="false" ht="15" hidden="false" customHeight="false" outlineLevel="0" collapsed="false">
      <c r="A16" s="3" t="s">
        <v>70</v>
      </c>
      <c r="C16" s="14" t="n">
        <f aca="false">COUNTIF(G2:G7,"غير ممثَّل")</f>
        <v>1</v>
      </c>
    </row>
  </sheetData>
  <conditionalFormatting sqref="G2:G7">
    <cfRule type="expression" priority="2" aboveAverage="0" equalAverage="0" bottom="0" percent="0" rank="0" text="" dxfId="0">
      <formula>G2="متوازن"</formula>
    </cfRule>
    <cfRule type="expression" priority="3" aboveAverage="0" equalAverage="0" bottom="0" percent="0" rank="0" text="" dxfId="1">
      <formula>G2="غير ممثَّل"</formula>
    </cfRule>
    <cfRule type="expression" priority="4" aboveAverage="0" equalAverage="0" bottom="0" percent="0" rank="0" text="" dxfId="2">
      <formula>LEFT(G2,4)="تمثي"</formula>
    </cfRule>
  </conditionalFormatting>
  <conditionalFormatting sqref="G10:G12">
    <cfRule type="expression" priority="5" aboveAverage="0" equalAverage="0" bottom="0" percent="0" rank="0" text="" dxfId="0">
      <formula>G10="متوازن"</formula>
    </cfRule>
    <cfRule type="expression" priority="6" aboveAverage="0" equalAverage="0" bottom="0" percent="0" rank="0" text="" dxfId="1">
      <formula>G10="غير ممثَّل"</formula>
    </cfRule>
    <cfRule type="expression" priority="7" aboveAverage="0" equalAverage="0" bottom="0" percent="0" rank="0" text="" dxfId="2">
      <formula>LEFT(G10,4)="تمثي"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2" style="0" width="10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1" min="11" style="0" width="36"/>
    <col collapsed="false" customWidth="true" hidden="false" outlineLevel="0" max="12" min="12" style="0" width="10"/>
  </cols>
  <sheetData>
    <row r="1" customFormat="false" ht="34.3" hidden="false" customHeight="false" outlineLevel="0" collapsed="false">
      <c r="A1" s="4" t="s">
        <v>31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66</v>
      </c>
      <c r="K1" s="3" t="s">
        <v>78</v>
      </c>
    </row>
    <row r="2" customFormat="false" ht="17.9" hidden="false" customHeight="false" outlineLevel="0" collapsed="false">
      <c r="A2" s="5" t="s">
        <v>79</v>
      </c>
      <c r="B2" s="10" t="n">
        <v>4</v>
      </c>
      <c r="C2" s="10" t="n">
        <v>4</v>
      </c>
      <c r="D2" s="10" t="n">
        <v>3</v>
      </c>
      <c r="E2" s="10" t="n">
        <v>4</v>
      </c>
      <c r="F2" s="10" t="n">
        <v>4</v>
      </c>
      <c r="G2" s="5" t="n">
        <f aca="false">COUNTIF(B2:F2,"&gt;=3")</f>
        <v>5</v>
      </c>
      <c r="H2" s="15" t="n">
        <f aca="false">G2/COUNT(B2:F2)</f>
        <v>1</v>
      </c>
      <c r="I2" s="5" t="str">
        <f aca="false">IF(H2&gt;=$L$3,"مقبولة","تحتاج مراجعة")</f>
        <v>مقبولة</v>
      </c>
      <c r="K2" s="3" t="s">
        <v>80</v>
      </c>
      <c r="L2" s="0" t="n">
        <f aca="false">COUNTA(B1:F1)</f>
        <v>5</v>
      </c>
    </row>
    <row r="3" customFormat="false" ht="17.9" hidden="false" customHeight="false" outlineLevel="0" collapsed="false">
      <c r="A3" s="5" t="s">
        <v>81</v>
      </c>
      <c r="B3" s="10" t="n">
        <v>4</v>
      </c>
      <c r="C3" s="10" t="n">
        <v>4</v>
      </c>
      <c r="D3" s="10" t="n">
        <v>3</v>
      </c>
      <c r="E3" s="10" t="n">
        <v>4</v>
      </c>
      <c r="F3" s="10" t="n">
        <v>4</v>
      </c>
      <c r="G3" s="5" t="n">
        <f aca="false">COUNTIF(B3:F3,"&gt;=3")</f>
        <v>5</v>
      </c>
      <c r="H3" s="15" t="n">
        <f aca="false">G3/COUNT(B3:F3)</f>
        <v>1</v>
      </c>
      <c r="I3" s="5" t="str">
        <f aca="false">IF(H3&gt;=$L$3,"مقبولة","تحتاج مراجعة")</f>
        <v>مقبولة</v>
      </c>
      <c r="K3" s="3" t="s">
        <v>82</v>
      </c>
      <c r="L3" s="16" t="n">
        <f aca="false">IF(L2&lt;=5,1,0.78)</f>
        <v>1</v>
      </c>
    </row>
    <row r="4" customFormat="false" ht="17.9" hidden="false" customHeight="false" outlineLevel="0" collapsed="false">
      <c r="A4" s="5" t="s">
        <v>83</v>
      </c>
      <c r="B4" s="10" t="n">
        <v>2</v>
      </c>
      <c r="C4" s="10" t="n">
        <v>3</v>
      </c>
      <c r="D4" s="10" t="n">
        <v>4</v>
      </c>
      <c r="E4" s="10" t="n">
        <v>2</v>
      </c>
      <c r="F4" s="10" t="n">
        <v>4</v>
      </c>
      <c r="G4" s="5" t="n">
        <f aca="false">COUNTIF(B4:F4,"&gt;=3")</f>
        <v>3</v>
      </c>
      <c r="H4" s="15" t="n">
        <f aca="false">G4/COUNT(B4:F4)</f>
        <v>0.6</v>
      </c>
      <c r="I4" s="5" t="str">
        <f aca="false">IF(H4&gt;=$L$3,"مقبولة","تحتاج مراجعة")</f>
        <v>تحتاج مراجعة</v>
      </c>
    </row>
    <row r="5" customFormat="false" ht="17.9" hidden="false" customHeight="false" outlineLevel="0" collapsed="false">
      <c r="A5" s="5" t="s">
        <v>84</v>
      </c>
      <c r="B5" s="10" t="n">
        <v>4</v>
      </c>
      <c r="C5" s="10" t="n">
        <v>4</v>
      </c>
      <c r="D5" s="10" t="n">
        <v>3</v>
      </c>
      <c r="E5" s="10" t="n">
        <v>4</v>
      </c>
      <c r="F5" s="10" t="n">
        <v>4</v>
      </c>
      <c r="G5" s="5" t="n">
        <f aca="false">COUNTIF(B5:F5,"&gt;=3")</f>
        <v>5</v>
      </c>
      <c r="H5" s="15" t="n">
        <f aca="false">G5/COUNT(B5:F5)</f>
        <v>1</v>
      </c>
      <c r="I5" s="5" t="str">
        <f aca="false">IF(H5&gt;=$L$3,"مقبولة","تحتاج مراجعة")</f>
        <v>مقبولة</v>
      </c>
      <c r="K5" s="3" t="s">
        <v>85</v>
      </c>
      <c r="L5" s="16" t="n">
        <f aca="false">AVERAGE(H2:H21)</f>
        <v>0.93</v>
      </c>
    </row>
    <row r="6" customFormat="false" ht="17.9" hidden="false" customHeight="false" outlineLevel="0" collapsed="false">
      <c r="A6" s="5" t="s">
        <v>86</v>
      </c>
      <c r="B6" s="10" t="n">
        <v>4</v>
      </c>
      <c r="C6" s="10" t="n">
        <v>4</v>
      </c>
      <c r="D6" s="10" t="n">
        <v>3</v>
      </c>
      <c r="E6" s="10" t="n">
        <v>4</v>
      </c>
      <c r="F6" s="10" t="n">
        <v>4</v>
      </c>
      <c r="G6" s="5" t="n">
        <f aca="false">COUNTIF(B6:F6,"&gt;=3")</f>
        <v>5</v>
      </c>
      <c r="H6" s="15" t="n">
        <f aca="false">G6/COUNT(B6:F6)</f>
        <v>1</v>
      </c>
      <c r="I6" s="5" t="str">
        <f aca="false">IF(H6&gt;=$L$3,"مقبولة","تحتاج مراجعة")</f>
        <v>مقبولة</v>
      </c>
      <c r="K6" s="3" t="s">
        <v>87</v>
      </c>
      <c r="L6" s="9" t="n">
        <f aca="false">COUNTIF(H2:H21,1)/COUNT(H2:H21)</f>
        <v>0.85</v>
      </c>
    </row>
    <row r="7" customFormat="false" ht="17.9" hidden="false" customHeight="false" outlineLevel="0" collapsed="false">
      <c r="A7" s="5" t="s">
        <v>88</v>
      </c>
      <c r="B7" s="10" t="n">
        <v>4</v>
      </c>
      <c r="C7" s="10" t="n">
        <v>3</v>
      </c>
      <c r="D7" s="10" t="n">
        <v>4</v>
      </c>
      <c r="E7" s="10" t="n">
        <v>4</v>
      </c>
      <c r="F7" s="10" t="n">
        <v>3</v>
      </c>
      <c r="G7" s="5" t="n">
        <f aca="false">COUNTIF(B7:F7,"&gt;=3")</f>
        <v>5</v>
      </c>
      <c r="H7" s="15" t="n">
        <f aca="false">G7/COUNT(B7:F7)</f>
        <v>1</v>
      </c>
      <c r="I7" s="5" t="str">
        <f aca="false">IF(H7&gt;=$L$3,"مقبولة","تحتاج مراجعة")</f>
        <v>مقبولة</v>
      </c>
      <c r="K7" s="3" t="s">
        <v>89</v>
      </c>
      <c r="L7" s="0" t="n">
        <f aca="false">COUNTIF(I2:I21,"تحتاج مراجعة")</f>
        <v>3</v>
      </c>
    </row>
    <row r="8" customFormat="false" ht="17.9" hidden="false" customHeight="false" outlineLevel="0" collapsed="false">
      <c r="A8" s="5" t="s">
        <v>90</v>
      </c>
      <c r="B8" s="10" t="n">
        <v>4</v>
      </c>
      <c r="C8" s="10" t="n">
        <v>4</v>
      </c>
      <c r="D8" s="10" t="n">
        <v>3</v>
      </c>
      <c r="E8" s="10" t="n">
        <v>4</v>
      </c>
      <c r="F8" s="10" t="n">
        <v>4</v>
      </c>
      <c r="G8" s="5" t="n">
        <f aca="false">COUNTIF(B8:F8,"&gt;=3")</f>
        <v>5</v>
      </c>
      <c r="H8" s="15" t="n">
        <f aca="false">G8/COUNT(B8:F8)</f>
        <v>1</v>
      </c>
      <c r="I8" s="5" t="str">
        <f aca="false">IF(H8&gt;=$L$3,"مقبولة","تحتاج مراجعة")</f>
        <v>مقبولة</v>
      </c>
    </row>
    <row r="9" customFormat="false" ht="17.9" hidden="false" customHeight="false" outlineLevel="0" collapsed="false">
      <c r="A9" s="5" t="s">
        <v>91</v>
      </c>
      <c r="B9" s="10" t="n">
        <v>4</v>
      </c>
      <c r="C9" s="10" t="n">
        <v>4</v>
      </c>
      <c r="D9" s="10" t="n">
        <v>3</v>
      </c>
      <c r="E9" s="10" t="n">
        <v>4</v>
      </c>
      <c r="F9" s="10" t="n">
        <v>4</v>
      </c>
      <c r="G9" s="5" t="n">
        <f aca="false">COUNTIF(B9:F9,"&gt;=3")</f>
        <v>5</v>
      </c>
      <c r="H9" s="15" t="n">
        <f aca="false">G9/COUNT(B9:F9)</f>
        <v>1</v>
      </c>
      <c r="I9" s="5" t="str">
        <f aca="false">IF(H9&gt;=$L$3,"مقبولة","تحتاج مراجعة")</f>
        <v>مقبولة</v>
      </c>
      <c r="K9" s="13" t="s">
        <v>92</v>
      </c>
    </row>
    <row r="10" customFormat="false" ht="17.9" hidden="false" customHeight="false" outlineLevel="0" collapsed="false">
      <c r="A10" s="5" t="s">
        <v>93</v>
      </c>
      <c r="B10" s="10" t="n">
        <v>4</v>
      </c>
      <c r="C10" s="10" t="n">
        <v>3</v>
      </c>
      <c r="D10" s="10" t="n">
        <v>4</v>
      </c>
      <c r="E10" s="10" t="n">
        <v>4</v>
      </c>
      <c r="F10" s="10" t="n">
        <v>3</v>
      </c>
      <c r="G10" s="5" t="n">
        <f aca="false">COUNTIF(B10:F10,"&gt;=3")</f>
        <v>5</v>
      </c>
      <c r="H10" s="15" t="n">
        <f aca="false">G10/COUNT(B10:F10)</f>
        <v>1</v>
      </c>
      <c r="I10" s="5" t="str">
        <f aca="false">IF(H10&gt;=$L$3,"مقبولة","تحتاج مراجعة")</f>
        <v>مقبولة</v>
      </c>
    </row>
    <row r="11" customFormat="false" ht="17.9" hidden="false" customHeight="false" outlineLevel="0" collapsed="false">
      <c r="A11" s="5" t="s">
        <v>94</v>
      </c>
      <c r="B11" s="10" t="n">
        <v>4</v>
      </c>
      <c r="C11" s="10" t="n">
        <v>4</v>
      </c>
      <c r="D11" s="10" t="n">
        <v>3</v>
      </c>
      <c r="E11" s="10" t="n">
        <v>4</v>
      </c>
      <c r="F11" s="10" t="n">
        <v>4</v>
      </c>
      <c r="G11" s="5" t="n">
        <f aca="false">COUNTIF(B11:F11,"&gt;=3")</f>
        <v>5</v>
      </c>
      <c r="H11" s="15" t="n">
        <f aca="false">G11/COUNT(B11:F11)</f>
        <v>1</v>
      </c>
      <c r="I11" s="5" t="str">
        <f aca="false">IF(H11&gt;=$L$3,"مقبولة","تحتاج مراجعة")</f>
        <v>مقبولة</v>
      </c>
    </row>
    <row r="12" customFormat="false" ht="17.9" hidden="false" customHeight="false" outlineLevel="0" collapsed="false">
      <c r="A12" s="5" t="s">
        <v>95</v>
      </c>
      <c r="B12" s="10" t="n">
        <v>2</v>
      </c>
      <c r="C12" s="10" t="n">
        <v>1</v>
      </c>
      <c r="D12" s="10" t="n">
        <v>3</v>
      </c>
      <c r="E12" s="10" t="n">
        <v>2</v>
      </c>
      <c r="F12" s="10" t="n">
        <v>2</v>
      </c>
      <c r="G12" s="5" t="n">
        <f aca="false">COUNTIF(B12:F12,"&gt;=3")</f>
        <v>1</v>
      </c>
      <c r="H12" s="15" t="n">
        <f aca="false">G12/COUNT(B12:F12)</f>
        <v>0.2</v>
      </c>
      <c r="I12" s="5" t="str">
        <f aca="false">IF(H12&gt;=$L$3,"مقبولة","تحتاج مراجعة")</f>
        <v>تحتاج مراجعة</v>
      </c>
    </row>
    <row r="13" customFormat="false" ht="17.9" hidden="false" customHeight="false" outlineLevel="0" collapsed="false">
      <c r="A13" s="5" t="s">
        <v>96</v>
      </c>
      <c r="B13" s="10" t="n">
        <v>4</v>
      </c>
      <c r="C13" s="10" t="n">
        <v>3</v>
      </c>
      <c r="D13" s="10" t="n">
        <v>4</v>
      </c>
      <c r="E13" s="10" t="n">
        <v>4</v>
      </c>
      <c r="F13" s="10" t="n">
        <v>3</v>
      </c>
      <c r="G13" s="5" t="n">
        <f aca="false">COUNTIF(B13:F13,"&gt;=3")</f>
        <v>5</v>
      </c>
      <c r="H13" s="15" t="n">
        <f aca="false">G13/COUNT(B13:F13)</f>
        <v>1</v>
      </c>
      <c r="I13" s="5" t="str">
        <f aca="false">IF(H13&gt;=$L$3,"مقبولة","تحتاج مراجعة")</f>
        <v>مقبولة</v>
      </c>
    </row>
    <row r="14" customFormat="false" ht="17.9" hidden="false" customHeight="false" outlineLevel="0" collapsed="false">
      <c r="A14" s="5" t="s">
        <v>97</v>
      </c>
      <c r="B14" s="10" t="n">
        <v>4</v>
      </c>
      <c r="C14" s="10" t="n">
        <v>4</v>
      </c>
      <c r="D14" s="10" t="n">
        <v>3</v>
      </c>
      <c r="E14" s="10" t="n">
        <v>4</v>
      </c>
      <c r="F14" s="10" t="n">
        <v>4</v>
      </c>
      <c r="G14" s="5" t="n">
        <f aca="false">COUNTIF(B14:F14,"&gt;=3")</f>
        <v>5</v>
      </c>
      <c r="H14" s="15" t="n">
        <f aca="false">G14/COUNT(B14:F14)</f>
        <v>1</v>
      </c>
      <c r="I14" s="5" t="str">
        <f aca="false">IF(H14&gt;=$L$3,"مقبولة","تحتاج مراجعة")</f>
        <v>مقبولة</v>
      </c>
    </row>
    <row r="15" customFormat="false" ht="17.9" hidden="false" customHeight="false" outlineLevel="0" collapsed="false">
      <c r="A15" s="5" t="s">
        <v>98</v>
      </c>
      <c r="B15" s="10" t="n">
        <v>4</v>
      </c>
      <c r="C15" s="10" t="n">
        <v>3</v>
      </c>
      <c r="D15" s="10" t="n">
        <v>4</v>
      </c>
      <c r="E15" s="10" t="n">
        <v>2</v>
      </c>
      <c r="F15" s="10" t="n">
        <v>4</v>
      </c>
      <c r="G15" s="5" t="n">
        <f aca="false">COUNTIF(B15:F15,"&gt;=3")</f>
        <v>4</v>
      </c>
      <c r="H15" s="15" t="n">
        <f aca="false">G15/COUNT(B15:F15)</f>
        <v>0.8</v>
      </c>
      <c r="I15" s="5" t="str">
        <f aca="false">IF(H15&gt;=$L$3,"مقبولة","تحتاج مراجعة")</f>
        <v>تحتاج مراجعة</v>
      </c>
    </row>
    <row r="16" customFormat="false" ht="17.9" hidden="false" customHeight="false" outlineLevel="0" collapsed="false">
      <c r="A16" s="5" t="s">
        <v>99</v>
      </c>
      <c r="B16" s="10" t="n">
        <v>4</v>
      </c>
      <c r="C16" s="10" t="n">
        <v>3</v>
      </c>
      <c r="D16" s="10" t="n">
        <v>4</v>
      </c>
      <c r="E16" s="10" t="n">
        <v>4</v>
      </c>
      <c r="F16" s="10" t="n">
        <v>3</v>
      </c>
      <c r="G16" s="5" t="n">
        <f aca="false">COUNTIF(B16:F16,"&gt;=3")</f>
        <v>5</v>
      </c>
      <c r="H16" s="15" t="n">
        <f aca="false">G16/COUNT(B16:F16)</f>
        <v>1</v>
      </c>
      <c r="I16" s="5" t="str">
        <f aca="false">IF(H16&gt;=$L$3,"مقبولة","تحتاج مراجعة")</f>
        <v>مقبولة</v>
      </c>
    </row>
    <row r="17" customFormat="false" ht="17.9" hidden="false" customHeight="false" outlineLevel="0" collapsed="false">
      <c r="A17" s="5" t="s">
        <v>100</v>
      </c>
      <c r="B17" s="10" t="n">
        <v>4</v>
      </c>
      <c r="C17" s="10" t="n">
        <v>4</v>
      </c>
      <c r="D17" s="10" t="n">
        <v>3</v>
      </c>
      <c r="E17" s="10" t="n">
        <v>4</v>
      </c>
      <c r="F17" s="10" t="n">
        <v>4</v>
      </c>
      <c r="G17" s="5" t="n">
        <f aca="false">COUNTIF(B17:F17,"&gt;=3")</f>
        <v>5</v>
      </c>
      <c r="H17" s="15" t="n">
        <f aca="false">G17/COUNT(B17:F17)</f>
        <v>1</v>
      </c>
      <c r="I17" s="5" t="str">
        <f aca="false">IF(H17&gt;=$L$3,"مقبولة","تحتاج مراجعة")</f>
        <v>مقبولة</v>
      </c>
    </row>
    <row r="18" customFormat="false" ht="17.9" hidden="false" customHeight="false" outlineLevel="0" collapsed="false">
      <c r="A18" s="5" t="s">
        <v>101</v>
      </c>
      <c r="B18" s="10" t="n">
        <v>4</v>
      </c>
      <c r="C18" s="10" t="n">
        <v>4</v>
      </c>
      <c r="D18" s="10" t="n">
        <v>3</v>
      </c>
      <c r="E18" s="10" t="n">
        <v>4</v>
      </c>
      <c r="F18" s="10" t="n">
        <v>4</v>
      </c>
      <c r="G18" s="5" t="n">
        <f aca="false">COUNTIF(B18:F18,"&gt;=3")</f>
        <v>5</v>
      </c>
      <c r="H18" s="15" t="n">
        <f aca="false">G18/COUNT(B18:F18)</f>
        <v>1</v>
      </c>
      <c r="I18" s="5" t="str">
        <f aca="false">IF(H18&gt;=$L$3,"مقبولة","تحتاج مراجعة")</f>
        <v>مقبولة</v>
      </c>
    </row>
    <row r="19" customFormat="false" ht="17.9" hidden="false" customHeight="false" outlineLevel="0" collapsed="false">
      <c r="A19" s="5" t="s">
        <v>102</v>
      </c>
      <c r="B19" s="10" t="n">
        <v>4</v>
      </c>
      <c r="C19" s="10" t="n">
        <v>3</v>
      </c>
      <c r="D19" s="10" t="n">
        <v>4</v>
      </c>
      <c r="E19" s="10" t="n">
        <v>4</v>
      </c>
      <c r="F19" s="10" t="n">
        <v>3</v>
      </c>
      <c r="G19" s="5" t="n">
        <f aca="false">COUNTIF(B19:F19,"&gt;=3")</f>
        <v>5</v>
      </c>
      <c r="H19" s="15" t="n">
        <f aca="false">G19/COUNT(B19:F19)</f>
        <v>1</v>
      </c>
      <c r="I19" s="5" t="str">
        <f aca="false">IF(H19&gt;=$L$3,"مقبولة","تحتاج مراجعة")</f>
        <v>مقبولة</v>
      </c>
    </row>
    <row r="20" customFormat="false" ht="17.9" hidden="false" customHeight="false" outlineLevel="0" collapsed="false">
      <c r="A20" s="5" t="s">
        <v>103</v>
      </c>
      <c r="B20" s="10" t="n">
        <v>4</v>
      </c>
      <c r="C20" s="10" t="n">
        <v>4</v>
      </c>
      <c r="D20" s="10" t="n">
        <v>3</v>
      </c>
      <c r="E20" s="10" t="n">
        <v>4</v>
      </c>
      <c r="F20" s="10" t="n">
        <v>4</v>
      </c>
      <c r="G20" s="5" t="n">
        <f aca="false">COUNTIF(B20:F20,"&gt;=3")</f>
        <v>5</v>
      </c>
      <c r="H20" s="15" t="n">
        <f aca="false">G20/COUNT(B20:F20)</f>
        <v>1</v>
      </c>
      <c r="I20" s="5" t="str">
        <f aca="false">IF(H20&gt;=$L$3,"مقبولة","تحتاج مراجعة")</f>
        <v>مقبولة</v>
      </c>
    </row>
    <row r="21" customFormat="false" ht="17.9" hidden="false" customHeight="false" outlineLevel="0" collapsed="false">
      <c r="A21" s="5" t="s">
        <v>104</v>
      </c>
      <c r="B21" s="10" t="n">
        <v>4</v>
      </c>
      <c r="C21" s="10" t="n">
        <v>4</v>
      </c>
      <c r="D21" s="10" t="n">
        <v>3</v>
      </c>
      <c r="E21" s="10" t="n">
        <v>4</v>
      </c>
      <c r="F21" s="10" t="n">
        <v>4</v>
      </c>
      <c r="G21" s="5" t="n">
        <f aca="false">COUNTIF(B21:F21,"&gt;=3")</f>
        <v>5</v>
      </c>
      <c r="H21" s="15" t="n">
        <f aca="false">G21/COUNT(B21:F21)</f>
        <v>1</v>
      </c>
      <c r="I21" s="5" t="str">
        <f aca="false">IF(H21&gt;=$L$3,"مقبولة","تحتاج مراجعة")</f>
        <v>مقبولة</v>
      </c>
    </row>
  </sheetData>
  <conditionalFormatting sqref="I2:I21">
    <cfRule type="expression" priority="2" aboveAverage="0" equalAverage="0" bottom="0" percent="0" rank="0" text="" dxfId="1">
      <formula>I2="تحتاج مراجعة"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2026-10-05T16:15:31Z</dcterms:created>
  <dc:creator>openpyxl</dc:creator>
  <dc:description/>
  <dc:language>en-US</dc:language>
  <cp:lastModifiedBy/>
  <dcterms:modified xsi:type="dcterms:W3CDTF">2026-10-05T16:15:33Z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