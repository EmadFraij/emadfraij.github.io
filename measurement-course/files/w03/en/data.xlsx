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Outcomes and levels" sheetId="2" state="visible" r:id="rId4"/>
    <sheet name="Test" sheetId="3" state="visible" r:id="rId5"/>
    <sheet name="Alignment matrix" sheetId="4" state="visible" r:id="rId6"/>
    <sheet name="Expert valid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The intended distribution is the one adopted by the test's teacher: Knowing 35%, Applying 40%, Reasoning 25%. For comparison: the TIMSS 2023 framework for Grade 8 science is 35%, 35% and 30%.</t>
        </r>
      </text>
    </comment>
    <comment ref="C2" authorId="0">
      <text>
        <r>
          <rPr>
            <sz val="10"/>
            <rFont val="Arial"/>
            <family val="2"/>
          </rPr>
          <t xml:space="preserve">The intended weights are taken from the test blueprint that the teacher is assumed to have prepared before writing the test.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The permitted gap between the actual and intended weight before an outcome is considered over-represented or under-represented. A judgement-based value set by the department.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Lynn (1986): with five experts or fewer, all must agree (index 1.00). With six experts or more, Polit and Beck (2006) recommend that the index be no lower than 0.78.</t>
        </r>
      </text>
    </comment>
    <comment ref="K5" authorId="0">
      <text>
        <r>
          <rPr>
            <sz val="10"/>
            <rFont val="Arial"/>
            <family val="2"/>
          </rPr>
          <t xml:space="preserve">Polit and Beck (2006): the mean should preferably reach 0.90 or more.</t>
        </r>
      </text>
    </comment>
  </commentList>
</comments>
</file>

<file path=xl/sharedStrings.xml><?xml version="1.0" encoding="utf-8"?>
<sst xmlns="http://schemas.openxmlformats.org/spreadsheetml/2006/main" count="173" uniqueCount="104">
  <si>
    <t xml:space="preserve">Week 3 workshop — Validity evidence: aligning a school test with its outcomes</t>
  </si>
  <si>
    <t xml:space="preserve">Course: Educational Measurement and Evaluation — Postgraduate Professional Diploma in Teaching</t>
  </si>
  <si>
    <t xml:space="preserve">Note: the test and the expert ratings are a training sample prepared for the course, not a real school test.</t>
  </si>
  <si>
    <t xml:space="preserve">Test for the unit «Matter and Its Changes» for Grade 8: 20 items, with a total of 30 marks.</t>
  </si>
  <si>
    <t xml:space="preserve">The test contains deliberate alignment problems. Your task is to detect them with the numbers, then propose a revision that addresses them.</t>
  </si>
  <si>
    <t xml:space="preserve">Workbook sheets:</t>
  </si>
  <si>
    <t xml:space="preserve">Outcomes and levels: the unit's six outcomes and their intended weights, and the intended distribution of cognitive levels.</t>
  </si>
  <si>
    <t xml:space="preserve">Test: the text of each item, its type, the outcome and level it measures, and its marks.</t>
  </si>
  <si>
    <t xml:space="preserve">Alignment matrix: the actual weight of each outcome and each level compared with the intended weight, and the coverage index.</t>
  </si>
  <si>
    <t xml:space="preserve">Expert validity: five experts' ratings of how relevant each item is to its outcome, and the content validity index.</t>
  </si>
  <si>
    <t xml:space="preserve">Yellow cells are editable inputs. Try this: move items from O1 to O5 and watch the coverage index.</t>
  </si>
  <si>
    <t xml:space="preserve">Code</t>
  </si>
  <si>
    <t xml:space="preserve">Learning outcome</t>
  </si>
  <si>
    <t xml:space="preserve">Intended weight</t>
  </si>
  <si>
    <t xml:space="preserve">O1</t>
  </si>
  <si>
    <t xml:space="preserve">Distinguishes between physical changes and chemical changes</t>
  </si>
  <si>
    <t xml:space="preserve">O2</t>
  </si>
  <si>
    <t xml:space="preserve">Explains the properties of the states of matter using the particle model</t>
  </si>
  <si>
    <t xml:space="preserve">O3</t>
  </si>
  <si>
    <t xml:space="preserve">Calculates density and uses it to explain floating</t>
  </si>
  <si>
    <t xml:space="preserve">O4</t>
  </si>
  <si>
    <t xml:space="preserve">Identifies evidence that a chemical reaction has occurred</t>
  </si>
  <si>
    <t xml:space="preserve">O5</t>
  </si>
  <si>
    <t xml:space="preserve">Applies the law of conservation of mass to simple reactions</t>
  </si>
  <si>
    <t xml:space="preserve">O6</t>
  </si>
  <si>
    <t xml:space="preserve">Plans the separation of the components of a mixture using suitable methods</t>
  </si>
  <si>
    <t xml:space="preserve">Total</t>
  </si>
  <si>
    <t xml:space="preserve">Cognitive level</t>
  </si>
  <si>
    <t xml:space="preserve">Knowing</t>
  </si>
  <si>
    <t xml:space="preserve">Applying</t>
  </si>
  <si>
    <t xml:space="preserve">Reasoning</t>
  </si>
  <si>
    <t xml:space="preserve">Item</t>
  </si>
  <si>
    <t xml:space="preserve">Item text</t>
  </si>
  <si>
    <t xml:space="preserve">Item type</t>
  </si>
  <si>
    <t xml:space="preserve">Outcome</t>
  </si>
  <si>
    <t xml:space="preserve">Level</t>
  </si>
  <si>
    <t xml:space="preserve">Marks</t>
  </si>
  <si>
    <t xml:space="preserve">Which of the following is a physical change? (A) burning paper (B) melting ice (C) rusting iron (D) cooking an egg</t>
  </si>
  <si>
    <t xml:space="preserve">Multiple choice</t>
  </si>
  <si>
    <t xml:space="preserve">Which of the following is a chemical change? (A) evaporation of water (B) tearing paper (C) fermentation of dough (D) grinding sugar</t>
  </si>
  <si>
    <t xml:space="preserve">Dissolving sugar in water is a chemical change. (True / False)</t>
  </si>
  <si>
    <t xml:space="preserve">True or false</t>
  </si>
  <si>
    <t xml:space="preserve">Define a physical change.</t>
  </si>
  <si>
    <t xml:space="preserve">Short answer</t>
  </si>
  <si>
    <t xml:space="preserve">Give two examples of a chemical change from your daily life.</t>
  </si>
  <si>
    <t xml:space="preserve">Melting wax is an example of a ................... change</t>
  </si>
  <si>
    <t xml:space="preserve">Completion</t>
  </si>
  <si>
    <t xml:space="preserve">Classify the following changes as physical or chemical: frying an egg, freezing water, burning wood, dissolving salt.</t>
  </si>
  <si>
    <t xml:space="preserve">Which of the following statements about chemical change is correct? (four options)</t>
  </si>
  <si>
    <t xml:space="preserve">Condensation of water vapour on cold glass is a ................ change</t>
  </si>
  <si>
    <t xml:space="preserve">In which state are the particles closest together? (A) solid (B) liquid (C) gas (D) equal</t>
  </si>
  <si>
    <t xml:space="preserve">Name the three states of matter.</t>
  </si>
  <si>
    <t xml:space="preserve">Using the particle model, explain why a balloon inflates when it is heated.</t>
  </si>
  <si>
    <t xml:space="preserve">During evaporation, a substance changes from the ........ state to the ........ state</t>
  </si>
  <si>
    <t xml:space="preserve">The SI unit of density is: (four options)</t>
  </si>
  <si>
    <t xml:space="preserve">Calculate the density of an object with a mass of 60 grams and a volume of 20 cubic centimetres, then determine whether it floats on water.</t>
  </si>
  <si>
    <t xml:space="preserve">An object that floats on water has a density ........ than the density of water.</t>
  </si>
  <si>
    <t xml:space="preserve">Which of the following is not evidence that a chemical reaction has occurred? (four options)</t>
  </si>
  <si>
    <t xml:space="preserve">Give two pieces of evidence that a chemical reaction has occurred.</t>
  </si>
  <si>
    <t xml:space="preserve">Sara mixed two white powders, and bubbles appeared and the temperature rose. Did a chemical reaction occur? Give at least two pieces of evidence, and discuss an alternative explanation.</t>
  </si>
  <si>
    <t xml:space="preserve">Extended response</t>
  </si>
  <si>
    <t xml:space="preserve">You have a mixture of sand, salt and water. Write the steps for separating its three components.</t>
  </si>
  <si>
    <t xml:space="preserve">No. of items</t>
  </si>
  <si>
    <t xml:space="preserve">Actual weight</t>
  </si>
  <si>
    <t xml:space="preserve">Gap (percentage points)</t>
  </si>
  <si>
    <t xml:space="preserve">Judgement</t>
  </si>
  <si>
    <t xml:space="preserve">Tolerance (percentage points)</t>
  </si>
  <si>
    <t xml:space="preserve">Coverage index</t>
  </si>
  <si>
    <t xml:space="preserve">Proportion of outcomes whose actual weight falls within the tolerance</t>
  </si>
  <si>
    <t xml:space="preserve">Outcomes not represented</t>
  </si>
  <si>
    <t xml:space="preserve">Expert 1</t>
  </si>
  <si>
    <t xml:space="preserve">Expert 2</t>
  </si>
  <si>
    <t xml:space="preserve">Expert 3</t>
  </si>
  <si>
    <t xml:space="preserve">Expert 4</t>
  </si>
  <si>
    <t xml:space="preserve">Expert 5</t>
  </si>
  <si>
    <t xml:space="preserve">No. rating 3 or 4</t>
  </si>
  <si>
    <t xml:space="preserve">Item content validity index</t>
  </si>
  <si>
    <t xml:space="preserve">Criterion</t>
  </si>
  <si>
    <t xml:space="preserve">I1</t>
  </si>
  <si>
    <t xml:space="preserve">Number of experts</t>
  </si>
  <si>
    <t xml:space="preserve">I2</t>
  </si>
  <si>
    <t xml:space="preserve">Minimum item content validity index</t>
  </si>
  <si>
    <t xml:space="preserve">I3</t>
  </si>
  <si>
    <t xml:space="preserve">I4</t>
  </si>
  <si>
    <t xml:space="preserve">Mean content validity index for the test</t>
  </si>
  <si>
    <t xml:space="preserve">I5</t>
  </si>
  <si>
    <t xml:space="preserve">Proportion of items with full agreement</t>
  </si>
  <si>
    <t xml:space="preserve">I6</t>
  </si>
  <si>
    <t xml:space="preserve">Items needing review</t>
  </si>
  <si>
    <t xml:space="preserve">I7</t>
  </si>
  <si>
    <t xml:space="preserve">I8</t>
  </si>
  <si>
    <t xml:space="preserve">Rating scale: 1 not relevant, 2 somewhat relevant, 3 relevant, 4 highly relevant to the outcome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</si>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</sst>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</font>
    <font>
      <sz val="11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versus intended weight for each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'Alignment matrix'!D1</c:f>
              <c:strCache>
                <c:ptCount val="1"/>
                <c:pt idx="0">
                  <c:v>Actual weight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'Alignment matrix'!$A$2:$A$7</c:f>
              <c:strCache>
                <c:ptCount val="6"/>
                <c:pt idx="0">
                  <c:v>O1</c:v>
                </c:pt>
                <c:pt idx="1">
                  <c:v>O2</c:v>
                </c:pt>
                <c:pt idx="2">
                  <c:v>O3</c:v>
                </c:pt>
                <c:pt idx="3">
                  <c:v>O4</c:v>
                </c:pt>
                <c:pt idx="4">
                  <c:v>O5</c:v>
                </c:pt>
                <c:pt idx="5">
                  <c:v>O6</c:v>
                </c:pt>
              </c:strCache>
            </c:strRef>
          </c:cat>
          <c:val>
            <c:numRef>
              <c:f>'Alignment matrix'!$D$2:$D$7</c:f>
              <c:numCache>
                <c:formatCode>0%</c:formatCode>
                <c:ptCount val="6"/>
                <c:pt idx="0">
                  <c:v>0.333333333333333</c:v>
                </c:pt>
                <c:pt idx="1">
                  <c:v>0.2</c:v>
                </c:pt>
                <c:pt idx="2">
                  <c:v>0.166666666666667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'Alignment matrix'!E1</c:f>
              <c:strCache>
                <c:ptCount val="1"/>
                <c:pt idx="0">
                  <c:v>Intended weight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'Alignment matrix'!$A$2:$A$7</c:f>
              <c:strCache>
                <c:ptCount val="6"/>
                <c:pt idx="0">
                  <c:v>O1</c:v>
                </c:pt>
                <c:pt idx="1">
                  <c:v>O2</c:v>
                </c:pt>
                <c:pt idx="2">
                  <c:v>O3</c:v>
                </c:pt>
                <c:pt idx="3">
                  <c:v>O4</c:v>
                </c:pt>
                <c:pt idx="4">
                  <c:v>O5</c:v>
                </c:pt>
                <c:pt idx="5">
                  <c:v>O6</c:v>
                </c:pt>
              </c:strCache>
            </c:strRef>
          </c:cat>
          <c:val>
            <c:numRef>
              <c:f>'Alignment matrix'!$E$2:$E$7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</c:ser>
        <c:gapWidth val="150"/>
        <c:overlap val="0"/>
        <c:axId val="14402351"/>
        <c:axId val="96285557"/>
      </c:barChart>
      <c:catAx>
        <c:axId val="144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85557"/>
        <c:crosses val="autoZero"/>
        <c:auto val="1"/>
        <c:lblAlgn val="ctr"/>
        <c:lblOffset val="100"/>
        <c:noMultiLvlLbl val="0"/>
      </c:catAx>
      <c:valAx>
        <c:axId val="96285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02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21240</xdr:rowOff>
    </xdr:from>
    <xdr:to>
      <xdr:col>15</xdr:col>
      <xdr:colOff>258120</xdr:colOff>
      <xdr:row>15</xdr:row>
      <xdr:rowOff>95760</xdr:rowOff>
    </xdr:to>
    <xdr:graphicFrame>
      <xdr:nvGraphicFramePr>
        <xdr:cNvPr id="0" name="Chart 1"/>
        <xdr:cNvGraphicFramePr/>
      </xdr:nvGraphicFramePr>
      <xdr:xfrm>
        <a:off x="6955200" y="762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4"/>
  </cols>
  <sheetData>
    <row r="1" customFormat="false" ht="28.35" hidden="false" customHeight="false" outlineLevel="0" collapsed="false">
      <c r="A1" s="4" t="s">
        <v>11</v>
      </c>
      <c r="B1" s="4" t="s">
        <v>12</v>
      </c>
      <c r="C1" s="4" t="s">
        <v>13</v>
      </c>
    </row>
    <row r="2" customFormat="false" ht="15" hidden="false" customHeight="false" outlineLevel="0" collapsed="false">
      <c r="A2" s="5" t="s">
        <v>14</v>
      </c>
      <c r="B2" s="6" t="s">
        <v>15</v>
      </c>
      <c r="C2" s="7" t="n">
        <v>0.2</v>
      </c>
    </row>
    <row r="3" customFormat="false" ht="28.35" hidden="false" customHeight="false" outlineLevel="0" collapsed="false">
      <c r="A3" s="5" t="s">
        <v>16</v>
      </c>
      <c r="B3" s="6" t="s">
        <v>17</v>
      </c>
      <c r="C3" s="7" t="n">
        <v>0.2</v>
      </c>
    </row>
    <row r="4" customFormat="false" ht="15" hidden="false" customHeight="false" outlineLevel="0" collapsed="false">
      <c r="A4" s="5" t="s">
        <v>18</v>
      </c>
      <c r="B4" s="6" t="s">
        <v>19</v>
      </c>
      <c r="C4" s="7" t="n">
        <v>0.15</v>
      </c>
    </row>
    <row r="5" customFormat="false" ht="15" hidden="false" customHeight="false" outlineLevel="0" collapsed="false">
      <c r="A5" s="5" t="s">
        <v>20</v>
      </c>
      <c r="B5" s="6" t="s">
        <v>21</v>
      </c>
      <c r="C5" s="7" t="n">
        <v>0.15</v>
      </c>
    </row>
    <row r="6" customFormat="false" ht="15" hidden="false" customHeight="false" outlineLevel="0" collapsed="false">
      <c r="A6" s="5" t="s">
        <v>22</v>
      </c>
      <c r="B6" s="6" t="s">
        <v>23</v>
      </c>
      <c r="C6" s="7" t="n">
        <v>0.15</v>
      </c>
    </row>
    <row r="7" customFormat="false" ht="28.35" hidden="false" customHeight="false" outlineLevel="0" collapsed="false">
      <c r="A7" s="5" t="s">
        <v>24</v>
      </c>
      <c r="B7" s="6" t="s">
        <v>25</v>
      </c>
      <c r="C7" s="7" t="n">
        <v>0.15</v>
      </c>
    </row>
    <row r="8" customFormat="false" ht="15" hidden="false" customHeight="false" outlineLevel="0" collapsed="false">
      <c r="B8" s="0" t="s">
        <v>26</v>
      </c>
      <c r="C8" s="8" t="n">
        <f aca="false">SUM(C2:C7)</f>
        <v>1</v>
      </c>
    </row>
    <row r="11" customFormat="false" ht="28.35" hidden="false" customHeight="false" outlineLevel="0" collapsed="false">
      <c r="A11" s="4" t="s">
        <v>27</v>
      </c>
      <c r="B11" s="4"/>
      <c r="C11" s="4" t="s">
        <v>13</v>
      </c>
    </row>
    <row r="12" customFormat="false" ht="15" hidden="false" customHeight="false" outlineLevel="0" collapsed="false">
      <c r="A12" s="5" t="s">
        <v>28</v>
      </c>
      <c r="B12" s="5"/>
      <c r="C12" s="7" t="n">
        <v>0.35</v>
      </c>
    </row>
    <row r="13" customFormat="false" ht="15" hidden="false" customHeight="false" outlineLevel="0" collapsed="false">
      <c r="A13" s="5" t="s">
        <v>29</v>
      </c>
      <c r="B13" s="5"/>
      <c r="C13" s="7" t="n">
        <v>0.4</v>
      </c>
    </row>
    <row r="14" customFormat="false" ht="15" hidden="false" customHeight="false" outlineLevel="0" collapsed="false">
      <c r="A14" s="5" t="s">
        <v>30</v>
      </c>
      <c r="B14" s="5"/>
      <c r="C14" s="7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</row>
    <row r="2" customFormat="false" ht="28.35" hidden="false" customHeight="false" outlineLevel="0" collapsed="false">
      <c r="A2" s="5" t="n">
        <v>1</v>
      </c>
      <c r="B2" s="6" t="s">
        <v>37</v>
      </c>
      <c r="C2" s="5" t="s">
        <v>38</v>
      </c>
      <c r="D2" s="9" t="s">
        <v>14</v>
      </c>
      <c r="E2" s="9" t="s">
        <v>28</v>
      </c>
      <c r="F2" s="9" t="n">
        <v>1</v>
      </c>
    </row>
    <row r="3" customFormat="false" ht="28.35" hidden="false" customHeight="false" outlineLevel="0" collapsed="false">
      <c r="A3" s="5" t="n">
        <v>2</v>
      </c>
      <c r="B3" s="6" t="s">
        <v>39</v>
      </c>
      <c r="C3" s="5" t="s">
        <v>38</v>
      </c>
      <c r="D3" s="9" t="s">
        <v>14</v>
      </c>
      <c r="E3" s="9" t="s">
        <v>28</v>
      </c>
      <c r="F3" s="9" t="n">
        <v>1</v>
      </c>
    </row>
    <row r="4" customFormat="false" ht="15" hidden="false" customHeight="false" outlineLevel="0" collapsed="false">
      <c r="A4" s="5" t="n">
        <v>3</v>
      </c>
      <c r="B4" s="6" t="s">
        <v>40</v>
      </c>
      <c r="C4" s="5" t="s">
        <v>41</v>
      </c>
      <c r="D4" s="9" t="s">
        <v>14</v>
      </c>
      <c r="E4" s="9" t="s">
        <v>28</v>
      </c>
      <c r="F4" s="9" t="n">
        <v>1</v>
      </c>
    </row>
    <row r="5" customFormat="false" ht="15" hidden="false" customHeight="false" outlineLevel="0" collapsed="false">
      <c r="A5" s="5" t="n">
        <v>4</v>
      </c>
      <c r="B5" s="6" t="s">
        <v>42</v>
      </c>
      <c r="C5" s="5" t="s">
        <v>43</v>
      </c>
      <c r="D5" s="9" t="s">
        <v>14</v>
      </c>
      <c r="E5" s="9" t="s">
        <v>28</v>
      </c>
      <c r="F5" s="9" t="n">
        <v>1</v>
      </c>
    </row>
    <row r="6" customFormat="false" ht="15" hidden="false" customHeight="false" outlineLevel="0" collapsed="false">
      <c r="A6" s="5" t="n">
        <v>5</v>
      </c>
      <c r="B6" s="6" t="s">
        <v>44</v>
      </c>
      <c r="C6" s="5" t="s">
        <v>43</v>
      </c>
      <c r="D6" s="9" t="s">
        <v>14</v>
      </c>
      <c r="E6" s="9" t="s">
        <v>28</v>
      </c>
      <c r="F6" s="9" t="n">
        <v>1</v>
      </c>
    </row>
    <row r="7" customFormat="false" ht="15" hidden="false" customHeight="false" outlineLevel="0" collapsed="false">
      <c r="A7" s="5" t="n">
        <v>6</v>
      </c>
      <c r="B7" s="6" t="s">
        <v>45</v>
      </c>
      <c r="C7" s="5" t="s">
        <v>46</v>
      </c>
      <c r="D7" s="9" t="s">
        <v>14</v>
      </c>
      <c r="E7" s="9" t="s">
        <v>28</v>
      </c>
      <c r="F7" s="9" t="n">
        <v>1</v>
      </c>
    </row>
    <row r="8" customFormat="false" ht="28.35" hidden="false" customHeight="false" outlineLevel="0" collapsed="false">
      <c r="A8" s="5" t="n">
        <v>7</v>
      </c>
      <c r="B8" s="6" t="s">
        <v>47</v>
      </c>
      <c r="C8" s="5" t="s">
        <v>43</v>
      </c>
      <c r="D8" s="9" t="s">
        <v>14</v>
      </c>
      <c r="E8" s="9" t="s">
        <v>29</v>
      </c>
      <c r="F8" s="9" t="n">
        <v>2</v>
      </c>
    </row>
    <row r="9" customFormat="false" ht="28.35" hidden="false" customHeight="false" outlineLevel="0" collapsed="false">
      <c r="A9" s="5" t="n">
        <v>8</v>
      </c>
      <c r="B9" s="6" t="s">
        <v>48</v>
      </c>
      <c r="C9" s="5" t="s">
        <v>38</v>
      </c>
      <c r="D9" s="9" t="s">
        <v>14</v>
      </c>
      <c r="E9" s="9" t="s">
        <v>28</v>
      </c>
      <c r="F9" s="9" t="n">
        <v>1</v>
      </c>
    </row>
    <row r="10" customFormat="false" ht="15" hidden="false" customHeight="false" outlineLevel="0" collapsed="false">
      <c r="A10" s="5" t="n">
        <v>9</v>
      </c>
      <c r="B10" s="6" t="s">
        <v>49</v>
      </c>
      <c r="C10" s="5" t="s">
        <v>46</v>
      </c>
      <c r="D10" s="9" t="s">
        <v>14</v>
      </c>
      <c r="E10" s="9" t="s">
        <v>28</v>
      </c>
      <c r="F10" s="9" t="n">
        <v>1</v>
      </c>
    </row>
    <row r="11" customFormat="false" ht="28.35" hidden="false" customHeight="false" outlineLevel="0" collapsed="false">
      <c r="A11" s="5" t="n">
        <v>10</v>
      </c>
      <c r="B11" s="6" t="s">
        <v>50</v>
      </c>
      <c r="C11" s="5" t="s">
        <v>38</v>
      </c>
      <c r="D11" s="9" t="s">
        <v>16</v>
      </c>
      <c r="E11" s="9" t="s">
        <v>28</v>
      </c>
      <c r="F11" s="9" t="n">
        <v>1</v>
      </c>
    </row>
    <row r="12" customFormat="false" ht="15" hidden="false" customHeight="false" outlineLevel="0" collapsed="false">
      <c r="A12" s="5" t="n">
        <v>11</v>
      </c>
      <c r="B12" s="6" t="s">
        <v>51</v>
      </c>
      <c r="C12" s="5" t="s">
        <v>43</v>
      </c>
      <c r="D12" s="9" t="s">
        <v>16</v>
      </c>
      <c r="E12" s="9" t="s">
        <v>28</v>
      </c>
      <c r="F12" s="9" t="n">
        <v>1</v>
      </c>
    </row>
    <row r="13" customFormat="false" ht="15" hidden="false" customHeight="false" outlineLevel="0" collapsed="false">
      <c r="A13" s="5" t="n">
        <v>12</v>
      </c>
      <c r="B13" s="6" t="s">
        <v>52</v>
      </c>
      <c r="C13" s="5" t="s">
        <v>43</v>
      </c>
      <c r="D13" s="9" t="s">
        <v>16</v>
      </c>
      <c r="E13" s="9" t="s">
        <v>29</v>
      </c>
      <c r="F13" s="9" t="n">
        <v>3</v>
      </c>
    </row>
    <row r="14" customFormat="false" ht="15" hidden="false" customHeight="false" outlineLevel="0" collapsed="false">
      <c r="A14" s="5" t="n">
        <v>13</v>
      </c>
      <c r="B14" s="6" t="s">
        <v>53</v>
      </c>
      <c r="C14" s="5" t="s">
        <v>46</v>
      </c>
      <c r="D14" s="9" t="s">
        <v>16</v>
      </c>
      <c r="E14" s="9" t="s">
        <v>28</v>
      </c>
      <c r="F14" s="9" t="n">
        <v>1</v>
      </c>
    </row>
    <row r="15" customFormat="false" ht="15" hidden="false" customHeight="false" outlineLevel="0" collapsed="false">
      <c r="A15" s="5" t="n">
        <v>14</v>
      </c>
      <c r="B15" s="6" t="s">
        <v>54</v>
      </c>
      <c r="C15" s="5" t="s">
        <v>38</v>
      </c>
      <c r="D15" s="9" t="s">
        <v>18</v>
      </c>
      <c r="E15" s="9" t="s">
        <v>28</v>
      </c>
      <c r="F15" s="9" t="n">
        <v>1</v>
      </c>
    </row>
    <row r="16" customFormat="false" ht="28.35" hidden="false" customHeight="false" outlineLevel="0" collapsed="false">
      <c r="A16" s="5" t="n">
        <v>15</v>
      </c>
      <c r="B16" s="6" t="s">
        <v>55</v>
      </c>
      <c r="C16" s="5" t="s">
        <v>43</v>
      </c>
      <c r="D16" s="9" t="s">
        <v>18</v>
      </c>
      <c r="E16" s="9" t="s">
        <v>29</v>
      </c>
      <c r="F16" s="9" t="n">
        <v>3</v>
      </c>
    </row>
    <row r="17" customFormat="false" ht="15" hidden="false" customHeight="false" outlineLevel="0" collapsed="false">
      <c r="A17" s="5" t="n">
        <v>16</v>
      </c>
      <c r="B17" s="6" t="s">
        <v>56</v>
      </c>
      <c r="C17" s="5" t="s">
        <v>46</v>
      </c>
      <c r="D17" s="9" t="s">
        <v>18</v>
      </c>
      <c r="E17" s="9" t="s">
        <v>28</v>
      </c>
      <c r="F17" s="9" t="n">
        <v>1</v>
      </c>
    </row>
    <row r="18" customFormat="false" ht="28.35" hidden="false" customHeight="false" outlineLevel="0" collapsed="false">
      <c r="A18" s="5" t="n">
        <v>17</v>
      </c>
      <c r="B18" s="6" t="s">
        <v>57</v>
      </c>
      <c r="C18" s="5" t="s">
        <v>38</v>
      </c>
      <c r="D18" s="9" t="s">
        <v>20</v>
      </c>
      <c r="E18" s="9" t="s">
        <v>28</v>
      </c>
      <c r="F18" s="9" t="n">
        <v>1</v>
      </c>
    </row>
    <row r="19" customFormat="false" ht="15" hidden="false" customHeight="false" outlineLevel="0" collapsed="false">
      <c r="A19" s="5" t="n">
        <v>18</v>
      </c>
      <c r="B19" s="6" t="s">
        <v>58</v>
      </c>
      <c r="C19" s="5" t="s">
        <v>43</v>
      </c>
      <c r="D19" s="9" t="s">
        <v>20</v>
      </c>
      <c r="E19" s="9" t="s">
        <v>28</v>
      </c>
      <c r="F19" s="9" t="n">
        <v>1</v>
      </c>
    </row>
    <row r="20" customFormat="false" ht="41.75" hidden="false" customHeight="false" outlineLevel="0" collapsed="false">
      <c r="A20" s="5" t="n">
        <v>19</v>
      </c>
      <c r="B20" s="6" t="s">
        <v>59</v>
      </c>
      <c r="C20" s="5" t="s">
        <v>60</v>
      </c>
      <c r="D20" s="9" t="s">
        <v>20</v>
      </c>
      <c r="E20" s="9" t="s">
        <v>30</v>
      </c>
      <c r="F20" s="9" t="n">
        <v>4</v>
      </c>
    </row>
    <row r="21" customFormat="false" ht="28.35" hidden="false" customHeight="false" outlineLevel="0" collapsed="false">
      <c r="A21" s="5" t="n">
        <v>20</v>
      </c>
      <c r="B21" s="6" t="s">
        <v>61</v>
      </c>
      <c r="C21" s="5" t="s">
        <v>60</v>
      </c>
      <c r="D21" s="9" t="s">
        <v>24</v>
      </c>
      <c r="E21" s="9" t="s">
        <v>29</v>
      </c>
      <c r="F21" s="9" t="n">
        <v>3</v>
      </c>
    </row>
    <row r="22" customFormat="false" ht="15" hidden="false" customHeight="false" outlineLevel="0" collapsed="false">
      <c r="E22" s="0" t="s">
        <v>26</v>
      </c>
      <c r="F22" s="0" t="n">
        <f aca="false">SUM(F2:F21)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10" min="10" style="0" width="26"/>
  </cols>
  <sheetData>
    <row r="1" customFormat="false" ht="28.35" hidden="false" customHeight="false" outlineLevel="0" collapsed="false">
      <c r="A1" s="4" t="s">
        <v>34</v>
      </c>
      <c r="B1" s="4" t="s">
        <v>62</v>
      </c>
      <c r="C1" s="4" t="s">
        <v>36</v>
      </c>
      <c r="D1" s="4" t="s">
        <v>63</v>
      </c>
      <c r="E1" s="4" t="s">
        <v>13</v>
      </c>
      <c r="F1" s="4" t="s">
        <v>64</v>
      </c>
      <c r="G1" s="4" t="s">
        <v>65</v>
      </c>
      <c r="J1" s="3" t="s">
        <v>66</v>
      </c>
    </row>
    <row r="2" customFormat="false" ht="15" hidden="false" customHeight="false" outlineLevel="0" collapsed="false">
      <c r="A2" s="5" t="str">
        <f aca="false">'Outcomes and levels'!A2</f>
        <v>O1</v>
      </c>
      <c r="B2" s="5" t="n">
        <f aca="false">COUNTIF(Test!$D$2:$D$21,A2)</f>
        <v>9</v>
      </c>
      <c r="C2" s="5" t="n">
        <f aca="false">SUMIF(Test!$D$2:$D$21,A2,Test!$F$2:$F$21)</f>
        <v>10</v>
      </c>
      <c r="D2" s="10" t="n">
        <f aca="false">C2/Test!$F$22</f>
        <v>0.333333333333333</v>
      </c>
      <c r="E2" s="10" t="n">
        <f aca="false">'Outcomes and levels'!C2</f>
        <v>0.2</v>
      </c>
      <c r="F2" s="5" t="n">
        <f aca="false">ROUND((D2-E2)*100,1)</f>
        <v>13.3</v>
      </c>
      <c r="G2" s="5" t="str">
        <f aca="false">IF(B2=0,"Not represented",IF(F2&gt;$J$2,"Over-represented",IF(F2&lt;-$J$2,"Under-represented","Balanced")))</f>
        <v>Over-represented</v>
      </c>
      <c r="J2" s="11" t="n">
        <v>5</v>
      </c>
    </row>
    <row r="3" customFormat="false" ht="15" hidden="false" customHeight="false" outlineLevel="0" collapsed="false">
      <c r="A3" s="5" t="str">
        <f aca="false">'Outcomes and levels'!A3</f>
        <v>O2</v>
      </c>
      <c r="B3" s="5" t="n">
        <f aca="false">COUNTIF(Test!$D$2:$D$21,A3)</f>
        <v>4</v>
      </c>
      <c r="C3" s="5" t="n">
        <f aca="false">SUMIF(Test!$D$2:$D$21,A3,Test!$F$2:$F$21)</f>
        <v>6</v>
      </c>
      <c r="D3" s="10" t="n">
        <f aca="false">C3/Test!$F$22</f>
        <v>0.2</v>
      </c>
      <c r="E3" s="10" t="n">
        <f aca="false">'Outcomes and levels'!C3</f>
        <v>0.2</v>
      </c>
      <c r="F3" s="5" t="n">
        <f aca="false">ROUND((D3-E3)*100,1)</f>
        <v>0</v>
      </c>
      <c r="G3" s="5" t="str">
        <f aca="false">IF(B3=0,"Not represented",IF(F3&gt;$J$2,"Over-represented",IF(F3&lt;-$J$2,"Under-represented","Balanced")))</f>
        <v>Balanced</v>
      </c>
    </row>
    <row r="4" customFormat="false" ht="15" hidden="false" customHeight="false" outlineLevel="0" collapsed="false">
      <c r="A4" s="5" t="str">
        <f aca="false">'Outcomes and levels'!A4</f>
        <v>O3</v>
      </c>
      <c r="B4" s="5" t="n">
        <f aca="false">COUNTIF(Test!$D$2:$D$21,A4)</f>
        <v>3</v>
      </c>
      <c r="C4" s="5" t="n">
        <f aca="false">SUMIF(Test!$D$2:$D$21,A4,Test!$F$2:$F$21)</f>
        <v>5</v>
      </c>
      <c r="D4" s="10" t="n">
        <f aca="false">C4/Test!$F$22</f>
        <v>0.166666666666667</v>
      </c>
      <c r="E4" s="10" t="n">
        <f aca="false">'Outcomes and levels'!C4</f>
        <v>0.15</v>
      </c>
      <c r="F4" s="5" t="n">
        <f aca="false">ROUND((D4-E4)*100,1)</f>
        <v>1.7</v>
      </c>
      <c r="G4" s="5" t="str">
        <f aca="false">IF(B4=0,"Not represented",IF(F4&gt;$J$2,"Over-represented",IF(F4&lt;-$J$2,"Under-represented","Balanced")))</f>
        <v>Balanced</v>
      </c>
    </row>
    <row r="5" customFormat="false" ht="15" hidden="false" customHeight="false" outlineLevel="0" collapsed="false">
      <c r="A5" s="5" t="str">
        <f aca="false">'Outcomes and levels'!A5</f>
        <v>O4</v>
      </c>
      <c r="B5" s="5" t="n">
        <f aca="false">COUNTIF(Test!$D$2:$D$21,A5)</f>
        <v>3</v>
      </c>
      <c r="C5" s="5" t="n">
        <f aca="false">SUMIF(Test!$D$2:$D$21,A5,Test!$F$2:$F$21)</f>
        <v>6</v>
      </c>
      <c r="D5" s="10" t="n">
        <f aca="false">C5/Test!$F$22</f>
        <v>0.2</v>
      </c>
      <c r="E5" s="10" t="n">
        <f aca="false">'Outcomes and levels'!C5</f>
        <v>0.15</v>
      </c>
      <c r="F5" s="5" t="n">
        <f aca="false">ROUND((D5-E5)*100,1)</f>
        <v>5</v>
      </c>
      <c r="G5" s="5" t="str">
        <f aca="false">IF(B5=0,"Not represented",IF(F5&gt;$J$2,"Over-represented",IF(F5&lt;-$J$2,"Under-represented","Balanced")))</f>
        <v>Balanced</v>
      </c>
    </row>
    <row r="6" customFormat="false" ht="15" hidden="false" customHeight="false" outlineLevel="0" collapsed="false">
      <c r="A6" s="5" t="str">
        <f aca="false">'Outcomes and levels'!A6</f>
        <v>O5</v>
      </c>
      <c r="B6" s="5" t="n">
        <f aca="false">COUNTIF(Test!$D$2:$D$21,A6)</f>
        <v>0</v>
      </c>
      <c r="C6" s="5" t="n">
        <f aca="false">SUMIF(Test!$D$2:$D$21,A6,Test!$F$2:$F$21)</f>
        <v>0</v>
      </c>
      <c r="D6" s="10" t="n">
        <f aca="false">C6/Test!$F$22</f>
        <v>0</v>
      </c>
      <c r="E6" s="10" t="n">
        <f aca="false">'Outcomes and levels'!C6</f>
        <v>0.15</v>
      </c>
      <c r="F6" s="5" t="n">
        <f aca="false">ROUND((D6-E6)*100,1)</f>
        <v>-15</v>
      </c>
      <c r="G6" s="5" t="str">
        <f aca="false">IF(B6=0,"Not represented",IF(F6&gt;$J$2,"Over-represented",IF(F6&lt;-$J$2,"Under-represented","Balanced")))</f>
        <v>Not represented</v>
      </c>
    </row>
    <row r="7" customFormat="false" ht="15" hidden="false" customHeight="false" outlineLevel="0" collapsed="false">
      <c r="A7" s="5" t="str">
        <f aca="false">'Outcomes and levels'!A7</f>
        <v>O6</v>
      </c>
      <c r="B7" s="5" t="n">
        <f aca="false">COUNTIF(Test!$D$2:$D$21,A7)</f>
        <v>1</v>
      </c>
      <c r="C7" s="5" t="n">
        <f aca="false">SUMIF(Test!$D$2:$D$21,A7,Test!$F$2:$F$21)</f>
        <v>3</v>
      </c>
      <c r="D7" s="10" t="n">
        <f aca="false">C7/Test!$F$22</f>
        <v>0.1</v>
      </c>
      <c r="E7" s="10" t="n">
        <f aca="false">'Outcomes and levels'!C7</f>
        <v>0.15</v>
      </c>
      <c r="F7" s="5" t="n">
        <f aca="false">ROUND((D7-E7)*100,1)</f>
        <v>-5</v>
      </c>
      <c r="G7" s="5" t="str">
        <f aca="false">IF(B7=0,"Not represented",IF(F7&gt;$J$2,"Over-represented",IF(F7&lt;-$J$2,"Under-represented","Balanced")))</f>
        <v>Balanced</v>
      </c>
    </row>
    <row r="9" customFormat="false" ht="28.35" hidden="false" customHeight="false" outlineLevel="0" collapsed="false">
      <c r="A9" s="4" t="s">
        <v>35</v>
      </c>
      <c r="B9" s="4" t="s">
        <v>62</v>
      </c>
      <c r="C9" s="4" t="s">
        <v>36</v>
      </c>
      <c r="D9" s="4" t="s">
        <v>63</v>
      </c>
      <c r="E9" s="4" t="s">
        <v>13</v>
      </c>
      <c r="F9" s="4" t="s">
        <v>64</v>
      </c>
      <c r="G9" s="4" t="s">
        <v>65</v>
      </c>
    </row>
    <row r="10" customFormat="false" ht="15" hidden="false" customHeight="false" outlineLevel="0" collapsed="false">
      <c r="A10" s="5" t="str">
        <f aca="false">'Outcomes and levels'!A12</f>
        <v>Knowing</v>
      </c>
      <c r="B10" s="5" t="n">
        <f aca="false">COUNTIF(Test!$E$2:$E$21,A10)</f>
        <v>15</v>
      </c>
      <c r="C10" s="5" t="n">
        <f aca="false">SUMIF(Test!$E$2:$E$21,A10,Test!$F$2:$F$21)</f>
        <v>15</v>
      </c>
      <c r="D10" s="10" t="n">
        <f aca="false">C10/Test!$F$22</f>
        <v>0.5</v>
      </c>
      <c r="E10" s="10" t="n">
        <f aca="false">'Outcomes and levels'!C12</f>
        <v>0.35</v>
      </c>
      <c r="F10" s="5" t="n">
        <f aca="false">ROUND((D10-E10)*100,1)</f>
        <v>15</v>
      </c>
      <c r="G10" s="5" t="str">
        <f aca="false">IF(B10=0,"Not represented",IF(F10&gt;$J$2,"Over-represented",IF(F10&lt;-$J$2,"Under-represented","Balanced")))</f>
        <v>Over-represented</v>
      </c>
    </row>
    <row r="11" customFormat="false" ht="15" hidden="false" customHeight="false" outlineLevel="0" collapsed="false">
      <c r="A11" s="5" t="str">
        <f aca="false">'Outcomes and levels'!A13</f>
        <v>Applying</v>
      </c>
      <c r="B11" s="5" t="n">
        <f aca="false">COUNTIF(Test!$E$2:$E$21,A11)</f>
        <v>4</v>
      </c>
      <c r="C11" s="5" t="n">
        <f aca="false">SUMIF(Test!$E$2:$E$21,A11,Test!$F$2:$F$21)</f>
        <v>11</v>
      </c>
      <c r="D11" s="10" t="n">
        <f aca="false">C11/Test!$F$22</f>
        <v>0.366666666666667</v>
      </c>
      <c r="E11" s="10" t="n">
        <f aca="false">'Outcomes and levels'!C13</f>
        <v>0.4</v>
      </c>
      <c r="F11" s="5" t="n">
        <f aca="false">ROUND((D11-E11)*100,1)</f>
        <v>-3.3</v>
      </c>
      <c r="G11" s="5" t="str">
        <f aca="false">IF(B11=0,"Not represented",IF(F11&gt;$J$2,"Over-represented",IF(F11&lt;-$J$2,"Under-represented","Balanced")))</f>
        <v>Balanced</v>
      </c>
    </row>
    <row r="12" customFormat="false" ht="28.35" hidden="false" customHeight="false" outlineLevel="0" collapsed="false">
      <c r="A12" s="5" t="str">
        <f aca="false">'Outcomes and levels'!A14</f>
        <v>Reasoning</v>
      </c>
      <c r="B12" s="5" t="n">
        <f aca="false">COUNTIF(Test!$E$2:$E$21,A12)</f>
        <v>1</v>
      </c>
      <c r="C12" s="5" t="n">
        <f aca="false">SUMIF(Test!$E$2:$E$21,A12,Test!$F$2:$F$21)</f>
        <v>4</v>
      </c>
      <c r="D12" s="10" t="n">
        <f aca="false">C12/Test!$F$22</f>
        <v>0.133333333333333</v>
      </c>
      <c r="E12" s="10" t="n">
        <f aca="false">'Outcomes and levels'!C14</f>
        <v>0.25</v>
      </c>
      <c r="F12" s="5" t="n">
        <f aca="false">ROUND((D12-E12)*100,1)</f>
        <v>-11.7</v>
      </c>
      <c r="G12" s="5" t="str">
        <f aca="false">IF(B12=0,"Not represented",IF(F12&gt;$J$2,"Over-represented",IF(F12&lt;-$J$2,"Under-represented","Balanced")))</f>
        <v>Under-represented</v>
      </c>
    </row>
    <row r="15" customFormat="false" ht="15" hidden="false" customHeight="false" outlineLevel="0" collapsed="false">
      <c r="A15" s="3" t="s">
        <v>67</v>
      </c>
      <c r="C15" s="8" t="n">
        <f aca="false">COUNTIF(G2:G7,"Balanced")/6</f>
        <v>0.666666666666667</v>
      </c>
      <c r="D15" s="12" t="s">
        <v>68</v>
      </c>
    </row>
    <row r="16" customFormat="false" ht="15" hidden="false" customHeight="false" outlineLevel="0" collapsed="false">
      <c r="A16" s="3" t="s">
        <v>69</v>
      </c>
      <c r="C16" s="13" t="n">
        <f aca="false">COUNTIF(G2:G7,"Not represented")</f>
        <v>1</v>
      </c>
    </row>
  </sheetData>
  <conditionalFormatting sqref="G2:G7">
    <cfRule type="expression" priority="2" aboveAverage="0" equalAverage="0" bottom="0" percent="0" rank="0" text="" dxfId="0">
      <formula>G2="Balanced"</formula>
    </cfRule>
    <cfRule type="expression" priority="3" aboveAverage="0" equalAverage="0" bottom="0" percent="0" rank="0" text="" dxfId="1">
      <formula>G2="Not represented"</formula>
    </cfRule>
    <cfRule type="expression" priority="4" aboveAverage="0" equalAverage="0" bottom="0" percent="0" rank="0" text="" dxfId="2">
      <formula>OR(G2="Over-represented",G2="Under-represented")</formula>
    </cfRule>
  </conditionalFormatting>
  <conditionalFormatting sqref="G10:G12">
    <cfRule type="expression" priority="5" aboveAverage="0" equalAverage="0" bottom="0" percent="0" rank="0" text="" dxfId="0">
      <formula>G10="Balanced"</formula>
    </cfRule>
    <cfRule type="expression" priority="6" aboveAverage="0" equalAverage="0" bottom="0" percent="0" rank="0" text="" dxfId="1">
      <formula>G10="Not represented"</formula>
    </cfRule>
    <cfRule type="expression" priority="7" aboveAverage="0" equalAverage="0" bottom="0" percent="0" rank="0" text="" dxfId="2">
      <formula>OR(G10="Over-represented",G10="Under-represented")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1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1" style="0" width="40"/>
    <col collapsed="false" customWidth="true" hidden="false" outlineLevel="0" max="12" min="12" style="0" width="10"/>
  </cols>
  <sheetData>
    <row r="1" customFormat="false" ht="28.35" hidden="false" customHeight="false" outlineLevel="0" collapsed="false">
      <c r="A1" s="4" t="s">
        <v>31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65</v>
      </c>
      <c r="K1" s="3" t="s">
        <v>77</v>
      </c>
    </row>
    <row r="2" customFormat="false" ht="15" hidden="false" customHeight="false" outlineLevel="0" collapsed="false">
      <c r="A2" s="5" t="s">
        <v>78</v>
      </c>
      <c r="B2" s="9" t="n">
        <v>4</v>
      </c>
      <c r="C2" s="9" t="n">
        <v>4</v>
      </c>
      <c r="D2" s="9" t="n">
        <v>3</v>
      </c>
      <c r="E2" s="9" t="n">
        <v>4</v>
      </c>
      <c r="F2" s="9" t="n">
        <v>4</v>
      </c>
      <c r="G2" s="5" t="n">
        <f aca="false">COUNTIF(B2:F2,"&gt;=3")</f>
        <v>5</v>
      </c>
      <c r="H2" s="14" t="n">
        <f aca="false">G2/COUNT(B2:F2)</f>
        <v>1</v>
      </c>
      <c r="I2" s="5" t="str">
        <f aca="false">IF(H2&gt;=$L$3,"Acceptable","Needs review")</f>
        <v>Acceptable</v>
      </c>
      <c r="K2" s="3" t="s">
        <v>79</v>
      </c>
      <c r="L2" s="0" t="n">
        <f aca="false">COUNTA(B1:F1)</f>
        <v>5</v>
      </c>
    </row>
    <row r="3" customFormat="false" ht="15" hidden="false" customHeight="false" outlineLevel="0" collapsed="false">
      <c r="A3" s="5" t="s">
        <v>80</v>
      </c>
      <c r="B3" s="9" t="n">
        <v>4</v>
      </c>
      <c r="C3" s="9" t="n">
        <v>4</v>
      </c>
      <c r="D3" s="9" t="n">
        <v>3</v>
      </c>
      <c r="E3" s="9" t="n">
        <v>4</v>
      </c>
      <c r="F3" s="9" t="n">
        <v>4</v>
      </c>
      <c r="G3" s="5" t="n">
        <f aca="false">COUNTIF(B3:F3,"&gt;=3")</f>
        <v>5</v>
      </c>
      <c r="H3" s="14" t="n">
        <f aca="false">G3/COUNT(B3:F3)</f>
        <v>1</v>
      </c>
      <c r="I3" s="5" t="str">
        <f aca="false">IF(H3&gt;=$L$3,"Acceptable","Needs review")</f>
        <v>Acceptable</v>
      </c>
      <c r="K3" s="3" t="s">
        <v>81</v>
      </c>
      <c r="L3" s="15" t="n">
        <f aca="false">IF(L2&lt;=5,1,0.78)</f>
        <v>1</v>
      </c>
    </row>
    <row r="4" customFormat="false" ht="15" hidden="false" customHeight="false" outlineLevel="0" collapsed="false">
      <c r="A4" s="5" t="s">
        <v>82</v>
      </c>
      <c r="B4" s="9" t="n">
        <v>2</v>
      </c>
      <c r="C4" s="9" t="n">
        <v>3</v>
      </c>
      <c r="D4" s="9" t="n">
        <v>4</v>
      </c>
      <c r="E4" s="9" t="n">
        <v>2</v>
      </c>
      <c r="F4" s="9" t="n">
        <v>4</v>
      </c>
      <c r="G4" s="5" t="n">
        <f aca="false">COUNTIF(B4:F4,"&gt;=3")</f>
        <v>3</v>
      </c>
      <c r="H4" s="14" t="n">
        <f aca="false">G4/COUNT(B4:F4)</f>
        <v>0.6</v>
      </c>
      <c r="I4" s="5" t="str">
        <f aca="false">IF(H4&gt;=$L$3,"Acceptable","Needs review")</f>
        <v>Needs review</v>
      </c>
    </row>
    <row r="5" customFormat="false" ht="15" hidden="false" customHeight="false" outlineLevel="0" collapsed="false">
      <c r="A5" s="5" t="s">
        <v>83</v>
      </c>
      <c r="B5" s="9" t="n">
        <v>4</v>
      </c>
      <c r="C5" s="9" t="n">
        <v>4</v>
      </c>
      <c r="D5" s="9" t="n">
        <v>3</v>
      </c>
      <c r="E5" s="9" t="n">
        <v>4</v>
      </c>
      <c r="F5" s="9" t="n">
        <v>4</v>
      </c>
      <c r="G5" s="5" t="n">
        <f aca="false">COUNTIF(B5:F5,"&gt;=3")</f>
        <v>5</v>
      </c>
      <c r="H5" s="14" t="n">
        <f aca="false">G5/COUNT(B5:F5)</f>
        <v>1</v>
      </c>
      <c r="I5" s="5" t="str">
        <f aca="false">IF(H5&gt;=$L$3,"Acceptable","Needs review")</f>
        <v>Acceptable</v>
      </c>
      <c r="K5" s="3" t="s">
        <v>84</v>
      </c>
      <c r="L5" s="15" t="n">
        <f aca="false">AVERAGE(H2:H21)</f>
        <v>0.93</v>
      </c>
    </row>
    <row r="6" customFormat="false" ht="15" hidden="false" customHeight="false" outlineLevel="0" collapsed="false">
      <c r="A6" s="5" t="s">
        <v>85</v>
      </c>
      <c r="B6" s="9" t="n">
        <v>4</v>
      </c>
      <c r="C6" s="9" t="n">
        <v>4</v>
      </c>
      <c r="D6" s="9" t="n">
        <v>3</v>
      </c>
      <c r="E6" s="9" t="n">
        <v>4</v>
      </c>
      <c r="F6" s="9" t="n">
        <v>4</v>
      </c>
      <c r="G6" s="5" t="n">
        <f aca="false">COUNTIF(B6:F6,"&gt;=3")</f>
        <v>5</v>
      </c>
      <c r="H6" s="14" t="n">
        <f aca="false">G6/COUNT(B6:F6)</f>
        <v>1</v>
      </c>
      <c r="I6" s="5" t="str">
        <f aca="false">IF(H6&gt;=$L$3,"Acceptable","Needs review")</f>
        <v>Acceptable</v>
      </c>
      <c r="K6" s="3" t="s">
        <v>86</v>
      </c>
      <c r="L6" s="8" t="n">
        <f aca="false">COUNTIF(H2:H21,1)/COUNT(H2:H21)</f>
        <v>0.85</v>
      </c>
    </row>
    <row r="7" customFormat="false" ht="15" hidden="false" customHeight="false" outlineLevel="0" collapsed="false">
      <c r="A7" s="5" t="s">
        <v>87</v>
      </c>
      <c r="B7" s="9" t="n">
        <v>4</v>
      </c>
      <c r="C7" s="9" t="n">
        <v>3</v>
      </c>
      <c r="D7" s="9" t="n">
        <v>4</v>
      </c>
      <c r="E7" s="9" t="n">
        <v>4</v>
      </c>
      <c r="F7" s="9" t="n">
        <v>3</v>
      </c>
      <c r="G7" s="5" t="n">
        <f aca="false">COUNTIF(B7:F7,"&gt;=3")</f>
        <v>5</v>
      </c>
      <c r="H7" s="14" t="n">
        <f aca="false">G7/COUNT(B7:F7)</f>
        <v>1</v>
      </c>
      <c r="I7" s="5" t="str">
        <f aca="false">IF(H7&gt;=$L$3,"Acceptable","Needs review")</f>
        <v>Acceptable</v>
      </c>
      <c r="K7" s="3" t="s">
        <v>88</v>
      </c>
      <c r="L7" s="0" t="n">
        <f aca="false">COUNTIF(I2:I21,"Needs review")</f>
        <v>3</v>
      </c>
    </row>
    <row r="8" customFormat="false" ht="15" hidden="false" customHeight="false" outlineLevel="0" collapsed="false">
      <c r="A8" s="5" t="s">
        <v>89</v>
      </c>
      <c r="B8" s="9" t="n">
        <v>4</v>
      </c>
      <c r="C8" s="9" t="n">
        <v>4</v>
      </c>
      <c r="D8" s="9" t="n">
        <v>3</v>
      </c>
      <c r="E8" s="9" t="n">
        <v>4</v>
      </c>
      <c r="F8" s="9" t="n">
        <v>4</v>
      </c>
      <c r="G8" s="5" t="n">
        <f aca="false">COUNTIF(B8:F8,"&gt;=3")</f>
        <v>5</v>
      </c>
      <c r="H8" s="14" t="n">
        <f aca="false">G8/COUNT(B8:F8)</f>
        <v>1</v>
      </c>
      <c r="I8" s="5" t="str">
        <f aca="false">IF(H8&gt;=$L$3,"Acceptable","Needs review")</f>
        <v>Acceptable</v>
      </c>
    </row>
    <row r="9" customFormat="false" ht="15" hidden="false" customHeight="false" outlineLevel="0" collapsed="false">
      <c r="A9" s="5" t="s">
        <v>90</v>
      </c>
      <c r="B9" s="9" t="n">
        <v>4</v>
      </c>
      <c r="C9" s="9" t="n">
        <v>4</v>
      </c>
      <c r="D9" s="9" t="n">
        <v>3</v>
      </c>
      <c r="E9" s="9" t="n">
        <v>4</v>
      </c>
      <c r="F9" s="9" t="n">
        <v>4</v>
      </c>
      <c r="G9" s="5" t="n">
        <f aca="false">COUNTIF(B9:F9,"&gt;=3")</f>
        <v>5</v>
      </c>
      <c r="H9" s="14" t="n">
        <f aca="false">G9/COUNT(B9:F9)</f>
        <v>1</v>
      </c>
      <c r="I9" s="5" t="str">
        <f aca="false">IF(H9&gt;=$L$3,"Acceptable","Needs review")</f>
        <v>Acceptable</v>
      </c>
      <c r="K9" s="12" t="s">
        <v>91</v>
      </c>
    </row>
    <row r="10" customFormat="false" ht="15" hidden="false" customHeight="false" outlineLevel="0" collapsed="false">
      <c r="A10" s="5" t="s">
        <v>92</v>
      </c>
      <c r="B10" s="9" t="n">
        <v>4</v>
      </c>
      <c r="C10" s="9" t="n">
        <v>3</v>
      </c>
      <c r="D10" s="9" t="n">
        <v>4</v>
      </c>
      <c r="E10" s="9" t="n">
        <v>4</v>
      </c>
      <c r="F10" s="9" t="n">
        <v>3</v>
      </c>
      <c r="G10" s="5" t="n">
        <f aca="false">COUNTIF(B10:F10,"&gt;=3")</f>
        <v>5</v>
      </c>
      <c r="H10" s="14" t="n">
        <f aca="false">G10/COUNT(B10:F10)</f>
        <v>1</v>
      </c>
      <c r="I10" s="5" t="str">
        <f aca="false">IF(H10&gt;=$L$3,"Acceptable","Needs review")</f>
        <v>Acceptable</v>
      </c>
    </row>
    <row r="11" customFormat="false" ht="15" hidden="false" customHeight="false" outlineLevel="0" collapsed="false">
      <c r="A11" s="5" t="s">
        <v>93</v>
      </c>
      <c r="B11" s="9" t="n">
        <v>4</v>
      </c>
      <c r="C11" s="9" t="n">
        <v>4</v>
      </c>
      <c r="D11" s="9" t="n">
        <v>3</v>
      </c>
      <c r="E11" s="9" t="n">
        <v>4</v>
      </c>
      <c r="F11" s="9" t="n">
        <v>4</v>
      </c>
      <c r="G11" s="5" t="n">
        <f aca="false">COUNTIF(B11:F11,"&gt;=3")</f>
        <v>5</v>
      </c>
      <c r="H11" s="14" t="n">
        <f aca="false">G11/COUNT(B11:F11)</f>
        <v>1</v>
      </c>
      <c r="I11" s="5" t="str">
        <f aca="false">IF(H11&gt;=$L$3,"Acceptable","Needs review")</f>
        <v>Acceptable</v>
      </c>
    </row>
    <row r="12" customFormat="false" ht="15" hidden="false" customHeight="false" outlineLevel="0" collapsed="false">
      <c r="A12" s="5" t="s">
        <v>94</v>
      </c>
      <c r="B12" s="9" t="n">
        <v>2</v>
      </c>
      <c r="C12" s="9" t="n">
        <v>1</v>
      </c>
      <c r="D12" s="9" t="n">
        <v>3</v>
      </c>
      <c r="E12" s="9" t="n">
        <v>2</v>
      </c>
      <c r="F12" s="9" t="n">
        <v>2</v>
      </c>
      <c r="G12" s="5" t="n">
        <f aca="false">COUNTIF(B12:F12,"&gt;=3")</f>
        <v>1</v>
      </c>
      <c r="H12" s="14" t="n">
        <f aca="false">G12/COUNT(B12:F12)</f>
        <v>0.2</v>
      </c>
      <c r="I12" s="5" t="str">
        <f aca="false">IF(H12&gt;=$L$3,"Acceptable","Needs review")</f>
        <v>Needs review</v>
      </c>
    </row>
    <row r="13" customFormat="false" ht="15" hidden="false" customHeight="false" outlineLevel="0" collapsed="false">
      <c r="A13" s="5" t="s">
        <v>95</v>
      </c>
      <c r="B13" s="9" t="n">
        <v>4</v>
      </c>
      <c r="C13" s="9" t="n">
        <v>3</v>
      </c>
      <c r="D13" s="9" t="n">
        <v>4</v>
      </c>
      <c r="E13" s="9" t="n">
        <v>4</v>
      </c>
      <c r="F13" s="9" t="n">
        <v>3</v>
      </c>
      <c r="G13" s="5" t="n">
        <f aca="false">COUNTIF(B13:F13,"&gt;=3")</f>
        <v>5</v>
      </c>
      <c r="H13" s="14" t="n">
        <f aca="false">G13/COUNT(B13:F13)</f>
        <v>1</v>
      </c>
      <c r="I13" s="5" t="str">
        <f aca="false">IF(H13&gt;=$L$3,"Acceptable","Needs review")</f>
        <v>Acceptable</v>
      </c>
    </row>
    <row r="14" customFormat="false" ht="15" hidden="false" customHeight="false" outlineLevel="0" collapsed="false">
      <c r="A14" s="5" t="s">
        <v>96</v>
      </c>
      <c r="B14" s="9" t="n">
        <v>4</v>
      </c>
      <c r="C14" s="9" t="n">
        <v>4</v>
      </c>
      <c r="D14" s="9" t="n">
        <v>3</v>
      </c>
      <c r="E14" s="9" t="n">
        <v>4</v>
      </c>
      <c r="F14" s="9" t="n">
        <v>4</v>
      </c>
      <c r="G14" s="5" t="n">
        <f aca="false">COUNTIF(B14:F14,"&gt;=3")</f>
        <v>5</v>
      </c>
      <c r="H14" s="14" t="n">
        <f aca="false">G14/COUNT(B14:F14)</f>
        <v>1</v>
      </c>
      <c r="I14" s="5" t="str">
        <f aca="false">IF(H14&gt;=$L$3,"Acceptable","Needs review")</f>
        <v>Acceptable</v>
      </c>
    </row>
    <row r="15" customFormat="false" ht="15" hidden="false" customHeight="false" outlineLevel="0" collapsed="false">
      <c r="A15" s="5" t="s">
        <v>97</v>
      </c>
      <c r="B15" s="9" t="n">
        <v>4</v>
      </c>
      <c r="C15" s="9" t="n">
        <v>3</v>
      </c>
      <c r="D15" s="9" t="n">
        <v>4</v>
      </c>
      <c r="E15" s="9" t="n">
        <v>2</v>
      </c>
      <c r="F15" s="9" t="n">
        <v>4</v>
      </c>
      <c r="G15" s="5" t="n">
        <f aca="false">COUNTIF(B15:F15,"&gt;=3")</f>
        <v>4</v>
      </c>
      <c r="H15" s="14" t="n">
        <f aca="false">G15/COUNT(B15:F15)</f>
        <v>0.8</v>
      </c>
      <c r="I15" s="5" t="str">
        <f aca="false">IF(H15&gt;=$L$3,"Acceptable","Needs review")</f>
        <v>Needs review</v>
      </c>
    </row>
    <row r="16" customFormat="false" ht="15" hidden="false" customHeight="false" outlineLevel="0" collapsed="false">
      <c r="A16" s="5" t="s">
        <v>98</v>
      </c>
      <c r="B16" s="9" t="n">
        <v>4</v>
      </c>
      <c r="C16" s="9" t="n">
        <v>3</v>
      </c>
      <c r="D16" s="9" t="n">
        <v>4</v>
      </c>
      <c r="E16" s="9" t="n">
        <v>4</v>
      </c>
      <c r="F16" s="9" t="n">
        <v>3</v>
      </c>
      <c r="G16" s="5" t="n">
        <f aca="false">COUNTIF(B16:F16,"&gt;=3")</f>
        <v>5</v>
      </c>
      <c r="H16" s="14" t="n">
        <f aca="false">G16/COUNT(B16:F16)</f>
        <v>1</v>
      </c>
      <c r="I16" s="5" t="str">
        <f aca="false">IF(H16&gt;=$L$3,"Acceptable","Needs review")</f>
        <v>Acceptable</v>
      </c>
    </row>
    <row r="17" customFormat="false" ht="15" hidden="false" customHeight="false" outlineLevel="0" collapsed="false">
      <c r="A17" s="5" t="s">
        <v>99</v>
      </c>
      <c r="B17" s="9" t="n">
        <v>4</v>
      </c>
      <c r="C17" s="9" t="n">
        <v>4</v>
      </c>
      <c r="D17" s="9" t="n">
        <v>3</v>
      </c>
      <c r="E17" s="9" t="n">
        <v>4</v>
      </c>
      <c r="F17" s="9" t="n">
        <v>4</v>
      </c>
      <c r="G17" s="5" t="n">
        <f aca="false">COUNTIF(B17:F17,"&gt;=3")</f>
        <v>5</v>
      </c>
      <c r="H17" s="14" t="n">
        <f aca="false">G17/COUNT(B17:F17)</f>
        <v>1</v>
      </c>
      <c r="I17" s="5" t="str">
        <f aca="false">IF(H17&gt;=$L$3,"Acceptable","Needs review")</f>
        <v>Acceptable</v>
      </c>
    </row>
    <row r="18" customFormat="false" ht="15" hidden="false" customHeight="false" outlineLevel="0" collapsed="false">
      <c r="A18" s="5" t="s">
        <v>100</v>
      </c>
      <c r="B18" s="9" t="n">
        <v>4</v>
      </c>
      <c r="C18" s="9" t="n">
        <v>4</v>
      </c>
      <c r="D18" s="9" t="n">
        <v>3</v>
      </c>
      <c r="E18" s="9" t="n">
        <v>4</v>
      </c>
      <c r="F18" s="9" t="n">
        <v>4</v>
      </c>
      <c r="G18" s="5" t="n">
        <f aca="false">COUNTIF(B18:F18,"&gt;=3")</f>
        <v>5</v>
      </c>
      <c r="H18" s="14" t="n">
        <f aca="false">G18/COUNT(B18:F18)</f>
        <v>1</v>
      </c>
      <c r="I18" s="5" t="str">
        <f aca="false">IF(H18&gt;=$L$3,"Acceptable","Needs review")</f>
        <v>Acceptable</v>
      </c>
    </row>
    <row r="19" customFormat="false" ht="15" hidden="false" customHeight="false" outlineLevel="0" collapsed="false">
      <c r="A19" s="5" t="s">
        <v>101</v>
      </c>
      <c r="B19" s="9" t="n">
        <v>4</v>
      </c>
      <c r="C19" s="9" t="n">
        <v>3</v>
      </c>
      <c r="D19" s="9" t="n">
        <v>4</v>
      </c>
      <c r="E19" s="9" t="n">
        <v>4</v>
      </c>
      <c r="F19" s="9" t="n">
        <v>3</v>
      </c>
      <c r="G19" s="5" t="n">
        <f aca="false">COUNTIF(B19:F19,"&gt;=3")</f>
        <v>5</v>
      </c>
      <c r="H19" s="14" t="n">
        <f aca="false">G19/COUNT(B19:F19)</f>
        <v>1</v>
      </c>
      <c r="I19" s="5" t="str">
        <f aca="false">IF(H19&gt;=$L$3,"Acceptable","Needs review")</f>
        <v>Acceptable</v>
      </c>
    </row>
    <row r="20" customFormat="false" ht="15" hidden="false" customHeight="false" outlineLevel="0" collapsed="false">
      <c r="A20" s="5" t="s">
        <v>102</v>
      </c>
      <c r="B20" s="9" t="n">
        <v>4</v>
      </c>
      <c r="C20" s="9" t="n">
        <v>4</v>
      </c>
      <c r="D20" s="9" t="n">
        <v>3</v>
      </c>
      <c r="E20" s="9" t="n">
        <v>4</v>
      </c>
      <c r="F20" s="9" t="n">
        <v>4</v>
      </c>
      <c r="G20" s="5" t="n">
        <f aca="false">COUNTIF(B20:F20,"&gt;=3")</f>
        <v>5</v>
      </c>
      <c r="H20" s="14" t="n">
        <f aca="false">G20/COUNT(B20:F20)</f>
        <v>1</v>
      </c>
      <c r="I20" s="5" t="str">
        <f aca="false">IF(H20&gt;=$L$3,"Acceptable","Needs review")</f>
        <v>Acceptable</v>
      </c>
    </row>
    <row r="21" customFormat="false" ht="15" hidden="false" customHeight="false" outlineLevel="0" collapsed="false">
      <c r="A21" s="5" t="s">
        <v>103</v>
      </c>
      <c r="B21" s="9" t="n">
        <v>4</v>
      </c>
      <c r="C21" s="9" t="n">
        <v>4</v>
      </c>
      <c r="D21" s="9" t="n">
        <v>3</v>
      </c>
      <c r="E21" s="9" t="n">
        <v>4</v>
      </c>
      <c r="F21" s="9" t="n">
        <v>4</v>
      </c>
      <c r="G21" s="5" t="n">
        <f aca="false">COUNTIF(B21:F21,"&gt;=3")</f>
        <v>5</v>
      </c>
      <c r="H21" s="14" t="n">
        <f aca="false">G21/COUNT(B21:F21)</f>
        <v>1</v>
      </c>
      <c r="I21" s="5" t="str">
        <f aca="false">IF(H21&gt;=$L$3,"Acceptable","Needs review")</f>
        <v>Acceptable</v>
      </c>
    </row>
  </sheetData>
  <conditionalFormatting sqref="I2:I21">
    <cfRule type="expression" priority="2" aboveAverage="0" equalAverage="0" bottom="0" percent="0" rank="0" text="" dxfId="1">
      <formula>I2="Needs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2026-10-15T03:56:47Z</dcterms:created>
  <dc:creator>openpyxl</dc:creator>
  <dc:description/>
  <dc:language>en-US</dc:language>
  <cp:lastModifiedBy/>
  <dcterms:modified xsi:type="dcterms:W3CDTF">2026-10-15T03:56:47Z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