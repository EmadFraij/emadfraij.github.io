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" sheetId="1" state="visible" r:id="rId3"/>
    <sheet name="البيانات" sheetId="2" state="visible" r:id="rId4"/>
    <sheet name="المقارنة الخام" sheetId="3" state="visible" r:id="rId5"/>
    <sheet name="المقارنة المضبوطة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FreeSans"/>
            <family val="2"/>
          </rPr>
          <t xml:space="preserve">موجب: المجموعة المركّز عليها أفضل. هذا الفرق يخلط بين المستوى الحقيقي وأي تحيّز محتمل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Dorans &amp; Kulick (1986): </t>
        </r>
        <r>
          <rPr>
            <sz val="10"/>
            <rFont val="FreeSans"/>
            <family val="2"/>
          </rPr>
          <t xml:space="preserve">القيمة المطلقة لمؤشر التوحيد أقل من </t>
        </r>
        <r>
          <rPr>
            <sz val="10"/>
            <rFont val="Arial"/>
            <family val="2"/>
          </rPr>
          <t xml:space="preserve">0.05 مهملة، ومن 0.05 إلى 0.10 تستحق الفحص، وأكثر من 0.10 فرق كبير يستدعي مراجعة الفقرة.</t>
        </r>
      </text>
    </comment>
    <comment ref="Q5" authorId="0">
      <text>
        <r>
          <rPr>
            <sz val="10"/>
            <rFont val="FreeSans"/>
            <family val="2"/>
          </rPr>
          <t xml:space="preserve">متوسط فروق الصواب داخل كل فئة، موزوناً بعدد طلبة غير العربية في الفئة. سالب: الفقرة أصعب على غير العربية من نظرائهم في المستوى نفسه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<sst xmlns="http://schemas.openxmlformats.org/spreadsheetml/2006/main" count="1071" uniqueCount="548">
  <si>
    <t xml:space="preserve">مشغل الأسبوع 5 — العدالة: هل تعامل الفقرة المجموعتين بالعدل نفسه؟</t>
  </si>
  <si>
    <t xml:space="preserve">مساق القياس والتقويم التربوي — دبلوم الدراسات العليا المهني في التدريس</t>
  </si>
  <si>
    <t xml:space="preserve">تنبيه: البيانات محاكاة حاسوبية لأغراض التدريب، وليست لطلبة حقيقيين.</t>
  </si>
  <si>
    <t xml:space="preserve">اختبار رياضيات من 20 فقرة طُبّق على 480 طالباً: 300 لغة البيت لديهم العربية، و180 لغة البيت لديهم غير العربية.</t>
  </si>
  <si>
    <t xml:space="preserve">في البيانات فرق حقيقي في المستوى بين المجموعتين، وفيها ثلاث فقرات تعامل المجموعتين بصورة غير متكافئة.</t>
  </si>
  <si>
    <t xml:space="preserve">أوراق المصنف:</t>
  </si>
  <si>
    <t xml:space="preserve">البيانات: درجة كل طالب في كل فقرة (1 أو 0)، ومجموعته، ودرجته الكلية.</t>
  </si>
  <si>
    <t xml:space="preserve">المقارنة الخام: نسبة الإجابة الصحيحة في كل مجموعة والفرق بينهما، دون مراعاة المستوى.</t>
  </si>
  <si>
    <t xml:space="preserve">المقارنة المضبوطة: مقارنة طلبة المستوى نفسه فقط (خمس فئات للدرجة الكلية)، ثم مؤشر التوحيد.</t>
  </si>
  <si>
    <t xml:space="preserve">الفكرة الأساسية: الفرق الخام قد يعكس فرقاً حقيقياً في المستوى. التحيّز يظهر فقط عندما يختلف أداء طلبة المستوى نفسه.</t>
  </si>
  <si>
    <t xml:space="preserve">المجموعة المرجعية: لغة البيت العربية. المجموعة المركّز عليها: لغة البيت غير العربية. القيمة السالبة تعني أن الفقرة أصعب على المجموعة المركّز عليها.</t>
  </si>
  <si>
    <t xml:space="preserve">الطالب</t>
  </si>
  <si>
    <t xml:space="preserve">لغة البيت</t>
  </si>
  <si>
    <t xml:space="preserve">ف1</t>
  </si>
  <si>
    <t xml:space="preserve">ف2</t>
  </si>
  <si>
    <t xml:space="preserve">ف3</t>
  </si>
  <si>
    <t xml:space="preserve">ف4</t>
  </si>
  <si>
    <t xml:space="preserve">ف5</t>
  </si>
  <si>
    <t xml:space="preserve">ف6</t>
  </si>
  <si>
    <t xml:space="preserve">ف7</t>
  </si>
  <si>
    <t xml:space="preserve">ف8</t>
  </si>
  <si>
    <t xml:space="preserve">ف9</t>
  </si>
  <si>
    <t xml:space="preserve">ف10</t>
  </si>
  <si>
    <t xml:space="preserve">ف11</t>
  </si>
  <si>
    <t xml:space="preserve">ف12</t>
  </si>
  <si>
    <t xml:space="preserve">ف13</t>
  </si>
  <si>
    <t xml:space="preserve">ف14</t>
  </si>
  <si>
    <t xml:space="preserve">ف15</t>
  </si>
  <si>
    <t xml:space="preserve">ف16</t>
  </si>
  <si>
    <t xml:space="preserve">ف17</t>
  </si>
  <si>
    <t xml:space="preserve">ف18</t>
  </si>
  <si>
    <t xml:space="preserve">ف19</t>
  </si>
  <si>
    <t xml:space="preserve">ف20</t>
  </si>
  <si>
    <t xml:space="preserve">الدرجة الكلية</t>
  </si>
  <si>
    <t xml:space="preserve">S001</t>
  </si>
  <si>
    <t xml:space="preserve">عربية</t>
  </si>
  <si>
    <t xml:space="preserve">S002</t>
  </si>
  <si>
    <t xml:space="preserve">S003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</si>
  <si>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</si>
  <si>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</si>
  <si>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</si>
  <si>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</si>
  <si>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</si>
  <si>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</si>
  <si>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</si>
  <si>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</si>
  <si>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</si>
  <si>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</si>
  <si>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</si>
  <si>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</si>
  <si>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</si>
  <si>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</si>
  <si>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</si>
  <si>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</si>
  <si>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</si>
  <si>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</si>
  <si>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</si>
  <si>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</si>
  <si>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</si>
  <si>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</si>
  <si>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</si>
  <si>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</si>
  <si>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</si>
  <si>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</si>
  <si>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</si>
  <si>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</si>
  <si>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</si>
  <si>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</si>
  <si>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</si>
  <si>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</si>
  <si>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</si>
  <si>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</si>
  <si>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</si>
  <si>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</si>
  <si>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</si>
  <si>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</si>
  <si>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</si>
  <si>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</si>
  <si>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</si>
  <si>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</si>
  <si>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</si>
  <si>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</si>
  <si>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</si>
  <si>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</si>
  <si>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</si>
  <si>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</si>
  <si>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</si>
  <si>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</si>
  <si>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</si>
  <si>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</si>
  <si>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</si>
  <si>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</si>
  <si>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</si>
  <si>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</si>
  <si>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</si>
  <si>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</si>
  <si>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</si>
  <si>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</si>
  <si>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</si>
  <si>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</si>
  <si>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</si>
  <si>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</si>
  <si>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</si>
  <si>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</si>
  <si>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</si>
  <si>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</si>
  <si>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</si>
  <si>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</si>
  <si>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</si>
  <si>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</si>
  <si>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</si>
  <si>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</si>
  <si>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</si>
  <si>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</si>
  <si>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</si>
  <si>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S081</t>
  </si>
  <si>
    <t xml:space="preserve">S082</t>
  </si>
  <si>
    <t xml:space="preserve">S083</t>
  </si>
  <si>
    <t xml:space="preserve">S084</t>
  </si>
  <si>
    <t xml:space="preserve">S085</t>
  </si>
  <si>
    <t xml:space="preserve">S086</t>
  </si>
  <si>
    <t xml:space="preserve">S087</t>
  </si>
  <si>
    <t xml:space="preserve">S088</t>
  </si>
  <si>
    <t xml:space="preserve">S089</t>
  </si>
  <si>
    <t xml:space="preserve">S090</t>
  </si>
  <si>
    <t xml:space="preserve">S091</t>
  </si>
  <si>
    <t xml:space="preserve">S092</t>
  </si>
  <si>
    <t xml:space="preserve">S093</t>
  </si>
  <si>
    <t xml:space="preserve">S094</t>
  </si>
  <si>
    <t xml:space="preserve">S095</t>
  </si>
  <si>
    <t xml:space="preserve">S096</t>
  </si>
  <si>
    <t xml:space="preserve">S097</t>
  </si>
  <si>
    <t xml:space="preserve">S098</t>
  </si>
  <si>
    <t xml:space="preserve">S099</t>
  </si>
  <si>
    <t xml:space="preserve">S100</t>
  </si>
  <si>
    <t xml:space="preserve">S101</t>
  </si>
  <si>
    <t xml:space="preserve">S102</t>
  </si>
  <si>
    <t xml:space="preserve">S103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</si>
  <si>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</si>
  <si>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</si>
  <si>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</si>
  <si>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</si>
  <si>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</si>
  <si>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S109</t>
  </si>
  <si>
    <t xml:space="preserve">S110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</si>
  <si>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</si>
  <si>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</si>
  <si>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</si>
  <si>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</si>
  <si>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</si>
  <si>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</si>
  <si>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</si>
  <si>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</si>
  <si>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</si>
  <si>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</si>
  <si>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S121</t>
  </si>
  <si>
    <t xml:space="preserve">S122</t>
  </si>
  <si>
    <t xml:space="preserve">S123</t>
  </si>
  <si>
    <t xml:space="preserve">S124</t>
  </si>
  <si>
    <t xml:space="preserve">S125</t>
  </si>
  <si>
    <t xml:space="preserve">S126</t>
  </si>
  <si>
    <t xml:space="preserve">S127</t>
  </si>
  <si>
    <t xml:space="preserve">S128</t>
  </si>
  <si>
    <t xml:space="preserve">S129</t>
  </si>
  <si>
    <t xml:space="preserve">S130</t>
  </si>
  <si>
    <t xml:space="preserve">S131</t>
  </si>
  <si>
    <t xml:space="preserve">S132</t>
  </si>
  <si>
    <t xml:space="preserve">S133</t>
  </si>
  <si>
    <t xml:space="preserve">S134</t>
  </si>
  <si>
    <t xml:space="preserve">S135</t>
  </si>
  <si>
    <t xml:space="preserve">S136</t>
  </si>
  <si>
    <t xml:space="preserve">S137</t>
  </si>
  <si>
    <t xml:space="preserve">S138</t>
  </si>
  <si>
    <t xml:space="preserve">S139</t>
  </si>
  <si>
    <t xml:space="preserve">S140</t>
  </si>
  <si>
    <t xml:space="preserve">S141</t>
  </si>
  <si>
    <t xml:space="preserve">S142</t>
  </si>
  <si>
    <t xml:space="preserve">S143</t>
  </si>
  <si>
    <t xml:space="preserve">S144</t>
  </si>
  <si>
    <t xml:space="preserve">S145</t>
  </si>
  <si>
    <t xml:space="preserve">S146</t>
  </si>
  <si>
    <t xml:space="preserve">S147</t>
  </si>
  <si>
    <t xml:space="preserve">S148</t>
  </si>
  <si>
    <t xml:space="preserve">S149</t>
  </si>
  <si>
    <t xml:space="preserve">S150</t>
  </si>
  <si>
    <t xml:space="preserve">S151</t>
  </si>
  <si>
    <t xml:space="preserve">S152</t>
  </si>
  <si>
    <t xml:space="preserve">S153</t>
  </si>
  <si>
    <t xml:space="preserve">S154</t>
  </si>
  <si>
    <t xml:space="preserve">S155</t>
  </si>
  <si>
    <t xml:space="preserve">S156</t>
  </si>
  <si>
    <t xml:space="preserve">S157</t>
  </si>
  <si>
    <t xml:space="preserve">S158</t>
  </si>
  <si>
    <t xml:space="preserve">S159</t>
  </si>
  <si>
    <t xml:space="preserve">S160</t>
  </si>
  <si>
    <t xml:space="preserve">S161</t>
  </si>
  <si>
    <t xml:space="preserve">S162</t>
  </si>
  <si>
    <t xml:space="preserve">S163</t>
  </si>
  <si>
    <t xml:space="preserve">S164</t>
  </si>
  <si>
    <t xml:space="preserve">S165</t>
  </si>
  <si>
    <t xml:space="preserve">S166</t>
  </si>
  <si>
    <t xml:space="preserve">S167</t>
  </si>
  <si>
    <t xml:space="preserve">S168</t>
  </si>
  <si>
    <t xml:space="preserve">S169</t>
  </si>
  <si>
    <t xml:space="preserve">S170</t>
  </si>
  <si>
    <t xml:space="preserve">S171</t>
  </si>
  <si>
    <t xml:space="preserve">S172</t>
  </si>
  <si>
    <t xml:space="preserve">S173</t>
  </si>
  <si>
    <t xml:space="preserve">S174</t>
  </si>
  <si>
    <t xml:space="preserve">S175</t>
  </si>
  <si>
    <t xml:space="preserve">S176</t>
  </si>
  <si>
    <t xml:space="preserve">S177</t>
  </si>
  <si>
    <t xml:space="preserve">S178</t>
  </si>
  <si>
    <t xml:space="preserve">S179</t>
  </si>
  <si>
    <t xml:space="preserve">S180</t>
  </si>
  <si>
    <t xml:space="preserve">S181</t>
  </si>
  <si>
    <t xml:space="preserve">S182</t>
  </si>
  <si>
    <t xml:space="preserve">S183</t>
  </si>
  <si>
    <t xml:space="preserve">S184</t>
  </si>
  <si>
    <t xml:space="preserve">S185</t>
  </si>
  <si>
    <t xml:space="preserve">S186</t>
  </si>
  <si>
    <t xml:space="preserve">S187</t>
  </si>
  <si>
    <t xml:space="preserve">S188</t>
  </si>
  <si>
    <t xml:space="preserve">S189</t>
  </si>
  <si>
    <t xml:space="preserve">S190</t>
  </si>
  <si>
    <t xml:space="preserve">S191</t>
  </si>
  <si>
    <t xml:space="preserve">S192</t>
  </si>
  <si>
    <t xml:space="preserve">S193</t>
  </si>
  <si>
    <t xml:space="preserve">S194</t>
  </si>
  <si>
    <t xml:space="preserve">S195</t>
  </si>
  <si>
    <t xml:space="preserve">S196</t>
  </si>
  <si>
    <t xml:space="preserve">S197</t>
  </si>
  <si>
    <t xml:space="preserve">S198</t>
  </si>
  <si>
    <t xml:space="preserve">S199</t>
  </si>
  <si>
    <t xml:space="preserve">S200</t>
  </si>
  <si>
    <t xml:space="preserve">S201</t>
  </si>
  <si>
    <t xml:space="preserve">S202</t>
  </si>
  <si>
    <t xml:space="preserve">S203</t>
  </si>
  <si>
    <t xml:space="preserve">S204</t>
  </si>
  <si>
    <t xml:space="preserve">S205</t>
  </si>
  <si>
    <t xml:space="preserve">S206</t>
  </si>
  <si>
    <t xml:space="preserve">S207</t>
  </si>
  <si>
    <t xml:space="preserve">S208</t>
  </si>
  <si>
    <t xml:space="preserve">S209</t>
  </si>
  <si>
    <t xml:space="preserve">S210</t>
  </si>
  <si>
    <t xml:space="preserve">S211</t>
  </si>
  <si>
    <t xml:space="preserve">S212</t>
  </si>
  <si>
    <t xml:space="preserve">S213</t>
  </si>
  <si>
    <t xml:space="preserve">S214</t>
  </si>
  <si>
    <t xml:space="preserve">S215</t>
  </si>
  <si>
    <t xml:space="preserve">S216</t>
  </si>
  <si>
    <t xml:space="preserve">S217</t>
  </si>
  <si>
    <t xml:space="preserve">S218</t>
  </si>
  <si>
    <t xml:space="preserve">S219</t>
  </si>
  <si>
    <t xml:space="preserve">S220</t>
  </si>
  <si>
    <t xml:space="preserve">S221</t>
  </si>
  <si>
    <t xml:space="preserve">S222</t>
  </si>
  <si>
    <t xml:space="preserve">S223</t>
  </si>
  <si>
    <t xml:space="preserve">S224</t>
  </si>
  <si>
    <t xml:space="preserve">S225</t>
  </si>
  <si>
    <t xml:space="preserve">S226</t>
  </si>
  <si>
    <t xml:space="preserve">S227</t>
  </si>
  <si>
    <t xml:space="preserve">S228</t>
  </si>
  <si>
    <t xml:space="preserve">S229</t>
  </si>
  <si>
    <t xml:space="preserve">S230</t>
  </si>
  <si>
    <t xml:space="preserve">S231</t>
  </si>
  <si>
    <t xml:space="preserve">S232</t>
  </si>
  <si>
    <t xml:space="preserve">S233</t>
  </si>
  <si>
    <t xml:space="preserve">S234</t>
  </si>
  <si>
    <t xml:space="preserve">S235</t>
  </si>
  <si>
    <t xml:space="preserve">S236</t>
  </si>
  <si>
    <t xml:space="preserve">S237</t>
  </si>
  <si>
    <t xml:space="preserve">S238</t>
  </si>
  <si>
    <t xml:space="preserve">S239</t>
  </si>
  <si>
    <t xml:space="preserve">S240</t>
  </si>
  <si>
    <t xml:space="preserve">S241</t>
  </si>
  <si>
    <t xml:space="preserve">S242</t>
  </si>
  <si>
    <t xml:space="preserve">S243</t>
  </si>
  <si>
    <t xml:space="preserve">S244</t>
  </si>
  <si>
    <t xml:space="preserve">S245</t>
  </si>
  <si>
    <t xml:space="preserve">S246</t>
  </si>
  <si>
    <t xml:space="preserve">S247</t>
  </si>
  <si>
    <t xml:space="preserve">S248</t>
  </si>
  <si>
    <t xml:space="preserve">S249</t>
  </si>
  <si>
    <t xml:space="preserve">S250</t>
  </si>
  <si>
    <t xml:space="preserve">S251</t>
  </si>
  <si>
    <t xml:space="preserve">S252</t>
  </si>
  <si>
    <t xml:space="preserve">S253</t>
  </si>
  <si>
    <t xml:space="preserve">S254</t>
  </si>
  <si>
    <t xml:space="preserve">S255</t>
  </si>
  <si>
    <t xml:space="preserve">S256</t>
  </si>
  <si>
    <t xml:space="preserve">S257</t>
  </si>
  <si>
    <t xml:space="preserve">S258</t>
  </si>
  <si>
    <t xml:space="preserve">S259</t>
  </si>
  <si>
    <t xml:space="preserve">S260</t>
  </si>
  <si>
    <t xml:space="preserve">S261</t>
  </si>
  <si>
    <t xml:space="preserve">S262</t>
  </si>
  <si>
    <t xml:space="preserve">S263</t>
  </si>
  <si>
    <t xml:space="preserve">S264</t>
  </si>
  <si>
    <t xml:space="preserve">S265</t>
  </si>
  <si>
    <t xml:space="preserve">S266</t>
  </si>
  <si>
    <t xml:space="preserve">S267</t>
  </si>
  <si>
    <t xml:space="preserve">S268</t>
  </si>
  <si>
    <t xml:space="preserve">S269</t>
  </si>
  <si>
    <t xml:space="preserve">S270</t>
  </si>
  <si>
    <t xml:space="preserve">S271</t>
  </si>
  <si>
    <t xml:space="preserve">S272</t>
  </si>
  <si>
    <t xml:space="preserve">S273</t>
  </si>
  <si>
    <t xml:space="preserve">S274</t>
  </si>
  <si>
    <t xml:space="preserve">S275</t>
  </si>
  <si>
    <t xml:space="preserve">S276</t>
  </si>
  <si>
    <t xml:space="preserve">S277</t>
  </si>
  <si>
    <t xml:space="preserve">S278</t>
  </si>
  <si>
    <t xml:space="preserve">S279</t>
  </si>
  <si>
    <t xml:space="preserve">S280</t>
  </si>
  <si>
    <t xml:space="preserve">S281</t>
  </si>
  <si>
    <t xml:space="preserve">S282</t>
  </si>
  <si>
    <t xml:space="preserve">S283</t>
  </si>
  <si>
    <t xml:space="preserve">S284</t>
  </si>
  <si>
    <t xml:space="preserve">S285</t>
  </si>
  <si>
    <t xml:space="preserve">S286</t>
  </si>
  <si>
    <t xml:space="preserve">S287</t>
  </si>
  <si>
    <t xml:space="preserve">S288</t>
  </si>
  <si>
    <t xml:space="preserve">S289</t>
  </si>
  <si>
    <t xml:space="preserve">S290</t>
  </si>
  <si>
    <t xml:space="preserve">S291</t>
  </si>
  <si>
    <t xml:space="preserve">S292</t>
  </si>
  <si>
    <t xml:space="preserve">S293</t>
  </si>
  <si>
    <t xml:space="preserve">S294</t>
  </si>
  <si>
    <t xml:space="preserve">S295</t>
  </si>
  <si>
    <t xml:space="preserve">S296</t>
  </si>
  <si>
    <t xml:space="preserve">S297</t>
  </si>
  <si>
    <t xml:space="preserve">S298</t>
  </si>
  <si>
    <t xml:space="preserve">S299</t>
  </si>
  <si>
    <t xml:space="preserve">S300</t>
  </si>
  <si>
    <t xml:space="preserve">S301</t>
  </si>
  <si>
    <t xml:space="preserve">غير العربية</t>
  </si>
  <si>
    <t xml:space="preserve">S302</t>
  </si>
  <si>
    <t xml:space="preserve">S303</t>
  </si>
  <si>
    <t xml:space="preserve">S304</t>
  </si>
  <si>
    <t xml:space="preserve">S305</t>
  </si>
  <si>
    <t xml:space="preserve">S306</t>
  </si>
  <si>
    <t xml:space="preserve">S307</t>
  </si>
  <si>
    <t xml:space="preserve">S308</t>
  </si>
  <si>
    <t xml:space="preserve">S309</t>
  </si>
  <si>
    <t xml:space="preserve">S310</t>
  </si>
  <si>
    <t xml:space="preserve">S311</t>
  </si>
  <si>
    <t xml:space="preserve">S312</t>
  </si>
  <si>
    <t xml:space="preserve">S313</t>
  </si>
  <si>
    <t xml:space="preserve">S314</t>
  </si>
  <si>
    <t xml:space="preserve">S315</t>
  </si>
  <si>
    <t xml:space="preserve">S316</t>
  </si>
  <si>
    <t xml:space="preserve">S317</t>
  </si>
  <si>
    <t xml:space="preserve">S318</t>
  </si>
  <si>
    <t xml:space="preserve">S319</t>
  </si>
  <si>
    <t xml:space="preserve">S320</t>
  </si>
  <si>
    <t xml:space="preserve">S321</t>
  </si>
  <si>
    <t xml:space="preserve">S322</t>
  </si>
  <si>
    <t xml:space="preserve">S323</t>
  </si>
  <si>
    <t xml:space="preserve">S324</t>
  </si>
  <si>
    <t xml:space="preserve">S325</t>
  </si>
  <si>
    <t xml:space="preserve">S326</t>
  </si>
  <si>
    <t xml:space="preserve">S327</t>
  </si>
  <si>
    <t xml:space="preserve">S328</t>
  </si>
  <si>
    <t xml:space="preserve">S329</t>
  </si>
  <si>
    <t xml:space="preserve">S330</t>
  </si>
  <si>
    <t xml:space="preserve">S331</t>
  </si>
  <si>
    <t xml:space="preserve">S332</t>
  </si>
  <si>
    <t xml:space="preserve">S333</t>
  </si>
  <si>
    <t xml:space="preserve">S334</t>
  </si>
  <si>
    <t xml:space="preserve">S335</t>
  </si>
  <si>
    <t xml:space="preserve">S336</t>
  </si>
  <si>
    <t xml:space="preserve">S337</t>
  </si>
  <si>
    <t xml:space="preserve">S338</t>
  </si>
  <si>
    <t xml:space="preserve">S339</t>
  </si>
  <si>
    <t xml:space="preserve">S340</t>
  </si>
  <si>
    <t xml:space="preserve">S341</t>
  </si>
  <si>
    <t xml:space="preserve">S342</t>
  </si>
  <si>
    <t xml:space="preserve">S343</t>
  </si>
  <si>
    <t xml:space="preserve">S344</t>
  </si>
  <si>
    <t xml:space="preserve">S345</t>
  </si>
  <si>
    <t xml:space="preserve">S346</t>
  </si>
  <si>
    <t xml:space="preserve">S347</t>
  </si>
  <si>
    <t xml:space="preserve">S348</t>
  </si>
  <si>
    <t xml:space="preserve">S349</t>
  </si>
  <si>
    <t xml:space="preserve">S350</t>
  </si>
  <si>
    <t xml:space="preserve">S351</t>
  </si>
  <si>
    <t xml:space="preserve">S352</t>
  </si>
  <si>
    <t xml:space="preserve">S353</t>
  </si>
  <si>
    <t xml:space="preserve">S354</t>
  </si>
  <si>
    <t xml:space="preserve">S355</t>
  </si>
  <si>
    <t xml:space="preserve">S356</t>
  </si>
  <si>
    <t xml:space="preserve">S357</t>
  </si>
  <si>
    <t xml:space="preserve">S358</t>
  </si>
  <si>
    <t xml:space="preserve">S359</t>
  </si>
  <si>
    <t xml:space="preserve">S360</t>
  </si>
  <si>
    <t xml:space="preserve">S361</t>
  </si>
  <si>
    <t xml:space="preserve">S362</t>
  </si>
  <si>
    <t xml:space="preserve">S363</t>
  </si>
  <si>
    <t xml:space="preserve">S364</t>
  </si>
  <si>
    <t xml:space="preserve">S365</t>
  </si>
  <si>
    <t xml:space="preserve">S366</t>
  </si>
  <si>
    <t xml:space="preserve">S367</t>
  </si>
  <si>
    <t xml:space="preserve">S368</t>
  </si>
  <si>
    <t xml:space="preserve">S369</t>
  </si>
  <si>
    <t xml:space="preserve">S370</t>
  </si>
  <si>
    <t xml:space="preserve">S371</t>
  </si>
  <si>
    <t xml:space="preserve">S372</t>
  </si>
  <si>
    <t xml:space="preserve">S373</t>
  </si>
  <si>
    <t xml:space="preserve">S374</t>
  </si>
  <si>
    <t xml:space="preserve">S375</t>
  </si>
  <si>
    <t xml:space="preserve">S376</t>
  </si>
  <si>
    <t xml:space="preserve">S377</t>
  </si>
  <si>
    <t xml:space="preserve">S378</t>
  </si>
  <si>
    <t xml:space="preserve">S379</t>
  </si>
  <si>
    <t xml:space="preserve">S380</t>
  </si>
  <si>
    <t xml:space="preserve">S381</t>
  </si>
  <si>
    <t xml:space="preserve">S382</t>
  </si>
  <si>
    <t xml:space="preserve">S383</t>
  </si>
  <si>
    <t xml:space="preserve">S384</t>
  </si>
  <si>
    <t xml:space="preserve">S385</t>
  </si>
  <si>
    <t xml:space="preserve">S386</t>
  </si>
  <si>
    <t xml:space="preserve">S387</t>
  </si>
  <si>
    <t xml:space="preserve">S388</t>
  </si>
  <si>
    <t xml:space="preserve">S389</t>
  </si>
  <si>
    <t xml:space="preserve">S390</t>
  </si>
  <si>
    <t xml:space="preserve">S391</t>
  </si>
  <si>
    <t xml:space="preserve">S392</t>
  </si>
  <si>
    <t xml:space="preserve">S393</t>
  </si>
  <si>
    <t xml:space="preserve">S394</t>
  </si>
  <si>
    <t xml:space="preserve">S395</t>
  </si>
  <si>
    <t xml:space="preserve">S396</t>
  </si>
  <si>
    <t xml:space="preserve">S397</t>
  </si>
  <si>
    <t xml:space="preserve">S398</t>
  </si>
  <si>
    <t xml:space="preserve">S399</t>
  </si>
  <si>
    <t xml:space="preserve">S400</t>
  </si>
  <si>
    <t xml:space="preserve">S401</t>
  </si>
  <si>
    <t xml:space="preserve">S402</t>
  </si>
  <si>
    <t xml:space="preserve">S403</t>
  </si>
  <si>
    <t xml:space="preserve">S404</t>
  </si>
  <si>
    <t xml:space="preserve">S405</t>
  </si>
  <si>
    <t xml:space="preserve">S406</t>
  </si>
  <si>
    <t xml:space="preserve">S407</t>
  </si>
  <si>
    <t xml:space="preserve">S408</t>
  </si>
  <si>
    <t xml:space="preserve">S409</t>
  </si>
  <si>
    <t xml:space="preserve">S410</t>
  </si>
  <si>
    <t xml:space="preserve">S411</t>
  </si>
  <si>
    <t xml:space="preserve">S412</t>
  </si>
  <si>
    <t xml:space="preserve">S413</t>
  </si>
  <si>
    <t xml:space="preserve">S414</t>
  </si>
  <si>
    <t xml:space="preserve">S415</t>
  </si>
  <si>
    <t xml:space="preserve">S416</t>
  </si>
  <si>
    <t xml:space="preserve">S417</t>
  </si>
  <si>
    <t xml:space="preserve">S418</t>
  </si>
  <si>
    <t xml:space="preserve">S419</t>
  </si>
  <si>
    <t xml:space="preserve">S420</t>
  </si>
  <si>
    <t xml:space="preserve">S421</t>
  </si>
  <si>
    <t xml:space="preserve">S422</t>
  </si>
  <si>
    <t xml:space="preserve">S423</t>
  </si>
  <si>
    <t xml:space="preserve">S424</t>
  </si>
  <si>
    <t xml:space="preserve">S425</t>
  </si>
  <si>
    <t xml:space="preserve">S426</t>
  </si>
  <si>
    <t xml:space="preserve">S427</t>
  </si>
  <si>
    <t xml:space="preserve">S428</t>
  </si>
  <si>
    <t xml:space="preserve">S429</t>
  </si>
  <si>
    <t xml:space="preserve">S430</t>
  </si>
  <si>
    <t xml:space="preserve">S431</t>
  </si>
  <si>
    <t xml:space="preserve">S432</t>
  </si>
  <si>
    <t xml:space="preserve">S433</t>
  </si>
  <si>
    <t xml:space="preserve">S434</t>
  </si>
  <si>
    <t xml:space="preserve">S435</t>
  </si>
  <si>
    <t xml:space="preserve">S436</t>
  </si>
  <si>
    <t xml:space="preserve">S437</t>
  </si>
  <si>
    <t xml:space="preserve">S438</t>
  </si>
  <si>
    <t xml:space="preserve">S439</t>
  </si>
  <si>
    <t xml:space="preserve">S440</t>
  </si>
  <si>
    <t xml:space="preserve">S441</t>
  </si>
  <si>
    <t xml:space="preserve">S442</t>
  </si>
  <si>
    <t xml:space="preserve">S443</t>
  </si>
  <si>
    <t xml:space="preserve">S444</t>
  </si>
  <si>
    <t xml:space="preserve">S445</t>
  </si>
  <si>
    <t xml:space="preserve">S446</t>
  </si>
  <si>
    <t xml:space="preserve">S447</t>
  </si>
  <si>
    <t xml:space="preserve">S448</t>
  </si>
  <si>
    <t xml:space="preserve">S449</t>
  </si>
  <si>
    <t xml:space="preserve">S450</t>
  </si>
  <si>
    <t xml:space="preserve">S451</t>
  </si>
  <si>
    <t xml:space="preserve">S452</t>
  </si>
  <si>
    <t xml:space="preserve">S453</t>
  </si>
  <si>
    <t xml:space="preserve">S454</t>
  </si>
  <si>
    <t xml:space="preserve">S455</t>
  </si>
  <si>
    <t xml:space="preserve">S456</t>
  </si>
  <si>
    <t xml:space="preserve">S457</t>
  </si>
  <si>
    <t xml:space="preserve">S458</t>
  </si>
  <si>
    <t xml:space="preserve">S459</t>
  </si>
  <si>
    <t xml:space="preserve">S460</t>
  </si>
  <si>
    <t xml:space="preserve">S461</t>
  </si>
  <si>
    <t xml:space="preserve">S462</t>
  </si>
  <si>
    <t xml:space="preserve">S463</t>
  </si>
  <si>
    <t xml:space="preserve">S464</t>
  </si>
  <si>
    <t xml:space="preserve">S465</t>
  </si>
  <si>
    <t xml:space="preserve">S466</t>
  </si>
  <si>
    <t xml:space="preserve">S467</t>
  </si>
  <si>
    <t xml:space="preserve">S468</t>
  </si>
  <si>
    <t xml:space="preserve">S469</t>
  </si>
  <si>
    <t xml:space="preserve">S470</t>
  </si>
  <si>
    <t xml:space="preserve">S471</t>
  </si>
  <si>
    <t xml:space="preserve">S472</t>
  </si>
  <si>
    <t xml:space="preserve">S473</t>
  </si>
  <si>
    <t xml:space="preserve">S474</t>
  </si>
  <si>
    <t xml:space="preserve">S475</t>
  </si>
  <si>
    <t xml:space="preserve">S476</t>
  </si>
  <si>
    <t xml:space="preserve">S477</t>
  </si>
  <si>
    <t xml:space="preserve">S478</t>
  </si>
  <si>
    <t xml:space="preserve">S479</t>
  </si>
  <si>
    <t xml:space="preserve">S480</t>
  </si>
  <si>
    <t xml:space="preserve">الفقرة</t>
  </si>
  <si>
    <t xml:space="preserve">نسبة الصواب: العربية</t>
  </si>
  <si>
    <t xml:space="preserve">نسبة الصواب: غير العربية</t>
  </si>
  <si>
    <t xml:space="preserve">الفرق الخام</t>
  </si>
  <si>
    <t xml:space="preserve">متوسط الدرجة الكلية</t>
  </si>
  <si>
    <t xml:space="preserve">عدد الطلبة</t>
  </si>
  <si>
    <t xml:space="preserve">حدود فئات الدرجة الكلية</t>
  </si>
  <si>
    <r>
      <rPr>
        <sz val="11"/>
        <color theme="1"/>
        <rFont val="FreeSans"/>
        <family val="2"/>
      </rPr>
      <t xml:space="preserve">الفئة </t>
    </r>
    <r>
      <rPr>
        <sz val="11"/>
        <color theme="1"/>
        <rFont val="Calibri"/>
        <family val="2"/>
        <charset val="1"/>
      </rPr>
      <t xml:space="preserve">1: </t>
    </r>
    <r>
      <rPr>
        <sz val="11"/>
        <color theme="1"/>
        <rFont val="FreeSans"/>
        <family val="2"/>
      </rPr>
      <t xml:space="preserve">من</t>
    </r>
  </si>
  <si>
    <t xml:space="preserve">إلى</t>
  </si>
  <si>
    <r>
      <rPr>
        <sz val="11"/>
        <color theme="1"/>
        <rFont val="FreeSans"/>
        <family val="2"/>
      </rPr>
      <t xml:space="preserve">الفئة </t>
    </r>
    <r>
      <rPr>
        <sz val="11"/>
        <color theme="1"/>
        <rFont val="Calibri"/>
        <family val="2"/>
        <charset val="1"/>
      </rPr>
      <t xml:space="preserve">2: </t>
    </r>
    <r>
      <rPr>
        <sz val="11"/>
        <color theme="1"/>
        <rFont val="FreeSans"/>
        <family val="2"/>
      </rPr>
      <t xml:space="preserve">من</t>
    </r>
  </si>
  <si>
    <r>
      <rPr>
        <sz val="11"/>
        <color theme="1"/>
        <rFont val="FreeSans"/>
        <family val="2"/>
      </rPr>
      <t xml:space="preserve">الفئة </t>
    </r>
    <r>
      <rPr>
        <sz val="11"/>
        <color theme="1"/>
        <rFont val="Calibri"/>
        <family val="2"/>
        <charset val="1"/>
      </rPr>
      <t xml:space="preserve">3: </t>
    </r>
    <r>
      <rPr>
        <sz val="11"/>
        <color theme="1"/>
        <rFont val="FreeSans"/>
        <family val="2"/>
      </rPr>
      <t xml:space="preserve">من</t>
    </r>
  </si>
  <si>
    <r>
      <rPr>
        <sz val="11"/>
        <color theme="1"/>
        <rFont val="FreeSans"/>
        <family val="2"/>
      </rPr>
      <t xml:space="preserve">الفئة </t>
    </r>
    <r>
      <rPr>
        <sz val="11"/>
        <color theme="1"/>
        <rFont val="Calibri"/>
        <family val="2"/>
        <charset val="1"/>
      </rPr>
      <t xml:space="preserve">4: </t>
    </r>
    <r>
      <rPr>
        <sz val="11"/>
        <color theme="1"/>
        <rFont val="FreeSans"/>
        <family val="2"/>
      </rPr>
      <t xml:space="preserve">من</t>
    </r>
  </si>
  <si>
    <r>
      <rPr>
        <sz val="11"/>
        <color theme="1"/>
        <rFont val="FreeSans"/>
        <family val="2"/>
      </rPr>
      <t xml:space="preserve">الفئة </t>
    </r>
    <r>
      <rPr>
        <sz val="11"/>
        <color theme="1"/>
        <rFont val="Calibri"/>
        <family val="2"/>
        <charset val="1"/>
      </rPr>
      <t xml:space="preserve">5: </t>
    </r>
    <r>
      <rPr>
        <sz val="11"/>
        <color theme="1"/>
        <rFont val="FreeSans"/>
        <family val="2"/>
      </rPr>
      <t xml:space="preserve">من</t>
    </r>
  </si>
  <si>
    <r>
      <rPr>
        <sz val="11"/>
        <color theme="1"/>
        <rFont val="FreeSans"/>
        <family val="2"/>
      </rPr>
      <t xml:space="preserve">حد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يستحق الفحص</t>
    </r>
    <r>
      <rPr>
        <sz val="11"/>
        <color theme="1"/>
        <rFont val="Calibri"/>
        <family val="2"/>
        <charset val="1"/>
      </rPr>
      <t xml:space="preserve">»</t>
    </r>
  </si>
  <si>
    <r>
      <rPr>
        <sz val="11"/>
        <color theme="1"/>
        <rFont val="FreeSans"/>
        <family val="2"/>
      </rPr>
      <t xml:space="preserve">حد </t>
    </r>
    <r>
      <rPr>
        <sz val="11"/>
        <color theme="1"/>
        <rFont val="Calibri"/>
        <family val="2"/>
        <charset val="1"/>
      </rPr>
      <t xml:space="preserve">«</t>
    </r>
    <r>
      <rPr>
        <sz val="11"/>
        <color theme="1"/>
        <rFont val="FreeSans"/>
        <family val="2"/>
      </rPr>
      <t xml:space="preserve">فرق كبير</t>
    </r>
    <r>
      <rPr>
        <sz val="11"/>
        <color theme="1"/>
        <rFont val="Calibri"/>
        <family val="2"/>
        <charset val="1"/>
      </rPr>
      <t xml:space="preserve">»</t>
    </r>
  </si>
  <si>
    <t xml:space="preserve">ف1: عدد غير العربية</t>
  </si>
  <si>
    <t xml:space="preserve">ف1: صواب غير العربية</t>
  </si>
  <si>
    <t xml:space="preserve">ف1: صواب العربية</t>
  </si>
  <si>
    <t xml:space="preserve">ف2: عدد غير العربية</t>
  </si>
  <si>
    <t xml:space="preserve">ف2: صواب غير العربية</t>
  </si>
  <si>
    <t xml:space="preserve">ف2: صواب العربية</t>
  </si>
  <si>
    <t xml:space="preserve">ف3: عدد غير العربية</t>
  </si>
  <si>
    <t xml:space="preserve">ف3: صواب غير العربية</t>
  </si>
  <si>
    <t xml:space="preserve">ف3: صواب العربية</t>
  </si>
  <si>
    <t xml:space="preserve">ف4: عدد غير العربية</t>
  </si>
  <si>
    <t xml:space="preserve">ف4: صواب غير العربية</t>
  </si>
  <si>
    <t xml:space="preserve">ف4: صواب العربية</t>
  </si>
  <si>
    <t xml:space="preserve">ف5: عدد غير العربية</t>
  </si>
  <si>
    <t xml:space="preserve">ف5: صواب غير العربية</t>
  </si>
  <si>
    <t xml:space="preserve">ف5: صواب العربية</t>
  </si>
  <si>
    <t xml:space="preserve">مؤشر التوحيد</t>
  </si>
  <si>
    <t xml:space="preserve">الحكم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</si>
</sst>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IBM Plex Sans Arabic"/>
      <family val="0"/>
      <charset val="1"/>
    </font>
    <font>
      <sz val="11"/>
      <name val="IBM Plex Sans Arabic"/>
      <family val="0"/>
      <charset val="1"/>
    </font>
    <font>
      <b val="true"/>
      <sz val="11"/>
      <name val="IBM Plex Sans Arabic"/>
      <family val="0"/>
      <charset val="1"/>
    </font>
    <font>
      <b val="true"/>
      <sz val="11"/>
      <color rgb="FFFFFFFF"/>
      <name val="IBM Plex Sans Arabic"/>
      <family val="0"/>
      <charset val="1"/>
    </font>
    <font>
      <sz val="10"/>
      <name val="FreeSans"/>
      <family val="2"/>
    </font>
    <font>
      <sz val="10"/>
      <name val="Arial"/>
      <family val="2"/>
    </font>
    <font>
      <sz val="11"/>
      <color theme="1"/>
      <name val="FreeSans"/>
      <family val="2"/>
    </font>
    <font>
      <sz val="11"/>
      <color rgb="FF0000FF"/>
      <name val="IBM Plex Sans Arabi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9" hidden="false" customHeight="false" outlineLevel="0" collapsed="false">
      <c r="A4" s="3" t="s">
        <v>2</v>
      </c>
    </row>
    <row r="5" customFormat="false" ht="17.9" hidden="false" customHeight="false" outlineLevel="0" collapsed="false">
      <c r="A5" s="2" t="s">
        <v>3</v>
      </c>
    </row>
    <row r="6" customFormat="false" ht="17.9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7.9" hidden="false" customHeight="false" outlineLevel="0" collapsed="false">
      <c r="A8" s="3" t="s">
        <v>5</v>
      </c>
    </row>
    <row r="9" customFormat="false" ht="17.9" hidden="false" customHeight="false" outlineLevel="0" collapsed="false">
      <c r="A9" s="2" t="s">
        <v>6</v>
      </c>
    </row>
    <row r="10" customFormat="false" ht="17.9" hidden="false" customHeight="false" outlineLevel="0" collapsed="false">
      <c r="A10" s="2" t="s">
        <v>7</v>
      </c>
    </row>
    <row r="11" customFormat="false" ht="17.9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7.9" hidden="false" customHeight="false" outlineLevel="0" collapsed="false">
      <c r="A13" s="3" t="s">
        <v>9</v>
      </c>
    </row>
    <row r="14" customFormat="false" ht="17.9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8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3"/>
  </cols>
  <sheetData>
    <row r="1" customFormat="false" ht="34.3" hidden="false" customHeight="fals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</row>
    <row r="2" customFormat="false" ht="17.9" hidden="false" customHeight="false" outlineLevel="0" collapsed="false">
      <c r="A2" s="5" t="s">
        <v>34</v>
      </c>
      <c r="B2" s="5" t="s">
        <v>35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0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0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0</v>
      </c>
      <c r="V2" s="5" t="n">
        <v>1</v>
      </c>
      <c r="W2" s="5" t="n">
        <f aca="false">SUM(C2:V2)</f>
        <v>17</v>
      </c>
    </row>
    <row r="3" customFormat="false" ht="17.9" hidden="false" customHeight="false" outlineLevel="0" collapsed="false">
      <c r="A3" s="5" t="s">
        <v>36</v>
      </c>
      <c r="B3" s="5" t="s">
        <v>35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f aca="false">SUM(C3:V3)</f>
        <v>1</v>
      </c>
    </row>
    <row r="4" customFormat="false" ht="17.9" hidden="false" customHeight="false" outlineLevel="0" collapsed="false">
      <c r="A4" s="5" t="s">
        <v>37</v>
      </c>
      <c r="B4" s="5" t="s">
        <v>35</v>
      </c>
      <c r="C4" s="5" t="n">
        <v>0</v>
      </c>
      <c r="D4" s="5" t="n">
        <v>1</v>
      </c>
      <c r="E4" s="5" t="n">
        <v>1</v>
      </c>
      <c r="F4" s="5" t="n">
        <v>0</v>
      </c>
      <c r="G4" s="5" t="n">
        <v>1</v>
      </c>
      <c r="H4" s="5" t="n">
        <v>1</v>
      </c>
      <c r="I4" s="5" t="n">
        <v>0</v>
      </c>
      <c r="J4" s="5" t="n">
        <v>0</v>
      </c>
      <c r="K4" s="5" t="n">
        <v>1</v>
      </c>
      <c r="L4" s="5" t="n">
        <v>0</v>
      </c>
      <c r="M4" s="5" t="n">
        <v>1</v>
      </c>
      <c r="N4" s="5" t="n">
        <v>1</v>
      </c>
      <c r="O4" s="5" t="n">
        <v>0</v>
      </c>
      <c r="P4" s="5" t="n">
        <v>0</v>
      </c>
      <c r="Q4" s="5" t="n">
        <v>1</v>
      </c>
      <c r="R4" s="5" t="n">
        <v>1</v>
      </c>
      <c r="S4" s="5" t="n">
        <v>1</v>
      </c>
      <c r="T4" s="5" t="n">
        <v>1</v>
      </c>
      <c r="U4" s="5" t="n">
        <v>1</v>
      </c>
      <c r="V4" s="5" t="n">
        <v>1</v>
      </c>
      <c r="W4" s="5" t="n">
        <f aca="false">SUM(C4:V4)</f>
        <v>13</v>
      </c>
    </row>
    <row r="5" customFormat="false" ht="17.9" hidden="false" customHeight="false" outlineLevel="0" collapsed="false">
      <c r="A5" s="5" t="s">
        <v>38</v>
      </c>
      <c r="B5" s="5" t="s">
        <v>35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1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f aca="false">SUM(C5:V5)</f>
        <v>3</v>
      </c>
    </row>
    <row r="6" customFormat="false" ht="17.9" hidden="false" customHeight="false" outlineLevel="0" collapsed="false">
      <c r="A6" s="5" t="s">
        <v>39</v>
      </c>
      <c r="B6" s="5" t="s">
        <v>35</v>
      </c>
      <c r="C6" s="5" t="n">
        <v>0</v>
      </c>
      <c r="D6" s="5" t="n">
        <v>1</v>
      </c>
      <c r="E6" s="5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1</v>
      </c>
      <c r="L6" s="5" t="n">
        <v>0</v>
      </c>
      <c r="M6" s="5" t="n">
        <v>0</v>
      </c>
      <c r="N6" s="5" t="n">
        <v>1</v>
      </c>
      <c r="O6" s="5" t="n">
        <v>1</v>
      </c>
      <c r="P6" s="5" t="n">
        <v>0</v>
      </c>
      <c r="Q6" s="5" t="n">
        <v>1</v>
      </c>
      <c r="R6" s="5" t="n">
        <v>0</v>
      </c>
      <c r="S6" s="5" t="n">
        <v>1</v>
      </c>
      <c r="T6" s="5" t="n">
        <v>0</v>
      </c>
      <c r="U6" s="5" t="n">
        <v>0</v>
      </c>
      <c r="V6" s="5" t="n">
        <v>0</v>
      </c>
      <c r="W6" s="5" t="n">
        <f aca="false">SUM(C6:V6)</f>
        <v>7</v>
      </c>
    </row>
    <row r="7" customFormat="false" ht="17.9" hidden="false" customHeight="false" outlineLevel="0" collapsed="false">
      <c r="A7" s="5" t="s">
        <v>40</v>
      </c>
      <c r="B7" s="5" t="s">
        <v>35</v>
      </c>
      <c r="C7" s="5" t="n">
        <v>0</v>
      </c>
      <c r="D7" s="5" t="n">
        <v>1</v>
      </c>
      <c r="E7" s="5" t="n">
        <v>1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1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f aca="false">SUM(C7:V7)</f>
        <v>7</v>
      </c>
    </row>
    <row r="8" customFormat="false" ht="17.9" hidden="false" customHeight="false" outlineLevel="0" collapsed="false">
      <c r="A8" s="5" t="s">
        <v>41</v>
      </c>
      <c r="B8" s="5" t="s">
        <v>35</v>
      </c>
      <c r="C8" s="5" t="n">
        <v>1</v>
      </c>
      <c r="D8" s="5" t="n">
        <v>1</v>
      </c>
      <c r="E8" s="5" t="n">
        <v>1</v>
      </c>
      <c r="F8" s="5" t="n">
        <v>0</v>
      </c>
      <c r="G8" s="5" t="n">
        <v>0</v>
      </c>
      <c r="H8" s="5" t="n">
        <v>1</v>
      </c>
      <c r="I8" s="5" t="n">
        <v>0</v>
      </c>
      <c r="J8" s="5" t="n">
        <v>0</v>
      </c>
      <c r="K8" s="5" t="n">
        <v>1</v>
      </c>
      <c r="L8" s="5" t="n">
        <v>1</v>
      </c>
      <c r="M8" s="5" t="n">
        <v>0</v>
      </c>
      <c r="N8" s="5" t="n">
        <v>1</v>
      </c>
      <c r="O8" s="5" t="n">
        <v>0</v>
      </c>
      <c r="P8" s="5" t="n">
        <v>0</v>
      </c>
      <c r="Q8" s="5" t="n">
        <v>1</v>
      </c>
      <c r="R8" s="5" t="n">
        <v>1</v>
      </c>
      <c r="S8" s="5" t="n">
        <v>1</v>
      </c>
      <c r="T8" s="5" t="n">
        <v>1</v>
      </c>
      <c r="U8" s="5" t="n">
        <v>0</v>
      </c>
      <c r="V8" s="5" t="n">
        <v>0</v>
      </c>
      <c r="W8" s="5" t="n">
        <f aca="false">SUM(C8:V8)</f>
        <v>11</v>
      </c>
    </row>
    <row r="9" customFormat="false" ht="17.9" hidden="false" customHeight="false" outlineLevel="0" collapsed="false">
      <c r="A9" s="5" t="s">
        <v>42</v>
      </c>
      <c r="B9" s="5" t="s">
        <v>35</v>
      </c>
      <c r="C9" s="5" t="n">
        <v>1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f aca="false">SUM(C9:V9)</f>
        <v>7</v>
      </c>
    </row>
    <row r="10" customFormat="false" ht="17.9" hidden="false" customHeight="false" outlineLevel="0" collapsed="false">
      <c r="A10" s="5" t="s">
        <v>43</v>
      </c>
      <c r="B10" s="5" t="s">
        <v>35</v>
      </c>
      <c r="C10" s="5" t="n">
        <v>1</v>
      </c>
      <c r="D10" s="5" t="n">
        <v>1</v>
      </c>
      <c r="E10" s="5" t="n">
        <v>1</v>
      </c>
      <c r="F10" s="5" t="n">
        <v>0</v>
      </c>
      <c r="G10" s="5" t="n">
        <v>0</v>
      </c>
      <c r="H10" s="5" t="n">
        <v>1</v>
      </c>
      <c r="I10" s="5" t="n">
        <v>1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0</v>
      </c>
      <c r="S10" s="5" t="n">
        <v>1</v>
      </c>
      <c r="T10" s="5" t="n">
        <v>1</v>
      </c>
      <c r="U10" s="5" t="n">
        <v>1</v>
      </c>
      <c r="V10" s="5" t="n">
        <v>0</v>
      </c>
      <c r="W10" s="5" t="n">
        <f aca="false">SUM(C10:V10)</f>
        <v>16</v>
      </c>
    </row>
    <row r="11" customFormat="false" ht="17.9" hidden="false" customHeight="false" outlineLevel="0" collapsed="false">
      <c r="A11" s="5" t="s">
        <v>44</v>
      </c>
      <c r="B11" s="5" t="s">
        <v>35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1</v>
      </c>
      <c r="T11" s="5" t="n">
        <v>1</v>
      </c>
      <c r="U11" s="5" t="n">
        <v>0</v>
      </c>
      <c r="V11" s="5" t="n">
        <v>0</v>
      </c>
      <c r="W11" s="5" t="n">
        <f aca="false">SUM(C11:V11)</f>
        <v>5</v>
      </c>
    </row>
    <row r="12" customFormat="false" ht="17.9" hidden="false" customHeight="false" outlineLevel="0" collapsed="false">
      <c r="A12" s="5" t="s">
        <v>45</v>
      </c>
      <c r="B12" s="5" t="s">
        <v>35</v>
      </c>
      <c r="C12" s="5" t="n">
        <v>1</v>
      </c>
      <c r="D12" s="5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1</v>
      </c>
      <c r="L12" s="5" t="n">
        <v>0</v>
      </c>
      <c r="M12" s="5" t="n">
        <v>0</v>
      </c>
      <c r="N12" s="5" t="n">
        <v>1</v>
      </c>
      <c r="O12" s="5" t="n">
        <v>0</v>
      </c>
      <c r="P12" s="5" t="n">
        <v>0</v>
      </c>
      <c r="Q12" s="5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1</v>
      </c>
      <c r="W12" s="5" t="n">
        <f aca="false">SUM(C12:V12)</f>
        <v>6</v>
      </c>
    </row>
    <row r="13" customFormat="false" ht="17.9" hidden="false" customHeight="false" outlineLevel="0" collapsed="false">
      <c r="A13" s="5" t="s">
        <v>46</v>
      </c>
      <c r="B13" s="5" t="s">
        <v>35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f aca="false">SUM(C13:V13)</f>
        <v>3</v>
      </c>
    </row>
    <row r="14" customFormat="false" ht="17.9" hidden="false" customHeight="false" outlineLevel="0" collapsed="false">
      <c r="A14" s="5" t="s">
        <v>47</v>
      </c>
      <c r="B14" s="5" t="s">
        <v>35</v>
      </c>
      <c r="C14" s="5" t="n">
        <v>1</v>
      </c>
      <c r="D14" s="5" t="n">
        <v>1</v>
      </c>
      <c r="E14" s="5" t="n">
        <v>1</v>
      </c>
      <c r="F14" s="5" t="n">
        <v>0</v>
      </c>
      <c r="G14" s="5" t="n">
        <v>1</v>
      </c>
      <c r="H14" s="5" t="n">
        <v>1</v>
      </c>
      <c r="I14" s="5" t="n">
        <v>0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1</v>
      </c>
      <c r="Q14" s="5" t="n">
        <v>1</v>
      </c>
      <c r="R14" s="5" t="n">
        <v>1</v>
      </c>
      <c r="S14" s="5" t="n">
        <v>1</v>
      </c>
      <c r="T14" s="5" t="n">
        <v>1</v>
      </c>
      <c r="U14" s="5" t="n">
        <v>1</v>
      </c>
      <c r="V14" s="5" t="n">
        <v>1</v>
      </c>
      <c r="W14" s="5" t="n">
        <f aca="false">SUM(C14:V14)</f>
        <v>18</v>
      </c>
    </row>
    <row r="15" customFormat="false" ht="17.9" hidden="false" customHeight="false" outlineLevel="0" collapsed="false">
      <c r="A15" s="5" t="s">
        <v>48</v>
      </c>
      <c r="B15" s="5" t="s">
        <v>35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f aca="false">SUM(C15:V15)</f>
        <v>0</v>
      </c>
    </row>
    <row r="16" customFormat="false" ht="17.9" hidden="false" customHeight="false" outlineLevel="0" collapsed="false">
      <c r="A16" s="5" t="s">
        <v>49</v>
      </c>
      <c r="B16" s="5" t="s">
        <v>35</v>
      </c>
      <c r="C16" s="5" t="n">
        <v>1</v>
      </c>
      <c r="D16" s="5" t="n">
        <v>1</v>
      </c>
      <c r="E16" s="5" t="n">
        <v>1</v>
      </c>
      <c r="F16" s="5" t="n">
        <v>0</v>
      </c>
      <c r="G16" s="5" t="n">
        <v>0</v>
      </c>
      <c r="H16" s="5" t="n">
        <v>1</v>
      </c>
      <c r="I16" s="5" t="n">
        <v>0</v>
      </c>
      <c r="J16" s="5" t="n">
        <v>0</v>
      </c>
      <c r="K16" s="5" t="n">
        <v>1</v>
      </c>
      <c r="L16" s="5" t="n">
        <v>1</v>
      </c>
      <c r="M16" s="5" t="n">
        <v>1</v>
      </c>
      <c r="N16" s="5" t="n">
        <v>1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0</v>
      </c>
      <c r="T16" s="5" t="n">
        <v>0</v>
      </c>
      <c r="U16" s="5" t="n">
        <v>1</v>
      </c>
      <c r="V16" s="5" t="n">
        <v>1</v>
      </c>
      <c r="W16" s="5" t="n">
        <f aca="false">SUM(C16:V16)</f>
        <v>14</v>
      </c>
    </row>
    <row r="17" customFormat="false" ht="17.9" hidden="false" customHeight="false" outlineLevel="0" collapsed="false">
      <c r="A17" s="5" t="s">
        <v>50</v>
      </c>
      <c r="B17" s="5" t="s">
        <v>35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f aca="false">SUM(C17:V17)</f>
        <v>1</v>
      </c>
    </row>
    <row r="18" customFormat="false" ht="17.9" hidden="false" customHeight="false" outlineLevel="0" collapsed="false">
      <c r="A18" s="5" t="s">
        <v>51</v>
      </c>
      <c r="B18" s="5" t="s">
        <v>35</v>
      </c>
      <c r="C18" s="5" t="n">
        <v>0</v>
      </c>
      <c r="D18" s="5" t="n">
        <v>0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1</v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f aca="false">SUM(C18:V18)</f>
        <v>6</v>
      </c>
    </row>
    <row r="19" customFormat="false" ht="17.9" hidden="false" customHeight="false" outlineLevel="0" collapsed="false">
      <c r="A19" s="5" t="s">
        <v>52</v>
      </c>
      <c r="B19" s="5" t="s">
        <v>35</v>
      </c>
      <c r="C19" s="5" t="n">
        <v>0</v>
      </c>
      <c r="D19" s="5" t="n">
        <v>1</v>
      </c>
      <c r="E19" s="5" t="n">
        <v>1</v>
      </c>
      <c r="F19" s="5" t="n">
        <v>0</v>
      </c>
      <c r="G19" s="5" t="n">
        <v>1</v>
      </c>
      <c r="H19" s="5" t="n">
        <v>1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1</v>
      </c>
      <c r="R19" s="5" t="n">
        <v>1</v>
      </c>
      <c r="S19" s="5" t="n">
        <v>1</v>
      </c>
      <c r="T19" s="5" t="n">
        <v>1</v>
      </c>
      <c r="U19" s="5" t="n">
        <v>1</v>
      </c>
      <c r="V19" s="5" t="n">
        <v>0</v>
      </c>
      <c r="W19" s="5" t="n">
        <f aca="false">SUM(C19:V19)</f>
        <v>11</v>
      </c>
    </row>
    <row r="20" customFormat="false" ht="17.9" hidden="false" customHeight="false" outlineLevel="0" collapsed="false">
      <c r="A20" s="5" t="s">
        <v>53</v>
      </c>
      <c r="B20" s="5" t="s">
        <v>35</v>
      </c>
      <c r="C20" s="5" t="n">
        <v>1</v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1</v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1</v>
      </c>
      <c r="T20" s="5" t="n">
        <v>1</v>
      </c>
      <c r="U20" s="5" t="n">
        <v>1</v>
      </c>
      <c r="V20" s="5" t="n">
        <v>1</v>
      </c>
      <c r="W20" s="5" t="n">
        <f aca="false">SUM(C20:V20)</f>
        <v>17</v>
      </c>
    </row>
    <row r="21" customFormat="false" ht="17.9" hidden="false" customHeight="false" outlineLevel="0" collapsed="false">
      <c r="A21" s="5" t="s">
        <v>54</v>
      </c>
      <c r="B21" s="5" t="s">
        <v>35</v>
      </c>
      <c r="C21" s="5" t="n">
        <v>1</v>
      </c>
      <c r="D21" s="5" t="n">
        <v>1</v>
      </c>
      <c r="E21" s="5" t="n">
        <v>1</v>
      </c>
      <c r="F21" s="5" t="n">
        <v>0</v>
      </c>
      <c r="G21" s="5" t="n">
        <v>1</v>
      </c>
      <c r="H21" s="5" t="n">
        <v>1</v>
      </c>
      <c r="I21" s="5" t="n">
        <v>1</v>
      </c>
      <c r="J21" s="5" t="n">
        <v>1</v>
      </c>
      <c r="K21" s="5" t="n">
        <v>1</v>
      </c>
      <c r="L21" s="5" t="n">
        <v>1</v>
      </c>
      <c r="M21" s="5" t="n">
        <v>0</v>
      </c>
      <c r="N21" s="5" t="n">
        <v>1</v>
      </c>
      <c r="O21" s="5" t="n">
        <v>1</v>
      </c>
      <c r="P21" s="5" t="n">
        <v>1</v>
      </c>
      <c r="Q21" s="5" t="n">
        <v>1</v>
      </c>
      <c r="R21" s="5" t="n">
        <v>1</v>
      </c>
      <c r="S21" s="5" t="n">
        <v>1</v>
      </c>
      <c r="T21" s="5" t="n">
        <v>1</v>
      </c>
      <c r="U21" s="5" t="n">
        <v>1</v>
      </c>
      <c r="V21" s="5" t="n">
        <v>0</v>
      </c>
      <c r="W21" s="5" t="n">
        <f aca="false">SUM(C21:V21)</f>
        <v>17</v>
      </c>
    </row>
    <row r="22" customFormat="false" ht="17.9" hidden="false" customHeight="false" outlineLevel="0" collapsed="false">
      <c r="A22" s="5" t="s">
        <v>55</v>
      </c>
      <c r="B22" s="5" t="s">
        <v>35</v>
      </c>
      <c r="C22" s="5" t="n">
        <v>0</v>
      </c>
      <c r="D22" s="5" t="n">
        <v>0</v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1</v>
      </c>
      <c r="U22" s="5" t="n">
        <v>0</v>
      </c>
      <c r="V22" s="5" t="n">
        <v>0</v>
      </c>
      <c r="W22" s="5" t="n">
        <f aca="false">SUM(C22:V22)</f>
        <v>5</v>
      </c>
    </row>
    <row r="23" customFormat="false" ht="17.9" hidden="false" customHeight="false" outlineLevel="0" collapsed="false">
      <c r="A23" s="5" t="s">
        <v>56</v>
      </c>
      <c r="B23" s="5" t="s">
        <v>35</v>
      </c>
      <c r="C23" s="5" t="n">
        <v>1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1</v>
      </c>
      <c r="L23" s="5" t="n">
        <v>1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1</v>
      </c>
      <c r="R23" s="5" t="n">
        <v>1</v>
      </c>
      <c r="S23" s="5" t="n">
        <v>1</v>
      </c>
      <c r="T23" s="5" t="n">
        <v>0</v>
      </c>
      <c r="U23" s="5" t="n">
        <v>0</v>
      </c>
      <c r="V23" s="5" t="n">
        <v>1</v>
      </c>
      <c r="W23" s="5" t="n">
        <f aca="false">SUM(C23:V23)</f>
        <v>10</v>
      </c>
    </row>
    <row r="24" customFormat="false" ht="17.9" hidden="false" customHeight="false" outlineLevel="0" collapsed="false">
      <c r="A24" s="5" t="s">
        <v>57</v>
      </c>
      <c r="B24" s="5" t="s">
        <v>35</v>
      </c>
      <c r="C24" s="5" t="n">
        <v>1</v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1</v>
      </c>
      <c r="I24" s="5" t="n">
        <v>0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1</v>
      </c>
      <c r="U24" s="5" t="n">
        <v>0</v>
      </c>
      <c r="V24" s="5" t="n">
        <v>0</v>
      </c>
      <c r="W24" s="5" t="n">
        <f aca="false">SUM(C24:V24)</f>
        <v>14</v>
      </c>
    </row>
    <row r="25" customFormat="false" ht="17.9" hidden="false" customHeight="false" outlineLevel="0" collapsed="false">
      <c r="A25" s="5" t="s">
        <v>58</v>
      </c>
      <c r="B25" s="5" t="s">
        <v>35</v>
      </c>
      <c r="C25" s="5" t="n">
        <v>1</v>
      </c>
      <c r="D25" s="5" t="n">
        <v>1</v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1</v>
      </c>
      <c r="Q25" s="5" t="n">
        <v>1</v>
      </c>
      <c r="R25" s="5" t="n">
        <v>1</v>
      </c>
      <c r="S25" s="5" t="n">
        <v>1</v>
      </c>
      <c r="T25" s="5" t="n">
        <v>1</v>
      </c>
      <c r="U25" s="5" t="n">
        <v>1</v>
      </c>
      <c r="V25" s="5" t="n">
        <v>1</v>
      </c>
      <c r="W25" s="5" t="n">
        <f aca="false">SUM(C25:V25)</f>
        <v>20</v>
      </c>
    </row>
    <row r="26" customFormat="false" ht="17.9" hidden="false" customHeight="false" outlineLevel="0" collapsed="false">
      <c r="A26" s="5" t="s">
        <v>59</v>
      </c>
      <c r="B26" s="5" t="s">
        <v>35</v>
      </c>
      <c r="C26" s="5" t="n">
        <v>0</v>
      </c>
      <c r="D26" s="5" t="n">
        <v>0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1</v>
      </c>
      <c r="Q26" s="5" t="n">
        <v>1</v>
      </c>
      <c r="R26" s="5" t="n">
        <v>0</v>
      </c>
      <c r="S26" s="5" t="n">
        <v>1</v>
      </c>
      <c r="T26" s="5" t="n">
        <v>1</v>
      </c>
      <c r="U26" s="5" t="n">
        <v>0</v>
      </c>
      <c r="V26" s="5" t="n">
        <v>0</v>
      </c>
      <c r="W26" s="5" t="n">
        <f aca="false">SUM(C26:V26)</f>
        <v>6</v>
      </c>
    </row>
    <row r="27" customFormat="false" ht="17.9" hidden="false" customHeight="false" outlineLevel="0" collapsed="false">
      <c r="A27" s="5" t="s">
        <v>60</v>
      </c>
      <c r="B27" s="5" t="s">
        <v>35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f aca="false">SUM(C27:V27)</f>
        <v>6</v>
      </c>
    </row>
    <row r="28" customFormat="false" ht="17.9" hidden="false" customHeight="false" outlineLevel="0" collapsed="false">
      <c r="A28" s="5" t="s">
        <v>61</v>
      </c>
      <c r="B28" s="5" t="s">
        <v>35</v>
      </c>
      <c r="C28" s="5" t="n">
        <v>1</v>
      </c>
      <c r="D28" s="5" t="n">
        <v>1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1</v>
      </c>
      <c r="O28" s="5" t="n">
        <v>1</v>
      </c>
      <c r="P28" s="5" t="n">
        <v>0</v>
      </c>
      <c r="Q28" s="5" t="n">
        <v>1</v>
      </c>
      <c r="R28" s="5" t="n">
        <v>1</v>
      </c>
      <c r="S28" s="5" t="n">
        <v>1</v>
      </c>
      <c r="T28" s="5" t="n">
        <v>0</v>
      </c>
      <c r="U28" s="5" t="n">
        <v>1</v>
      </c>
      <c r="V28" s="5" t="n">
        <v>0</v>
      </c>
      <c r="W28" s="5" t="n">
        <f aca="false">SUM(C28:V28)</f>
        <v>11</v>
      </c>
    </row>
    <row r="29" customFormat="false" ht="17.9" hidden="false" customHeight="false" outlineLevel="0" collapsed="false">
      <c r="A29" s="5" t="s">
        <v>62</v>
      </c>
      <c r="B29" s="5" t="s">
        <v>35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f aca="false">SUM(C29:V29)</f>
        <v>1</v>
      </c>
    </row>
    <row r="30" customFormat="false" ht="17.9" hidden="false" customHeight="false" outlineLevel="0" collapsed="false">
      <c r="A30" s="5" t="s">
        <v>63</v>
      </c>
      <c r="B30" s="5" t="s">
        <v>35</v>
      </c>
      <c r="C30" s="5" t="n">
        <v>1</v>
      </c>
      <c r="D30" s="5" t="n">
        <v>1</v>
      </c>
      <c r="E30" s="5" t="n">
        <v>1</v>
      </c>
      <c r="F30" s="5" t="n">
        <v>1</v>
      </c>
      <c r="G30" s="5" t="n">
        <v>1</v>
      </c>
      <c r="H30" s="5" t="n">
        <v>1</v>
      </c>
      <c r="I30" s="5" t="n">
        <v>0</v>
      </c>
      <c r="J30" s="5" t="n">
        <v>0</v>
      </c>
      <c r="K30" s="5" t="n">
        <v>1</v>
      </c>
      <c r="L30" s="5" t="n">
        <v>1</v>
      </c>
      <c r="M30" s="5" t="n">
        <v>1</v>
      </c>
      <c r="N30" s="5" t="n">
        <v>1</v>
      </c>
      <c r="O30" s="5" t="n">
        <v>1</v>
      </c>
      <c r="P30" s="5" t="n">
        <v>0</v>
      </c>
      <c r="Q30" s="5" t="n">
        <v>1</v>
      </c>
      <c r="R30" s="5" t="n">
        <v>1</v>
      </c>
      <c r="S30" s="5" t="n">
        <v>1</v>
      </c>
      <c r="T30" s="5" t="n">
        <v>0</v>
      </c>
      <c r="U30" s="5" t="n">
        <v>1</v>
      </c>
      <c r="V30" s="5" t="n">
        <v>1</v>
      </c>
      <c r="W30" s="5" t="n">
        <f aca="false">SUM(C30:V30)</f>
        <v>16</v>
      </c>
    </row>
    <row r="31" customFormat="false" ht="17.9" hidden="false" customHeight="false" outlineLevel="0" collapsed="false">
      <c r="A31" s="5" t="s">
        <v>64</v>
      </c>
      <c r="B31" s="5" t="s">
        <v>35</v>
      </c>
      <c r="C31" s="5" t="n">
        <v>1</v>
      </c>
      <c r="D31" s="5" t="n">
        <v>0</v>
      </c>
      <c r="E31" s="5" t="n">
        <v>1</v>
      </c>
      <c r="F31" s="5" t="n">
        <v>0</v>
      </c>
      <c r="G31" s="5" t="n">
        <v>1</v>
      </c>
      <c r="H31" s="5" t="n">
        <v>1</v>
      </c>
      <c r="I31" s="5" t="n">
        <v>0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f aca="false">SUM(C31:V31)</f>
        <v>17</v>
      </c>
    </row>
    <row r="32" customFormat="false" ht="17.9" hidden="false" customHeight="false" outlineLevel="0" collapsed="false">
      <c r="A32" s="5" t="s">
        <v>65</v>
      </c>
      <c r="B32" s="5" t="s">
        <v>35</v>
      </c>
      <c r="C32" s="5" t="n">
        <v>0</v>
      </c>
      <c r="D32" s="5" t="n">
        <v>1</v>
      </c>
      <c r="E32" s="5" t="n">
        <v>1</v>
      </c>
      <c r="F32" s="5" t="n">
        <v>0</v>
      </c>
      <c r="G32" s="5" t="n">
        <v>0</v>
      </c>
      <c r="H32" s="5" t="n">
        <v>1</v>
      </c>
      <c r="I32" s="5" t="n">
        <v>0</v>
      </c>
      <c r="J32" s="5" t="n">
        <v>0</v>
      </c>
      <c r="K32" s="5" t="n">
        <v>1</v>
      </c>
      <c r="L32" s="5" t="n">
        <v>0</v>
      </c>
      <c r="M32" s="5" t="n">
        <v>0</v>
      </c>
      <c r="N32" s="5" t="n">
        <v>1</v>
      </c>
      <c r="O32" s="5" t="n">
        <v>0</v>
      </c>
      <c r="P32" s="5" t="n">
        <v>0</v>
      </c>
      <c r="Q32" s="5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f aca="false">SUM(C32:V32)</f>
        <v>6</v>
      </c>
    </row>
    <row r="33" customFormat="false" ht="17.9" hidden="false" customHeight="false" outlineLevel="0" collapsed="false">
      <c r="A33" s="5" t="s">
        <v>66</v>
      </c>
      <c r="B33" s="5" t="s">
        <v>35</v>
      </c>
      <c r="C33" s="5" t="n">
        <v>1</v>
      </c>
      <c r="D33" s="5" t="n">
        <v>1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1</v>
      </c>
      <c r="L33" s="5" t="n">
        <v>1</v>
      </c>
      <c r="M33" s="5" t="n">
        <v>0</v>
      </c>
      <c r="N33" s="5" t="n">
        <v>1</v>
      </c>
      <c r="O33" s="5" t="n">
        <v>1</v>
      </c>
      <c r="P33" s="5" t="n">
        <v>0</v>
      </c>
      <c r="Q33" s="5" t="n">
        <v>1</v>
      </c>
      <c r="R33" s="5" t="n">
        <v>0</v>
      </c>
      <c r="S33" s="5" t="n">
        <v>1</v>
      </c>
      <c r="T33" s="5" t="n">
        <v>1</v>
      </c>
      <c r="U33" s="5" t="n">
        <v>0</v>
      </c>
      <c r="V33" s="5" t="n">
        <v>0</v>
      </c>
      <c r="W33" s="5" t="n">
        <f aca="false">SUM(C33:V33)</f>
        <v>11</v>
      </c>
    </row>
    <row r="34" customFormat="false" ht="17.9" hidden="false" customHeight="false" outlineLevel="0" collapsed="false">
      <c r="A34" s="5" t="s">
        <v>67</v>
      </c>
      <c r="B34" s="5" t="s">
        <v>35</v>
      </c>
      <c r="C34" s="5" t="n">
        <v>1</v>
      </c>
      <c r="D34" s="5" t="n">
        <v>1</v>
      </c>
      <c r="E34" s="5" t="n">
        <v>1</v>
      </c>
      <c r="F34" s="5" t="n">
        <v>0</v>
      </c>
      <c r="G34" s="5" t="n">
        <v>0</v>
      </c>
      <c r="H34" s="5" t="n">
        <v>1</v>
      </c>
      <c r="I34" s="5" t="n">
        <v>0</v>
      </c>
      <c r="J34" s="5" t="n">
        <v>0</v>
      </c>
      <c r="K34" s="5" t="n">
        <v>1</v>
      </c>
      <c r="L34" s="5" t="n">
        <v>0</v>
      </c>
      <c r="M34" s="5" t="n">
        <v>1</v>
      </c>
      <c r="N34" s="5" t="n">
        <v>1</v>
      </c>
      <c r="O34" s="5" t="n">
        <v>0</v>
      </c>
      <c r="P34" s="5" t="n">
        <v>0</v>
      </c>
      <c r="Q34" s="5" t="n">
        <v>1</v>
      </c>
      <c r="R34" s="5" t="n">
        <v>1</v>
      </c>
      <c r="S34" s="5" t="n">
        <v>1</v>
      </c>
      <c r="T34" s="5" t="n">
        <v>0</v>
      </c>
      <c r="U34" s="5" t="n">
        <v>1</v>
      </c>
      <c r="V34" s="5" t="n">
        <v>1</v>
      </c>
      <c r="W34" s="5" t="n">
        <f aca="false">SUM(C34:V34)</f>
        <v>12</v>
      </c>
    </row>
    <row r="35" customFormat="false" ht="17.9" hidden="false" customHeight="false" outlineLevel="0" collapsed="false">
      <c r="A35" s="5" t="s">
        <v>68</v>
      </c>
      <c r="B35" s="5" t="s">
        <v>35</v>
      </c>
      <c r="C35" s="5" t="n">
        <v>1</v>
      </c>
      <c r="D35" s="5" t="n">
        <v>0</v>
      </c>
      <c r="E35" s="5" t="n">
        <v>1</v>
      </c>
      <c r="F35" s="5" t="n">
        <v>0</v>
      </c>
      <c r="G35" s="5" t="n">
        <v>1</v>
      </c>
      <c r="H35" s="5" t="n">
        <v>1</v>
      </c>
      <c r="I35" s="5" t="n">
        <v>0</v>
      </c>
      <c r="J35" s="5" t="n">
        <v>1</v>
      </c>
      <c r="K35" s="5" t="n">
        <v>1</v>
      </c>
      <c r="L35" s="5" t="n">
        <v>0</v>
      </c>
      <c r="M35" s="5" t="n">
        <v>0</v>
      </c>
      <c r="N35" s="5" t="n">
        <v>1</v>
      </c>
      <c r="O35" s="5" t="n">
        <v>1</v>
      </c>
      <c r="P35" s="5" t="n">
        <v>0</v>
      </c>
      <c r="Q35" s="5" t="n">
        <v>1</v>
      </c>
      <c r="R35" s="5" t="n">
        <v>1</v>
      </c>
      <c r="S35" s="5" t="n">
        <v>1</v>
      </c>
      <c r="T35" s="5" t="n">
        <v>1</v>
      </c>
      <c r="U35" s="5" t="n">
        <v>1</v>
      </c>
      <c r="V35" s="5" t="n">
        <v>0</v>
      </c>
      <c r="W35" s="5" t="n">
        <f aca="false">SUM(C35:V35)</f>
        <v>13</v>
      </c>
    </row>
    <row r="36" customFormat="false" ht="17.9" hidden="false" customHeight="false" outlineLevel="0" collapsed="false">
      <c r="A36" s="5" t="s">
        <v>69</v>
      </c>
      <c r="B36" s="5" t="s">
        <v>35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1</v>
      </c>
      <c r="I36" s="5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</v>
      </c>
      <c r="O36" s="5" t="n">
        <v>0</v>
      </c>
      <c r="P36" s="5" t="n">
        <v>0</v>
      </c>
      <c r="Q36" s="5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f aca="false">SUM(C36:V36)</f>
        <v>4</v>
      </c>
    </row>
    <row r="37" customFormat="false" ht="17.9" hidden="false" customHeight="false" outlineLevel="0" collapsed="false">
      <c r="A37" s="5" t="s">
        <v>70</v>
      </c>
      <c r="B37" s="5" t="s">
        <v>35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f aca="false">SUM(C37:V37)</f>
        <v>1</v>
      </c>
    </row>
    <row r="38" customFormat="false" ht="17.9" hidden="false" customHeight="false" outlineLevel="0" collapsed="false">
      <c r="A38" s="5" t="s">
        <v>71</v>
      </c>
      <c r="B38" s="5" t="s">
        <v>35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f aca="false">SUM(C38:V38)</f>
        <v>1</v>
      </c>
    </row>
    <row r="39" customFormat="false" ht="17.9" hidden="false" customHeight="false" outlineLevel="0" collapsed="false">
      <c r="A39" s="5" t="s">
        <v>72</v>
      </c>
      <c r="B39" s="5" t="s">
        <v>35</v>
      </c>
      <c r="C39" s="5" t="n">
        <v>1</v>
      </c>
      <c r="D39" s="5" t="n">
        <v>1</v>
      </c>
      <c r="E39" s="5" t="n">
        <v>1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1</v>
      </c>
      <c r="O39" s="5" t="n">
        <v>1</v>
      </c>
      <c r="P39" s="5" t="n">
        <v>0</v>
      </c>
      <c r="Q39" s="5" t="n">
        <v>1</v>
      </c>
      <c r="R39" s="5" t="n">
        <v>1</v>
      </c>
      <c r="S39" s="5" t="n">
        <v>1</v>
      </c>
      <c r="T39" s="5" t="n">
        <v>1</v>
      </c>
      <c r="U39" s="5" t="n">
        <v>0</v>
      </c>
      <c r="V39" s="5" t="n">
        <v>1</v>
      </c>
      <c r="W39" s="5" t="n">
        <f aca="false">SUM(C39:V39)</f>
        <v>12</v>
      </c>
    </row>
    <row r="40" customFormat="false" ht="17.9" hidden="false" customHeight="false" outlineLevel="0" collapsed="false">
      <c r="A40" s="5" t="s">
        <v>73</v>
      </c>
      <c r="B40" s="5" t="s">
        <v>35</v>
      </c>
      <c r="C40" s="5" t="n">
        <v>1</v>
      </c>
      <c r="D40" s="5" t="n">
        <v>1</v>
      </c>
      <c r="E40" s="5" t="n">
        <v>1</v>
      </c>
      <c r="F40" s="5" t="n">
        <v>0</v>
      </c>
      <c r="G40" s="5" t="n">
        <v>1</v>
      </c>
      <c r="H40" s="5" t="n">
        <v>1</v>
      </c>
      <c r="I40" s="5" t="n">
        <v>0</v>
      </c>
      <c r="J40" s="5" t="n">
        <v>1</v>
      </c>
      <c r="K40" s="5" t="n">
        <v>1</v>
      </c>
      <c r="L40" s="5" t="n">
        <v>1</v>
      </c>
      <c r="M40" s="5" t="n">
        <v>0</v>
      </c>
      <c r="N40" s="5" t="n">
        <v>1</v>
      </c>
      <c r="O40" s="5" t="n">
        <v>1</v>
      </c>
      <c r="P40" s="5" t="n">
        <v>0</v>
      </c>
      <c r="Q40" s="5" t="n">
        <v>1</v>
      </c>
      <c r="R40" s="5" t="n">
        <v>1</v>
      </c>
      <c r="S40" s="5" t="n">
        <v>1</v>
      </c>
      <c r="T40" s="5" t="n">
        <v>1</v>
      </c>
      <c r="U40" s="5" t="n">
        <v>0</v>
      </c>
      <c r="V40" s="5" t="n">
        <v>0</v>
      </c>
      <c r="W40" s="5" t="n">
        <f aca="false">SUM(C40:V40)</f>
        <v>14</v>
      </c>
    </row>
    <row r="41" customFormat="false" ht="17.9" hidden="false" customHeight="false" outlineLevel="0" collapsed="false">
      <c r="A41" s="5" t="s">
        <v>74</v>
      </c>
      <c r="B41" s="5" t="s">
        <v>35</v>
      </c>
      <c r="C41" s="5" t="n">
        <v>1</v>
      </c>
      <c r="D41" s="5" t="n">
        <v>1</v>
      </c>
      <c r="E41" s="5" t="n">
        <v>1</v>
      </c>
      <c r="F41" s="5" t="n">
        <v>0</v>
      </c>
      <c r="G41" s="5" t="n">
        <v>0</v>
      </c>
      <c r="H41" s="5" t="n">
        <v>1</v>
      </c>
      <c r="I41" s="5" t="n">
        <v>1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1</v>
      </c>
      <c r="O41" s="5" t="n">
        <v>1</v>
      </c>
      <c r="P41" s="5" t="n">
        <v>0</v>
      </c>
      <c r="Q41" s="5" t="n">
        <v>1</v>
      </c>
      <c r="R41" s="5" t="n">
        <v>1</v>
      </c>
      <c r="S41" s="5" t="n">
        <v>0</v>
      </c>
      <c r="T41" s="5" t="n">
        <v>1</v>
      </c>
      <c r="U41" s="5" t="n">
        <v>0</v>
      </c>
      <c r="V41" s="5" t="n">
        <v>1</v>
      </c>
      <c r="W41" s="5" t="n">
        <f aca="false">SUM(C41:V41)</f>
        <v>12</v>
      </c>
    </row>
    <row r="42" customFormat="false" ht="17.9" hidden="false" customHeight="false" outlineLevel="0" collapsed="false">
      <c r="A42" s="5" t="s">
        <v>75</v>
      </c>
      <c r="B42" s="5" t="s">
        <v>35</v>
      </c>
      <c r="C42" s="5" t="n">
        <v>1</v>
      </c>
      <c r="D42" s="5" t="n">
        <v>0</v>
      </c>
      <c r="E42" s="5" t="n">
        <v>1</v>
      </c>
      <c r="F42" s="5" t="n">
        <v>0</v>
      </c>
      <c r="G42" s="5" t="n">
        <v>1</v>
      </c>
      <c r="H42" s="5" t="n">
        <v>1</v>
      </c>
      <c r="I42" s="5" t="n">
        <v>0</v>
      </c>
      <c r="J42" s="5" t="n">
        <v>0</v>
      </c>
      <c r="K42" s="5" t="n">
        <v>1</v>
      </c>
      <c r="L42" s="5" t="n">
        <v>1</v>
      </c>
      <c r="M42" s="5" t="n">
        <v>1</v>
      </c>
      <c r="N42" s="5" t="n">
        <v>1</v>
      </c>
      <c r="O42" s="5" t="n">
        <v>1</v>
      </c>
      <c r="P42" s="5" t="n">
        <v>1</v>
      </c>
      <c r="Q42" s="5" t="n">
        <v>1</v>
      </c>
      <c r="R42" s="5" t="n">
        <v>1</v>
      </c>
      <c r="S42" s="5" t="n">
        <v>1</v>
      </c>
      <c r="T42" s="5" t="n">
        <v>1</v>
      </c>
      <c r="U42" s="5" t="n">
        <v>0</v>
      </c>
      <c r="V42" s="5" t="n">
        <v>1</v>
      </c>
      <c r="W42" s="5" t="n">
        <f aca="false">SUM(C42:V42)</f>
        <v>15</v>
      </c>
    </row>
    <row r="43" customFormat="false" ht="17.9" hidden="false" customHeight="false" outlineLevel="0" collapsed="false">
      <c r="A43" s="5" t="s">
        <v>76</v>
      </c>
      <c r="B43" s="5" t="s">
        <v>35</v>
      </c>
      <c r="C43" s="5" t="n">
        <v>1</v>
      </c>
      <c r="D43" s="5" t="n">
        <v>0</v>
      </c>
      <c r="E43" s="5" t="n">
        <v>1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1</v>
      </c>
      <c r="T43" s="5" t="n">
        <v>1</v>
      </c>
      <c r="U43" s="5" t="n">
        <v>0</v>
      </c>
      <c r="V43" s="5" t="n">
        <v>0</v>
      </c>
      <c r="W43" s="5" t="n">
        <f aca="false">SUM(C43:V43)</f>
        <v>7</v>
      </c>
    </row>
    <row r="44" customFormat="false" ht="17.9" hidden="false" customHeight="false" outlineLevel="0" collapsed="false">
      <c r="A44" s="5" t="s">
        <v>77</v>
      </c>
      <c r="B44" s="5" t="s">
        <v>35</v>
      </c>
      <c r="C44" s="5" t="n">
        <v>1</v>
      </c>
      <c r="D44" s="5" t="n">
        <v>0</v>
      </c>
      <c r="E44" s="5" t="n">
        <v>0</v>
      </c>
      <c r="F44" s="5" t="n">
        <v>0</v>
      </c>
      <c r="G44" s="5" t="n">
        <v>1</v>
      </c>
      <c r="H44" s="5" t="n">
        <v>0</v>
      </c>
      <c r="I44" s="5" t="n">
        <v>0</v>
      </c>
      <c r="J44" s="5" t="n">
        <v>0</v>
      </c>
      <c r="K44" s="5" t="n">
        <v>1</v>
      </c>
      <c r="L44" s="5" t="n">
        <v>1</v>
      </c>
      <c r="M44" s="5" t="n">
        <v>1</v>
      </c>
      <c r="N44" s="5" t="n">
        <v>1</v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5" t="n">
        <v>1</v>
      </c>
      <c r="U44" s="5" t="n">
        <v>1</v>
      </c>
      <c r="V44" s="5" t="n">
        <v>0</v>
      </c>
      <c r="W44" s="5" t="n">
        <f aca="false">SUM(C44:V44)</f>
        <v>13</v>
      </c>
    </row>
    <row r="45" customFormat="false" ht="17.9" hidden="false" customHeight="false" outlineLevel="0" collapsed="false">
      <c r="A45" s="5" t="s">
        <v>78</v>
      </c>
      <c r="B45" s="5" t="s">
        <v>35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f aca="false">SUM(C45:V45)</f>
        <v>0</v>
      </c>
    </row>
    <row r="46" customFormat="false" ht="17.9" hidden="false" customHeight="false" outlineLevel="0" collapsed="false">
      <c r="A46" s="5" t="s">
        <v>79</v>
      </c>
      <c r="B46" s="5" t="s">
        <v>35</v>
      </c>
      <c r="C46" s="5" t="n">
        <v>0</v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f aca="false">SUM(C46:V46)</f>
        <v>3</v>
      </c>
    </row>
    <row r="47" customFormat="false" ht="17.9" hidden="false" customHeight="false" outlineLevel="0" collapsed="false">
      <c r="A47" s="5" t="s">
        <v>80</v>
      </c>
      <c r="B47" s="5" t="s">
        <v>35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f aca="false">SUM(C47:V47)</f>
        <v>0</v>
      </c>
    </row>
    <row r="48" customFormat="false" ht="17.9" hidden="false" customHeight="false" outlineLevel="0" collapsed="false">
      <c r="A48" s="5" t="s">
        <v>81</v>
      </c>
      <c r="B48" s="5" t="s">
        <v>35</v>
      </c>
      <c r="C48" s="5" t="n">
        <v>1</v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1</v>
      </c>
      <c r="P48" s="5" t="n">
        <v>1</v>
      </c>
      <c r="Q48" s="5" t="n">
        <v>1</v>
      </c>
      <c r="R48" s="5" t="n">
        <v>1</v>
      </c>
      <c r="S48" s="5" t="n">
        <v>1</v>
      </c>
      <c r="T48" s="5" t="n">
        <v>0</v>
      </c>
      <c r="U48" s="5" t="n">
        <v>0</v>
      </c>
      <c r="V48" s="5" t="n">
        <v>0</v>
      </c>
      <c r="W48" s="5" t="n">
        <f aca="false">SUM(C48:V48)</f>
        <v>11</v>
      </c>
    </row>
    <row r="49" customFormat="false" ht="17.9" hidden="false" customHeight="false" outlineLevel="0" collapsed="false">
      <c r="A49" s="5" t="s">
        <v>82</v>
      </c>
      <c r="B49" s="5" t="s">
        <v>35</v>
      </c>
      <c r="C49" s="5" t="n">
        <v>1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f aca="false">SUM(C49:V49)</f>
        <v>8</v>
      </c>
    </row>
    <row r="50" customFormat="false" ht="17.9" hidden="false" customHeight="false" outlineLevel="0" collapsed="false">
      <c r="A50" s="5" t="s">
        <v>83</v>
      </c>
      <c r="B50" s="5" t="s">
        <v>35</v>
      </c>
      <c r="C50" s="5" t="n">
        <v>0</v>
      </c>
      <c r="D50" s="5" t="n">
        <v>0</v>
      </c>
      <c r="E50" s="5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1</v>
      </c>
      <c r="T50" s="5" t="n">
        <v>0</v>
      </c>
      <c r="U50" s="5" t="n">
        <v>0</v>
      </c>
      <c r="V50" s="5" t="n">
        <v>0</v>
      </c>
      <c r="W50" s="5" t="n">
        <f aca="false">SUM(C50:V50)</f>
        <v>4</v>
      </c>
    </row>
    <row r="51" customFormat="false" ht="17.9" hidden="false" customHeight="false" outlineLevel="0" collapsed="false">
      <c r="A51" s="5" t="s">
        <v>84</v>
      </c>
      <c r="B51" s="5" t="s">
        <v>35</v>
      </c>
      <c r="C51" s="5" t="n">
        <v>0</v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1</v>
      </c>
      <c r="O51" s="5" t="n">
        <v>1</v>
      </c>
      <c r="P51" s="5" t="n">
        <v>0</v>
      </c>
      <c r="Q51" s="5" t="n">
        <v>1</v>
      </c>
      <c r="R51" s="5" t="n">
        <v>1</v>
      </c>
      <c r="S51" s="5" t="n">
        <v>1</v>
      </c>
      <c r="T51" s="5" t="n">
        <v>1</v>
      </c>
      <c r="U51" s="5" t="n">
        <v>0</v>
      </c>
      <c r="V51" s="5" t="n">
        <v>0</v>
      </c>
      <c r="W51" s="5" t="n">
        <f aca="false">SUM(C51:V51)</f>
        <v>9</v>
      </c>
    </row>
    <row r="52" customFormat="false" ht="17.9" hidden="false" customHeight="false" outlineLevel="0" collapsed="false">
      <c r="A52" s="5" t="s">
        <v>85</v>
      </c>
      <c r="B52" s="5" t="s">
        <v>35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f aca="false">SUM(C52:V52)</f>
        <v>1</v>
      </c>
    </row>
    <row r="53" customFormat="false" ht="17.9" hidden="false" customHeight="false" outlineLevel="0" collapsed="false">
      <c r="A53" s="5" t="s">
        <v>86</v>
      </c>
      <c r="B53" s="5" t="s">
        <v>35</v>
      </c>
      <c r="C53" s="5" t="n">
        <v>0</v>
      </c>
      <c r="D53" s="5" t="n">
        <v>1</v>
      </c>
      <c r="E53" s="5" t="n">
        <v>1</v>
      </c>
      <c r="F53" s="5" t="n">
        <v>1</v>
      </c>
      <c r="G53" s="5" t="n">
        <v>1</v>
      </c>
      <c r="H53" s="5" t="n">
        <v>1</v>
      </c>
      <c r="I53" s="5" t="n">
        <v>1</v>
      </c>
      <c r="J53" s="5" t="n">
        <v>1</v>
      </c>
      <c r="K53" s="5" t="n">
        <v>1</v>
      </c>
      <c r="L53" s="5" t="n">
        <v>1</v>
      </c>
      <c r="M53" s="5" t="n">
        <v>1</v>
      </c>
      <c r="N53" s="5" t="n">
        <v>1</v>
      </c>
      <c r="O53" s="5" t="n">
        <v>1</v>
      </c>
      <c r="P53" s="5" t="n">
        <v>1</v>
      </c>
      <c r="Q53" s="5" t="n">
        <v>1</v>
      </c>
      <c r="R53" s="5" t="n">
        <v>1</v>
      </c>
      <c r="S53" s="5" t="n">
        <v>1</v>
      </c>
      <c r="T53" s="5" t="n">
        <v>1</v>
      </c>
      <c r="U53" s="5" t="n">
        <v>1</v>
      </c>
      <c r="V53" s="5" t="n">
        <v>1</v>
      </c>
      <c r="W53" s="5" t="n">
        <f aca="false">SUM(C53:V53)</f>
        <v>19</v>
      </c>
    </row>
    <row r="54" customFormat="false" ht="17.9" hidden="false" customHeight="false" outlineLevel="0" collapsed="false">
      <c r="A54" s="5" t="s">
        <v>87</v>
      </c>
      <c r="B54" s="5" t="s">
        <v>35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f aca="false">SUM(C54:V54)</f>
        <v>0</v>
      </c>
    </row>
    <row r="55" customFormat="false" ht="17.9" hidden="false" customHeight="false" outlineLevel="0" collapsed="false">
      <c r="A55" s="5" t="s">
        <v>88</v>
      </c>
      <c r="B55" s="5" t="s">
        <v>35</v>
      </c>
      <c r="C55" s="5" t="n">
        <v>1</v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1</v>
      </c>
      <c r="I55" s="5" t="n">
        <v>1</v>
      </c>
      <c r="J55" s="5" t="n">
        <v>1</v>
      </c>
      <c r="K55" s="5" t="n">
        <v>1</v>
      </c>
      <c r="L55" s="5" t="n">
        <v>1</v>
      </c>
      <c r="M55" s="5" t="n">
        <v>1</v>
      </c>
      <c r="N55" s="5" t="n">
        <v>1</v>
      </c>
      <c r="O55" s="5" t="n">
        <v>1</v>
      </c>
      <c r="P55" s="5" t="n">
        <v>1</v>
      </c>
      <c r="Q55" s="5" t="n">
        <v>1</v>
      </c>
      <c r="R55" s="5" t="n">
        <v>1</v>
      </c>
      <c r="S55" s="5" t="n">
        <v>1</v>
      </c>
      <c r="T55" s="5" t="n">
        <v>1</v>
      </c>
      <c r="U55" s="5" t="n">
        <v>1</v>
      </c>
      <c r="V55" s="5" t="n">
        <v>1</v>
      </c>
      <c r="W55" s="5" t="n">
        <f aca="false">SUM(C55:V55)</f>
        <v>19</v>
      </c>
    </row>
    <row r="56" customFormat="false" ht="17.9" hidden="false" customHeight="false" outlineLevel="0" collapsed="false">
      <c r="A56" s="5" t="s">
        <v>89</v>
      </c>
      <c r="B56" s="5" t="s">
        <v>35</v>
      </c>
      <c r="C56" s="5" t="n">
        <v>1</v>
      </c>
      <c r="D56" s="5" t="n">
        <v>1</v>
      </c>
      <c r="E56" s="5" t="n">
        <v>1</v>
      </c>
      <c r="F56" s="5" t="n">
        <v>0</v>
      </c>
      <c r="G56" s="5" t="n">
        <v>1</v>
      </c>
      <c r="H56" s="5" t="n">
        <v>1</v>
      </c>
      <c r="I56" s="5" t="n">
        <v>1</v>
      </c>
      <c r="J56" s="5" t="n">
        <v>1</v>
      </c>
      <c r="K56" s="5" t="n">
        <v>1</v>
      </c>
      <c r="L56" s="5" t="n">
        <v>0</v>
      </c>
      <c r="M56" s="5" t="n">
        <v>1</v>
      </c>
      <c r="N56" s="5" t="n">
        <v>1</v>
      </c>
      <c r="O56" s="5" t="n">
        <v>1</v>
      </c>
      <c r="P56" s="5" t="n">
        <v>1</v>
      </c>
      <c r="Q56" s="5" t="n">
        <v>1</v>
      </c>
      <c r="R56" s="5" t="n">
        <v>1</v>
      </c>
      <c r="S56" s="5" t="n">
        <v>1</v>
      </c>
      <c r="T56" s="5" t="n">
        <v>0</v>
      </c>
      <c r="U56" s="5" t="n">
        <v>0</v>
      </c>
      <c r="V56" s="5" t="n">
        <v>0</v>
      </c>
      <c r="W56" s="5" t="n">
        <f aca="false">SUM(C56:V56)</f>
        <v>15</v>
      </c>
    </row>
    <row r="57" customFormat="false" ht="17.9" hidden="false" customHeight="false" outlineLevel="0" collapsed="false">
      <c r="A57" s="5" t="s">
        <v>90</v>
      </c>
      <c r="B57" s="5" t="s">
        <v>35</v>
      </c>
      <c r="C57" s="5" t="n">
        <v>0</v>
      </c>
      <c r="D57" s="5" t="n">
        <v>1</v>
      </c>
      <c r="E57" s="5" t="n">
        <v>1</v>
      </c>
      <c r="F57" s="5" t="n">
        <v>0</v>
      </c>
      <c r="G57" s="5" t="n">
        <v>0</v>
      </c>
      <c r="H57" s="5" t="n">
        <v>1</v>
      </c>
      <c r="I57" s="5" t="n">
        <v>0</v>
      </c>
      <c r="J57" s="5" t="n">
        <v>1</v>
      </c>
      <c r="K57" s="5" t="n">
        <v>1</v>
      </c>
      <c r="L57" s="5" t="n">
        <v>1</v>
      </c>
      <c r="M57" s="5" t="n">
        <v>0</v>
      </c>
      <c r="N57" s="5" t="n">
        <v>1</v>
      </c>
      <c r="O57" s="5" t="n">
        <v>1</v>
      </c>
      <c r="P57" s="5" t="n">
        <v>1</v>
      </c>
      <c r="Q57" s="5" t="n">
        <v>1</v>
      </c>
      <c r="R57" s="5" t="n">
        <v>1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f aca="false">SUM(C57:V57)</f>
        <v>11</v>
      </c>
    </row>
    <row r="58" customFormat="false" ht="17.9" hidden="false" customHeight="false" outlineLevel="0" collapsed="false">
      <c r="A58" s="5" t="s">
        <v>91</v>
      </c>
      <c r="B58" s="5" t="s">
        <v>35</v>
      </c>
      <c r="C58" s="5" t="n">
        <v>1</v>
      </c>
      <c r="D58" s="5" t="n">
        <v>1</v>
      </c>
      <c r="E58" s="5" t="n">
        <v>1</v>
      </c>
      <c r="F58" s="5" t="n">
        <v>1</v>
      </c>
      <c r="G58" s="5" t="n">
        <v>1</v>
      </c>
      <c r="H58" s="5" t="n">
        <v>1</v>
      </c>
      <c r="I58" s="5" t="n">
        <v>1</v>
      </c>
      <c r="J58" s="5" t="n">
        <v>1</v>
      </c>
      <c r="K58" s="5" t="n">
        <v>1</v>
      </c>
      <c r="L58" s="5" t="n">
        <v>1</v>
      </c>
      <c r="M58" s="5" t="n">
        <v>1</v>
      </c>
      <c r="N58" s="5" t="n">
        <v>1</v>
      </c>
      <c r="O58" s="5" t="n">
        <v>0</v>
      </c>
      <c r="P58" s="5" t="n">
        <v>1</v>
      </c>
      <c r="Q58" s="5" t="n">
        <v>1</v>
      </c>
      <c r="R58" s="5" t="n">
        <v>1</v>
      </c>
      <c r="S58" s="5" t="n">
        <v>1</v>
      </c>
      <c r="T58" s="5" t="n">
        <v>1</v>
      </c>
      <c r="U58" s="5" t="n">
        <v>1</v>
      </c>
      <c r="V58" s="5" t="n">
        <v>1</v>
      </c>
      <c r="W58" s="5" t="n">
        <f aca="false">SUM(C58:V58)</f>
        <v>19</v>
      </c>
    </row>
    <row r="59" customFormat="false" ht="17.9" hidden="false" customHeight="false" outlineLevel="0" collapsed="false">
      <c r="A59" s="5" t="s">
        <v>92</v>
      </c>
      <c r="B59" s="5" t="s">
        <v>35</v>
      </c>
      <c r="C59" s="5" t="n">
        <v>1</v>
      </c>
      <c r="D59" s="5" t="n">
        <v>1</v>
      </c>
      <c r="E59" s="5" t="n">
        <v>0</v>
      </c>
      <c r="F59" s="5" t="n">
        <v>0</v>
      </c>
      <c r="G59" s="5" t="n">
        <v>1</v>
      </c>
      <c r="H59" s="5" t="n">
        <v>1</v>
      </c>
      <c r="I59" s="5" t="n">
        <v>0</v>
      </c>
      <c r="J59" s="5" t="n">
        <v>0</v>
      </c>
      <c r="K59" s="5" t="n">
        <v>1</v>
      </c>
      <c r="L59" s="5" t="n">
        <v>0</v>
      </c>
      <c r="M59" s="5" t="n">
        <v>1</v>
      </c>
      <c r="N59" s="5" t="n">
        <v>1</v>
      </c>
      <c r="O59" s="5" t="n">
        <v>1</v>
      </c>
      <c r="P59" s="5" t="n">
        <v>0</v>
      </c>
      <c r="Q59" s="5" t="n">
        <v>1</v>
      </c>
      <c r="R59" s="5" t="n">
        <v>1</v>
      </c>
      <c r="S59" s="5" t="n">
        <v>1</v>
      </c>
      <c r="T59" s="5" t="n">
        <v>0</v>
      </c>
      <c r="U59" s="5" t="n">
        <v>0</v>
      </c>
      <c r="V59" s="5" t="n">
        <v>0</v>
      </c>
      <c r="W59" s="5" t="n">
        <f aca="false">SUM(C59:V59)</f>
        <v>11</v>
      </c>
    </row>
    <row r="60" customFormat="false" ht="17.9" hidden="false" customHeight="false" outlineLevel="0" collapsed="false">
      <c r="A60" s="5" t="s">
        <v>93</v>
      </c>
      <c r="B60" s="5" t="s">
        <v>35</v>
      </c>
      <c r="C60" s="5" t="n">
        <v>0</v>
      </c>
      <c r="D60" s="5" t="n">
        <v>1</v>
      </c>
      <c r="E60" s="5" t="n">
        <v>1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1</v>
      </c>
      <c r="K60" s="5" t="n">
        <v>1</v>
      </c>
      <c r="L60" s="5" t="n">
        <v>1</v>
      </c>
      <c r="M60" s="5" t="n">
        <v>0</v>
      </c>
      <c r="N60" s="5" t="n">
        <v>1</v>
      </c>
      <c r="O60" s="5" t="n">
        <v>0</v>
      </c>
      <c r="P60" s="5" t="n">
        <v>1</v>
      </c>
      <c r="Q60" s="5" t="n">
        <v>1</v>
      </c>
      <c r="R60" s="5" t="n">
        <v>1</v>
      </c>
      <c r="S60" s="5" t="n">
        <v>1</v>
      </c>
      <c r="T60" s="5" t="n">
        <v>1</v>
      </c>
      <c r="U60" s="5" t="n">
        <v>1</v>
      </c>
      <c r="V60" s="5" t="n">
        <v>0</v>
      </c>
      <c r="W60" s="5" t="n">
        <f aca="false">SUM(C60:V60)</f>
        <v>12</v>
      </c>
    </row>
    <row r="61" customFormat="false" ht="17.9" hidden="false" customHeight="false" outlineLevel="0" collapsed="false">
      <c r="A61" s="5" t="s">
        <v>94</v>
      </c>
      <c r="B61" s="5" t="s">
        <v>35</v>
      </c>
      <c r="C61" s="5" t="n">
        <v>1</v>
      </c>
      <c r="D61" s="5" t="n">
        <v>1</v>
      </c>
      <c r="E61" s="5" t="n">
        <v>1</v>
      </c>
      <c r="F61" s="5" t="n">
        <v>0</v>
      </c>
      <c r="G61" s="5" t="n">
        <v>1</v>
      </c>
      <c r="H61" s="5" t="n">
        <v>1</v>
      </c>
      <c r="I61" s="5" t="n">
        <v>1</v>
      </c>
      <c r="J61" s="5" t="n">
        <v>1</v>
      </c>
      <c r="K61" s="5" t="n">
        <v>1</v>
      </c>
      <c r="L61" s="5" t="n">
        <v>1</v>
      </c>
      <c r="M61" s="5" t="n">
        <v>1</v>
      </c>
      <c r="N61" s="5" t="n">
        <v>1</v>
      </c>
      <c r="O61" s="5" t="n">
        <v>1</v>
      </c>
      <c r="P61" s="5" t="n">
        <v>1</v>
      </c>
      <c r="Q61" s="5" t="n">
        <v>1</v>
      </c>
      <c r="R61" s="5" t="n">
        <v>0</v>
      </c>
      <c r="S61" s="5" t="n">
        <v>1</v>
      </c>
      <c r="T61" s="5" t="n">
        <v>0</v>
      </c>
      <c r="U61" s="5" t="n">
        <v>1</v>
      </c>
      <c r="V61" s="5" t="n">
        <v>0</v>
      </c>
      <c r="W61" s="5" t="n">
        <f aca="false">SUM(C61:V61)</f>
        <v>16</v>
      </c>
    </row>
    <row r="62" customFormat="false" ht="17.9" hidden="false" customHeight="false" outlineLevel="0" collapsed="false">
      <c r="A62" s="5" t="s">
        <v>95</v>
      </c>
      <c r="B62" s="5" t="s">
        <v>35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1</v>
      </c>
      <c r="I62" s="5" t="n">
        <v>0</v>
      </c>
      <c r="J62" s="5" t="n">
        <v>0</v>
      </c>
      <c r="K62" s="5" t="n">
        <v>1</v>
      </c>
      <c r="L62" s="5" t="n">
        <v>0</v>
      </c>
      <c r="M62" s="5" t="n">
        <v>0</v>
      </c>
      <c r="N62" s="5" t="n">
        <v>1</v>
      </c>
      <c r="O62" s="5" t="n">
        <v>0</v>
      </c>
      <c r="P62" s="5" t="n">
        <v>0</v>
      </c>
      <c r="Q62" s="5" t="n">
        <v>1</v>
      </c>
      <c r="R62" s="5" t="n">
        <v>1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f aca="false">SUM(C62:V62)</f>
        <v>5</v>
      </c>
    </row>
    <row r="63" customFormat="false" ht="17.9" hidden="false" customHeight="false" outlineLevel="0" collapsed="false">
      <c r="A63" s="5" t="s">
        <v>96</v>
      </c>
      <c r="B63" s="5" t="s">
        <v>35</v>
      </c>
      <c r="C63" s="5" t="n">
        <v>1</v>
      </c>
      <c r="D63" s="5" t="n">
        <v>1</v>
      </c>
      <c r="E63" s="5" t="n">
        <v>1</v>
      </c>
      <c r="F63" s="5" t="n">
        <v>0</v>
      </c>
      <c r="G63" s="5" t="n">
        <v>1</v>
      </c>
      <c r="H63" s="5" t="n">
        <v>1</v>
      </c>
      <c r="I63" s="5" t="n">
        <v>0</v>
      </c>
      <c r="J63" s="5" t="n">
        <v>0</v>
      </c>
      <c r="K63" s="5" t="n">
        <v>1</v>
      </c>
      <c r="L63" s="5" t="n">
        <v>0</v>
      </c>
      <c r="M63" s="5" t="n">
        <v>0</v>
      </c>
      <c r="N63" s="5" t="n">
        <v>1</v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5" t="n">
        <v>1</v>
      </c>
      <c r="U63" s="5" t="n">
        <v>1</v>
      </c>
      <c r="V63" s="5" t="n">
        <v>0</v>
      </c>
      <c r="W63" s="5" t="n">
        <f aca="false">SUM(C63:V63)</f>
        <v>14</v>
      </c>
    </row>
    <row r="64" customFormat="false" ht="17.9" hidden="false" customHeight="false" outlineLevel="0" collapsed="false">
      <c r="A64" s="5" t="s">
        <v>97</v>
      </c>
      <c r="B64" s="5" t="s">
        <v>35</v>
      </c>
      <c r="C64" s="5" t="n">
        <v>1</v>
      </c>
      <c r="D64" s="5" t="n">
        <v>1</v>
      </c>
      <c r="E64" s="5" t="n">
        <v>1</v>
      </c>
      <c r="F64" s="5" t="n">
        <v>1</v>
      </c>
      <c r="G64" s="5" t="n">
        <v>1</v>
      </c>
      <c r="H64" s="5" t="n">
        <v>1</v>
      </c>
      <c r="I64" s="5" t="n">
        <v>1</v>
      </c>
      <c r="J64" s="5" t="n">
        <v>1</v>
      </c>
      <c r="K64" s="5" t="n">
        <v>1</v>
      </c>
      <c r="L64" s="5" t="n">
        <v>1</v>
      </c>
      <c r="M64" s="5" t="n">
        <v>1</v>
      </c>
      <c r="N64" s="5" t="n">
        <v>1</v>
      </c>
      <c r="O64" s="5" t="n">
        <v>1</v>
      </c>
      <c r="P64" s="5" t="n">
        <v>1</v>
      </c>
      <c r="Q64" s="5" t="n">
        <v>1</v>
      </c>
      <c r="R64" s="5" t="n">
        <v>1</v>
      </c>
      <c r="S64" s="5" t="n">
        <v>1</v>
      </c>
      <c r="T64" s="5" t="n">
        <v>1</v>
      </c>
      <c r="U64" s="5" t="n">
        <v>1</v>
      </c>
      <c r="V64" s="5" t="n">
        <v>1</v>
      </c>
      <c r="W64" s="5" t="n">
        <f aca="false">SUM(C64:V64)</f>
        <v>20</v>
      </c>
    </row>
    <row r="65" customFormat="false" ht="17.9" hidden="false" customHeight="false" outlineLevel="0" collapsed="false">
      <c r="A65" s="5" t="s">
        <v>98</v>
      </c>
      <c r="B65" s="5" t="s">
        <v>35</v>
      </c>
      <c r="C65" s="5" t="n">
        <v>0</v>
      </c>
      <c r="D65" s="5" t="n">
        <v>0</v>
      </c>
      <c r="E65" s="5" t="n">
        <v>1</v>
      </c>
      <c r="F65" s="5" t="n">
        <v>0</v>
      </c>
      <c r="G65" s="5" t="n">
        <v>0</v>
      </c>
      <c r="H65" s="5" t="n">
        <v>1</v>
      </c>
      <c r="I65" s="5" t="n">
        <v>0</v>
      </c>
      <c r="J65" s="5" t="n">
        <v>0</v>
      </c>
      <c r="K65" s="5" t="n">
        <v>1</v>
      </c>
      <c r="L65" s="5" t="n">
        <v>0</v>
      </c>
      <c r="M65" s="5" t="n">
        <v>1</v>
      </c>
      <c r="N65" s="5" t="n">
        <v>1</v>
      </c>
      <c r="O65" s="5" t="n">
        <v>0</v>
      </c>
      <c r="P65" s="5" t="n">
        <v>0</v>
      </c>
      <c r="Q65" s="5" t="n">
        <v>1</v>
      </c>
      <c r="R65" s="5" t="n">
        <v>0</v>
      </c>
      <c r="S65" s="5" t="n">
        <v>1</v>
      </c>
      <c r="T65" s="5" t="n">
        <v>0</v>
      </c>
      <c r="U65" s="5" t="n">
        <v>1</v>
      </c>
      <c r="V65" s="5" t="n">
        <v>0</v>
      </c>
      <c r="W65" s="5" t="n">
        <f aca="false">SUM(C65:V65)</f>
        <v>8</v>
      </c>
    </row>
    <row r="66" customFormat="false" ht="17.9" hidden="false" customHeight="false" outlineLevel="0" collapsed="false">
      <c r="A66" s="5" t="s">
        <v>99</v>
      </c>
      <c r="B66" s="5" t="s">
        <v>35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1</v>
      </c>
      <c r="I66" s="5" t="n">
        <v>0</v>
      </c>
      <c r="J66" s="5" t="n">
        <v>0</v>
      </c>
      <c r="K66" s="5" t="n">
        <v>1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1</v>
      </c>
      <c r="R66" s="5" t="n">
        <v>0</v>
      </c>
      <c r="S66" s="5" t="n">
        <v>0</v>
      </c>
      <c r="T66" s="5" t="n">
        <v>1</v>
      </c>
      <c r="U66" s="5" t="n">
        <v>0</v>
      </c>
      <c r="V66" s="5" t="n">
        <v>0</v>
      </c>
      <c r="W66" s="5" t="n">
        <f aca="false">SUM(C66:V66)</f>
        <v>4</v>
      </c>
    </row>
    <row r="67" customFormat="false" ht="17.9" hidden="false" customHeight="false" outlineLevel="0" collapsed="false">
      <c r="A67" s="5" t="s">
        <v>100</v>
      </c>
      <c r="B67" s="5" t="s">
        <v>35</v>
      </c>
      <c r="C67" s="5" t="n">
        <v>1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1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f aca="false">SUM(C67:V67)</f>
        <v>2</v>
      </c>
    </row>
    <row r="68" customFormat="false" ht="17.9" hidden="false" customHeight="false" outlineLevel="0" collapsed="false">
      <c r="A68" s="5" t="s">
        <v>101</v>
      </c>
      <c r="B68" s="5" t="s">
        <v>35</v>
      </c>
      <c r="C68" s="5" t="n">
        <v>0</v>
      </c>
      <c r="D68" s="5" t="n">
        <v>1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1</v>
      </c>
      <c r="O68" s="5" t="n">
        <v>0</v>
      </c>
      <c r="P68" s="5" t="n">
        <v>0</v>
      </c>
      <c r="Q68" s="5" t="n">
        <v>1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f aca="false">SUM(C68:V68)</f>
        <v>3</v>
      </c>
    </row>
    <row r="69" customFormat="false" ht="17.9" hidden="false" customHeight="false" outlineLevel="0" collapsed="false">
      <c r="A69" s="5" t="s">
        <v>102</v>
      </c>
      <c r="B69" s="5" t="s">
        <v>35</v>
      </c>
      <c r="C69" s="5" t="n">
        <v>1</v>
      </c>
      <c r="D69" s="5" t="n">
        <v>0</v>
      </c>
      <c r="E69" s="5" t="n">
        <v>1</v>
      </c>
      <c r="F69" s="5" t="n">
        <v>0</v>
      </c>
      <c r="G69" s="5" t="n">
        <v>0</v>
      </c>
      <c r="H69" s="5" t="n">
        <v>1</v>
      </c>
      <c r="I69" s="5" t="n">
        <v>1</v>
      </c>
      <c r="J69" s="5" t="n">
        <v>0</v>
      </c>
      <c r="K69" s="5" t="n">
        <v>1</v>
      </c>
      <c r="L69" s="5" t="n">
        <v>0</v>
      </c>
      <c r="M69" s="5" t="n">
        <v>0</v>
      </c>
      <c r="N69" s="5" t="n">
        <v>1</v>
      </c>
      <c r="O69" s="5" t="n">
        <v>0</v>
      </c>
      <c r="P69" s="5" t="n">
        <v>0</v>
      </c>
      <c r="Q69" s="5" t="n">
        <v>1</v>
      </c>
      <c r="R69" s="5" t="n">
        <v>1</v>
      </c>
      <c r="S69" s="5" t="n">
        <v>1</v>
      </c>
      <c r="T69" s="5" t="n">
        <v>1</v>
      </c>
      <c r="U69" s="5" t="n">
        <v>0</v>
      </c>
      <c r="V69" s="5" t="n">
        <v>0</v>
      </c>
      <c r="W69" s="5" t="n">
        <f aca="false">SUM(C69:V69)</f>
        <v>10</v>
      </c>
    </row>
    <row r="70" customFormat="false" ht="17.9" hidden="false" customHeight="false" outlineLevel="0" collapsed="false">
      <c r="A70" s="5" t="s">
        <v>103</v>
      </c>
      <c r="B70" s="5" t="s">
        <v>35</v>
      </c>
      <c r="C70" s="5" t="n">
        <v>1</v>
      </c>
      <c r="D70" s="5" t="n">
        <v>1</v>
      </c>
      <c r="E70" s="5" t="n">
        <v>1</v>
      </c>
      <c r="F70" s="5" t="n">
        <v>0</v>
      </c>
      <c r="G70" s="5" t="n">
        <v>1</v>
      </c>
      <c r="H70" s="5" t="n">
        <v>1</v>
      </c>
      <c r="I70" s="5" t="n">
        <v>0</v>
      </c>
      <c r="J70" s="5" t="n">
        <v>0</v>
      </c>
      <c r="K70" s="5" t="n">
        <v>1</v>
      </c>
      <c r="L70" s="5" t="n">
        <v>1</v>
      </c>
      <c r="M70" s="5" t="n">
        <v>1</v>
      </c>
      <c r="N70" s="5" t="n">
        <v>1</v>
      </c>
      <c r="O70" s="5" t="n">
        <v>1</v>
      </c>
      <c r="P70" s="5" t="n">
        <v>0</v>
      </c>
      <c r="Q70" s="5" t="n">
        <v>1</v>
      </c>
      <c r="R70" s="5" t="n">
        <v>1</v>
      </c>
      <c r="S70" s="5" t="n">
        <v>1</v>
      </c>
      <c r="T70" s="5" t="n">
        <v>1</v>
      </c>
      <c r="U70" s="5" t="n">
        <v>1</v>
      </c>
      <c r="V70" s="5" t="n">
        <v>1</v>
      </c>
      <c r="W70" s="5" t="n">
        <f aca="false">SUM(C70:V70)</f>
        <v>16</v>
      </c>
    </row>
    <row r="71" customFormat="false" ht="17.9" hidden="false" customHeight="false" outlineLevel="0" collapsed="false">
      <c r="A71" s="5" t="s">
        <v>104</v>
      </c>
      <c r="B71" s="5" t="s">
        <v>35</v>
      </c>
      <c r="C71" s="5" t="n">
        <v>1</v>
      </c>
      <c r="D71" s="5" t="n">
        <v>1</v>
      </c>
      <c r="E71" s="5" t="n">
        <v>1</v>
      </c>
      <c r="F71" s="5" t="n">
        <v>1</v>
      </c>
      <c r="G71" s="5" t="n">
        <v>1</v>
      </c>
      <c r="H71" s="5" t="n">
        <v>1</v>
      </c>
      <c r="I71" s="5" t="n">
        <v>0</v>
      </c>
      <c r="J71" s="5" t="n">
        <v>1</v>
      </c>
      <c r="K71" s="5" t="n">
        <v>1</v>
      </c>
      <c r="L71" s="5" t="n">
        <v>1</v>
      </c>
      <c r="M71" s="5" t="n">
        <v>1</v>
      </c>
      <c r="N71" s="5" t="n">
        <v>1</v>
      </c>
      <c r="O71" s="5" t="n">
        <v>0</v>
      </c>
      <c r="P71" s="5" t="n">
        <v>0</v>
      </c>
      <c r="Q71" s="5" t="n">
        <v>1</v>
      </c>
      <c r="R71" s="5" t="n">
        <v>1</v>
      </c>
      <c r="S71" s="5" t="n">
        <v>1</v>
      </c>
      <c r="T71" s="5" t="n">
        <v>1</v>
      </c>
      <c r="U71" s="5" t="n">
        <v>0</v>
      </c>
      <c r="V71" s="5" t="n">
        <v>1</v>
      </c>
      <c r="W71" s="5" t="n">
        <f aca="false">SUM(C71:V71)</f>
        <v>16</v>
      </c>
    </row>
    <row r="72" customFormat="false" ht="17.9" hidden="false" customHeight="false" outlineLevel="0" collapsed="false">
      <c r="A72" s="5" t="s">
        <v>105</v>
      </c>
      <c r="B72" s="5" t="s">
        <v>35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1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f aca="false">SUM(C72:V72)</f>
        <v>1</v>
      </c>
    </row>
    <row r="73" customFormat="false" ht="17.9" hidden="false" customHeight="false" outlineLevel="0" collapsed="false">
      <c r="A73" s="5" t="s">
        <v>106</v>
      </c>
      <c r="B73" s="5" t="s">
        <v>35</v>
      </c>
      <c r="C73" s="5" t="n">
        <v>1</v>
      </c>
      <c r="D73" s="5" t="n">
        <v>1</v>
      </c>
      <c r="E73" s="5" t="n">
        <v>1</v>
      </c>
      <c r="F73" s="5" t="n">
        <v>1</v>
      </c>
      <c r="G73" s="5" t="n">
        <v>1</v>
      </c>
      <c r="H73" s="5" t="n">
        <v>1</v>
      </c>
      <c r="I73" s="5" t="n">
        <v>1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1</v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5" t="n">
        <v>1</v>
      </c>
      <c r="U73" s="5" t="n">
        <v>0</v>
      </c>
      <c r="V73" s="5" t="n">
        <v>1</v>
      </c>
      <c r="W73" s="5" t="n">
        <f aca="false">SUM(C73:V73)</f>
        <v>16</v>
      </c>
    </row>
    <row r="74" customFormat="false" ht="17.9" hidden="false" customHeight="false" outlineLevel="0" collapsed="false">
      <c r="A74" s="5" t="s">
        <v>107</v>
      </c>
      <c r="B74" s="5" t="s">
        <v>35</v>
      </c>
      <c r="C74" s="5" t="n">
        <v>1</v>
      </c>
      <c r="D74" s="5" t="n">
        <v>1</v>
      </c>
      <c r="E74" s="5" t="n">
        <v>1</v>
      </c>
      <c r="F74" s="5" t="n">
        <v>1</v>
      </c>
      <c r="G74" s="5" t="n">
        <v>1</v>
      </c>
      <c r="H74" s="5" t="n">
        <v>1</v>
      </c>
      <c r="I74" s="5" t="n">
        <v>1</v>
      </c>
      <c r="J74" s="5" t="n">
        <v>1</v>
      </c>
      <c r="K74" s="5" t="n">
        <v>1</v>
      </c>
      <c r="L74" s="5" t="n">
        <v>1</v>
      </c>
      <c r="M74" s="5" t="n">
        <v>1</v>
      </c>
      <c r="N74" s="5" t="n">
        <v>1</v>
      </c>
      <c r="O74" s="5" t="n">
        <v>1</v>
      </c>
      <c r="P74" s="5" t="n">
        <v>0</v>
      </c>
      <c r="Q74" s="5" t="n">
        <v>1</v>
      </c>
      <c r="R74" s="5" t="n">
        <v>1</v>
      </c>
      <c r="S74" s="5" t="n">
        <v>1</v>
      </c>
      <c r="T74" s="5" t="n">
        <v>1</v>
      </c>
      <c r="U74" s="5" t="n">
        <v>1</v>
      </c>
      <c r="V74" s="5" t="n">
        <v>1</v>
      </c>
      <c r="W74" s="5" t="n">
        <f aca="false">SUM(C74:V74)</f>
        <v>19</v>
      </c>
    </row>
    <row r="75" customFormat="false" ht="17.9" hidden="false" customHeight="false" outlineLevel="0" collapsed="false">
      <c r="A75" s="5" t="s">
        <v>108</v>
      </c>
      <c r="B75" s="5" t="s">
        <v>35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1</v>
      </c>
      <c r="L75" s="5" t="n">
        <v>0</v>
      </c>
      <c r="M75" s="5" t="n">
        <v>0</v>
      </c>
      <c r="N75" s="5" t="n">
        <v>1</v>
      </c>
      <c r="O75" s="5" t="n">
        <v>1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f aca="false">SUM(C75:V75)</f>
        <v>4</v>
      </c>
    </row>
    <row r="76" customFormat="false" ht="17.9" hidden="false" customHeight="false" outlineLevel="0" collapsed="false">
      <c r="A76" s="5" t="s">
        <v>109</v>
      </c>
      <c r="B76" s="5" t="s">
        <v>35</v>
      </c>
      <c r="C76" s="5" t="n">
        <v>1</v>
      </c>
      <c r="D76" s="5" t="n">
        <v>0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1</v>
      </c>
      <c r="J76" s="5" t="n">
        <v>1</v>
      </c>
      <c r="K76" s="5" t="n">
        <v>1</v>
      </c>
      <c r="L76" s="5" t="n">
        <v>0</v>
      </c>
      <c r="M76" s="5" t="n">
        <v>1</v>
      </c>
      <c r="N76" s="5" t="n">
        <v>1</v>
      </c>
      <c r="O76" s="5" t="n">
        <v>1</v>
      </c>
      <c r="P76" s="5" t="n">
        <v>0</v>
      </c>
      <c r="Q76" s="5" t="n">
        <v>1</v>
      </c>
      <c r="R76" s="5" t="n">
        <v>1</v>
      </c>
      <c r="S76" s="5" t="n">
        <v>1</v>
      </c>
      <c r="T76" s="5" t="n">
        <v>1</v>
      </c>
      <c r="U76" s="5" t="n">
        <v>1</v>
      </c>
      <c r="V76" s="5" t="n">
        <v>1</v>
      </c>
      <c r="W76" s="5" t="n">
        <f aca="false">SUM(C76:V76)</f>
        <v>15</v>
      </c>
    </row>
    <row r="77" customFormat="false" ht="17.9" hidden="false" customHeight="false" outlineLevel="0" collapsed="false">
      <c r="A77" s="5" t="s">
        <v>110</v>
      </c>
      <c r="B77" s="5" t="s">
        <v>35</v>
      </c>
      <c r="C77" s="5" t="n">
        <v>1</v>
      </c>
      <c r="D77" s="5" t="n">
        <v>1</v>
      </c>
      <c r="E77" s="5" t="n">
        <v>1</v>
      </c>
      <c r="F77" s="5" t="n">
        <v>1</v>
      </c>
      <c r="G77" s="5" t="n">
        <v>1</v>
      </c>
      <c r="H77" s="5" t="n">
        <v>1</v>
      </c>
      <c r="I77" s="5" t="n">
        <v>1</v>
      </c>
      <c r="J77" s="5" t="n">
        <v>1</v>
      </c>
      <c r="K77" s="5" t="n">
        <v>1</v>
      </c>
      <c r="L77" s="5" t="n">
        <v>1</v>
      </c>
      <c r="M77" s="5" t="n">
        <v>1</v>
      </c>
      <c r="N77" s="5" t="n">
        <v>1</v>
      </c>
      <c r="O77" s="5" t="n">
        <v>1</v>
      </c>
      <c r="P77" s="5" t="n">
        <v>1</v>
      </c>
      <c r="Q77" s="5" t="n">
        <v>1</v>
      </c>
      <c r="R77" s="5" t="n">
        <v>1</v>
      </c>
      <c r="S77" s="5" t="n">
        <v>1</v>
      </c>
      <c r="T77" s="5" t="n">
        <v>0</v>
      </c>
      <c r="U77" s="5" t="n">
        <v>0</v>
      </c>
      <c r="V77" s="5" t="n">
        <v>1</v>
      </c>
      <c r="W77" s="5" t="n">
        <f aca="false">SUM(C77:V77)</f>
        <v>18</v>
      </c>
    </row>
    <row r="78" customFormat="false" ht="17.9" hidden="false" customHeight="false" outlineLevel="0" collapsed="false">
      <c r="A78" s="5" t="s">
        <v>111</v>
      </c>
      <c r="B78" s="5" t="s">
        <v>35</v>
      </c>
      <c r="C78" s="5" t="n">
        <v>1</v>
      </c>
      <c r="D78" s="5" t="n">
        <v>1</v>
      </c>
      <c r="E78" s="5" t="n">
        <v>1</v>
      </c>
      <c r="F78" s="5" t="n">
        <v>1</v>
      </c>
      <c r="G78" s="5" t="n">
        <v>1</v>
      </c>
      <c r="H78" s="5" t="n">
        <v>1</v>
      </c>
      <c r="I78" s="5" t="n">
        <v>0</v>
      </c>
      <c r="J78" s="5" t="n">
        <v>1</v>
      </c>
      <c r="K78" s="5" t="n">
        <v>1</v>
      </c>
      <c r="L78" s="5" t="n">
        <v>1</v>
      </c>
      <c r="M78" s="5" t="n">
        <v>1</v>
      </c>
      <c r="N78" s="5" t="n">
        <v>1</v>
      </c>
      <c r="O78" s="5" t="n">
        <v>0</v>
      </c>
      <c r="P78" s="5" t="n">
        <v>0</v>
      </c>
      <c r="Q78" s="5" t="n">
        <v>1</v>
      </c>
      <c r="R78" s="5" t="n">
        <v>1</v>
      </c>
      <c r="S78" s="5" t="n">
        <v>1</v>
      </c>
      <c r="T78" s="5" t="n">
        <v>0</v>
      </c>
      <c r="U78" s="5" t="n">
        <v>1</v>
      </c>
      <c r="V78" s="5" t="n">
        <v>1</v>
      </c>
      <c r="W78" s="5" t="n">
        <f aca="false">SUM(C78:V78)</f>
        <v>16</v>
      </c>
    </row>
    <row r="79" customFormat="false" ht="17.9" hidden="false" customHeight="false" outlineLevel="0" collapsed="false">
      <c r="A79" s="5" t="s">
        <v>112</v>
      </c>
      <c r="B79" s="5" t="s">
        <v>35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f aca="false">SUM(C79:V79)</f>
        <v>0</v>
      </c>
    </row>
    <row r="80" customFormat="false" ht="17.9" hidden="false" customHeight="false" outlineLevel="0" collapsed="false">
      <c r="A80" s="5" t="s">
        <v>113</v>
      </c>
      <c r="B80" s="5" t="s">
        <v>35</v>
      </c>
      <c r="C80" s="5" t="n">
        <v>0</v>
      </c>
      <c r="D80" s="5" t="n">
        <v>0</v>
      </c>
      <c r="E80" s="5" t="n">
        <v>1</v>
      </c>
      <c r="F80" s="5" t="n">
        <v>0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1</v>
      </c>
      <c r="T80" s="5" t="n">
        <v>1</v>
      </c>
      <c r="U80" s="5" t="n">
        <v>1</v>
      </c>
      <c r="V80" s="5" t="n">
        <v>0</v>
      </c>
      <c r="W80" s="5" t="n">
        <f aca="false">SUM(C80:V80)</f>
        <v>11</v>
      </c>
    </row>
    <row r="81" customFormat="false" ht="17.9" hidden="false" customHeight="false" outlineLevel="0" collapsed="false">
      <c r="A81" s="5" t="s">
        <v>114</v>
      </c>
      <c r="B81" s="5" t="s">
        <v>35</v>
      </c>
      <c r="C81" s="5" t="n">
        <v>1</v>
      </c>
      <c r="D81" s="5" t="n">
        <v>0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1</v>
      </c>
      <c r="T81" s="5" t="n">
        <v>0</v>
      </c>
      <c r="U81" s="5" t="n">
        <v>0</v>
      </c>
      <c r="V81" s="5" t="n">
        <v>0</v>
      </c>
      <c r="W81" s="5" t="n">
        <f aca="false">SUM(C81:V81)</f>
        <v>7</v>
      </c>
    </row>
    <row r="82" customFormat="false" ht="17.9" hidden="false" customHeight="false" outlineLevel="0" collapsed="false">
      <c r="A82" s="5" t="s">
        <v>115</v>
      </c>
      <c r="B82" s="5" t="s">
        <v>35</v>
      </c>
      <c r="C82" s="5" t="n">
        <v>1</v>
      </c>
      <c r="D82" s="5" t="n">
        <v>1</v>
      </c>
      <c r="E82" s="5" t="n">
        <v>1</v>
      </c>
      <c r="F82" s="5" t="n">
        <v>0</v>
      </c>
      <c r="G82" s="5" t="n">
        <v>1</v>
      </c>
      <c r="H82" s="5" t="n">
        <v>1</v>
      </c>
      <c r="I82" s="5" t="n">
        <v>0</v>
      </c>
      <c r="J82" s="5" t="n">
        <v>0</v>
      </c>
      <c r="K82" s="5" t="n">
        <v>1</v>
      </c>
      <c r="L82" s="5" t="n">
        <v>1</v>
      </c>
      <c r="M82" s="5" t="n">
        <v>1</v>
      </c>
      <c r="N82" s="5" t="n">
        <v>1</v>
      </c>
      <c r="O82" s="5" t="n">
        <v>1</v>
      </c>
      <c r="P82" s="5" t="n">
        <v>0</v>
      </c>
      <c r="Q82" s="5" t="n">
        <v>1</v>
      </c>
      <c r="R82" s="5" t="n">
        <v>1</v>
      </c>
      <c r="S82" s="5" t="n">
        <v>1</v>
      </c>
      <c r="T82" s="5" t="n">
        <v>1</v>
      </c>
      <c r="U82" s="5" t="n">
        <v>0</v>
      </c>
      <c r="V82" s="5" t="n">
        <v>0</v>
      </c>
      <c r="W82" s="5" t="n">
        <f aca="false">SUM(C82:V82)</f>
        <v>14</v>
      </c>
    </row>
    <row r="83" customFormat="false" ht="17.9" hidden="false" customHeight="false" outlineLevel="0" collapsed="false">
      <c r="A83" s="5" t="s">
        <v>116</v>
      </c>
      <c r="B83" s="5" t="s">
        <v>35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1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f aca="false">SUM(C83:V83)</f>
        <v>3</v>
      </c>
    </row>
    <row r="84" customFormat="false" ht="17.9" hidden="false" customHeight="false" outlineLevel="0" collapsed="false">
      <c r="A84" s="5" t="s">
        <v>117</v>
      </c>
      <c r="B84" s="5" t="s">
        <v>35</v>
      </c>
      <c r="C84" s="5" t="n">
        <v>1</v>
      </c>
      <c r="D84" s="5" t="n">
        <v>1</v>
      </c>
      <c r="E84" s="5" t="n">
        <v>1</v>
      </c>
      <c r="F84" s="5" t="n">
        <v>1</v>
      </c>
      <c r="G84" s="5" t="n">
        <v>1</v>
      </c>
      <c r="H84" s="5" t="n">
        <v>1</v>
      </c>
      <c r="I84" s="5" t="n">
        <v>1</v>
      </c>
      <c r="J84" s="5" t="n">
        <v>1</v>
      </c>
      <c r="K84" s="5" t="n">
        <v>1</v>
      </c>
      <c r="L84" s="5" t="n">
        <v>1</v>
      </c>
      <c r="M84" s="5" t="n">
        <v>1</v>
      </c>
      <c r="N84" s="5" t="n">
        <v>1</v>
      </c>
      <c r="O84" s="5" t="n">
        <v>1</v>
      </c>
      <c r="P84" s="5" t="n">
        <v>1</v>
      </c>
      <c r="Q84" s="5" t="n">
        <v>1</v>
      </c>
      <c r="R84" s="5" t="n">
        <v>1</v>
      </c>
      <c r="S84" s="5" t="n">
        <v>1</v>
      </c>
      <c r="T84" s="5" t="n">
        <v>1</v>
      </c>
      <c r="U84" s="5" t="n">
        <v>1</v>
      </c>
      <c r="V84" s="5" t="n">
        <v>1</v>
      </c>
      <c r="W84" s="5" t="n">
        <f aca="false">SUM(C84:V84)</f>
        <v>20</v>
      </c>
    </row>
    <row r="85" customFormat="false" ht="17.9" hidden="false" customHeight="false" outlineLevel="0" collapsed="false">
      <c r="A85" s="5" t="s">
        <v>118</v>
      </c>
      <c r="B85" s="5" t="s">
        <v>35</v>
      </c>
      <c r="C85" s="5" t="n">
        <v>1</v>
      </c>
      <c r="D85" s="5" t="n">
        <v>1</v>
      </c>
      <c r="E85" s="5" t="n">
        <v>1</v>
      </c>
      <c r="F85" s="5" t="n">
        <v>0</v>
      </c>
      <c r="G85" s="5" t="n">
        <v>0</v>
      </c>
      <c r="H85" s="5" t="n">
        <v>1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1</v>
      </c>
      <c r="R85" s="5" t="n">
        <v>1</v>
      </c>
      <c r="S85" s="5" t="n">
        <v>0</v>
      </c>
      <c r="T85" s="5" t="n">
        <v>0</v>
      </c>
      <c r="U85" s="5" t="n">
        <v>0</v>
      </c>
      <c r="V85" s="5" t="n">
        <v>1</v>
      </c>
      <c r="W85" s="5" t="n">
        <f aca="false">SUM(C85:V85)</f>
        <v>9</v>
      </c>
    </row>
    <row r="86" customFormat="false" ht="17.9" hidden="false" customHeight="false" outlineLevel="0" collapsed="false">
      <c r="A86" s="5" t="s">
        <v>119</v>
      </c>
      <c r="B86" s="5" t="s">
        <v>35</v>
      </c>
      <c r="C86" s="5" t="n">
        <v>0</v>
      </c>
      <c r="D86" s="5" t="n">
        <v>1</v>
      </c>
      <c r="E86" s="5" t="n">
        <v>1</v>
      </c>
      <c r="F86" s="5" t="n">
        <v>0</v>
      </c>
      <c r="G86" s="5" t="n">
        <v>1</v>
      </c>
      <c r="H86" s="5" t="n">
        <v>1</v>
      </c>
      <c r="I86" s="5" t="n">
        <v>0</v>
      </c>
      <c r="J86" s="5" t="n">
        <v>0</v>
      </c>
      <c r="K86" s="5" t="n">
        <v>1</v>
      </c>
      <c r="L86" s="5" t="n">
        <v>1</v>
      </c>
      <c r="M86" s="5" t="n">
        <v>1</v>
      </c>
      <c r="N86" s="5" t="n">
        <v>1</v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5" t="n">
        <v>1</v>
      </c>
      <c r="U86" s="5" t="n">
        <v>1</v>
      </c>
      <c r="V86" s="5" t="n">
        <v>0</v>
      </c>
      <c r="W86" s="5" t="n">
        <f aca="false">SUM(C86:V86)</f>
        <v>15</v>
      </c>
    </row>
    <row r="87" customFormat="false" ht="17.9" hidden="false" customHeight="false" outlineLevel="0" collapsed="false">
      <c r="A87" s="5" t="s">
        <v>120</v>
      </c>
      <c r="B87" s="5" t="s">
        <v>35</v>
      </c>
      <c r="C87" s="5" t="n">
        <v>1</v>
      </c>
      <c r="D87" s="5" t="n">
        <v>1</v>
      </c>
      <c r="E87" s="5" t="n">
        <v>1</v>
      </c>
      <c r="F87" s="5" t="n">
        <v>1</v>
      </c>
      <c r="G87" s="5" t="n">
        <v>0</v>
      </c>
      <c r="H87" s="5" t="n">
        <v>1</v>
      </c>
      <c r="I87" s="5" t="n">
        <v>0</v>
      </c>
      <c r="J87" s="5" t="n">
        <v>1</v>
      </c>
      <c r="K87" s="5" t="n">
        <v>1</v>
      </c>
      <c r="L87" s="5" t="n">
        <v>1</v>
      </c>
      <c r="M87" s="5" t="n">
        <v>0</v>
      </c>
      <c r="N87" s="5" t="n">
        <v>1</v>
      </c>
      <c r="O87" s="5" t="n">
        <v>0</v>
      </c>
      <c r="P87" s="5" t="n">
        <v>0</v>
      </c>
      <c r="Q87" s="5" t="n">
        <v>1</v>
      </c>
      <c r="R87" s="5" t="n">
        <v>1</v>
      </c>
      <c r="S87" s="5" t="n">
        <v>1</v>
      </c>
      <c r="T87" s="5" t="n">
        <v>1</v>
      </c>
      <c r="U87" s="5" t="n">
        <v>0</v>
      </c>
      <c r="V87" s="5" t="n">
        <v>0</v>
      </c>
      <c r="W87" s="5" t="n">
        <f aca="false">SUM(C87:V87)</f>
        <v>13</v>
      </c>
    </row>
    <row r="88" customFormat="false" ht="17.9" hidden="false" customHeight="false" outlineLevel="0" collapsed="false">
      <c r="A88" s="5" t="s">
        <v>121</v>
      </c>
      <c r="B88" s="5" t="s">
        <v>35</v>
      </c>
      <c r="C88" s="5" t="n">
        <v>0</v>
      </c>
      <c r="D88" s="5" t="n">
        <v>1</v>
      </c>
      <c r="E88" s="5" t="n">
        <v>1</v>
      </c>
      <c r="F88" s="5" t="n">
        <v>0</v>
      </c>
      <c r="G88" s="5" t="n">
        <v>0</v>
      </c>
      <c r="H88" s="5" t="n">
        <v>1</v>
      </c>
      <c r="I88" s="5" t="n">
        <v>0</v>
      </c>
      <c r="J88" s="5" t="n">
        <v>0</v>
      </c>
      <c r="K88" s="5" t="n">
        <v>1</v>
      </c>
      <c r="L88" s="5" t="n">
        <v>0</v>
      </c>
      <c r="M88" s="5" t="n">
        <v>0</v>
      </c>
      <c r="N88" s="5" t="n">
        <v>1</v>
      </c>
      <c r="O88" s="5" t="n">
        <v>0</v>
      </c>
      <c r="P88" s="5" t="n">
        <v>0</v>
      </c>
      <c r="Q88" s="5" t="n">
        <v>1</v>
      </c>
      <c r="R88" s="5" t="n">
        <v>0</v>
      </c>
      <c r="S88" s="5" t="n">
        <v>1</v>
      </c>
      <c r="T88" s="5" t="n">
        <v>1</v>
      </c>
      <c r="U88" s="5" t="n">
        <v>1</v>
      </c>
      <c r="V88" s="5" t="n">
        <v>0</v>
      </c>
      <c r="W88" s="5" t="n">
        <f aca="false">SUM(C88:V88)</f>
        <v>9</v>
      </c>
    </row>
    <row r="89" customFormat="false" ht="17.9" hidden="false" customHeight="false" outlineLevel="0" collapsed="false">
      <c r="A89" s="5" t="s">
        <v>122</v>
      </c>
      <c r="B89" s="5" t="s">
        <v>35</v>
      </c>
      <c r="C89" s="5" t="n">
        <v>1</v>
      </c>
      <c r="D89" s="5" t="n">
        <v>1</v>
      </c>
      <c r="E89" s="5" t="n">
        <v>1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1</v>
      </c>
      <c r="L89" s="5" t="n">
        <v>0</v>
      </c>
      <c r="M89" s="5" t="n">
        <v>0</v>
      </c>
      <c r="N89" s="5" t="n">
        <v>1</v>
      </c>
      <c r="O89" s="5" t="n">
        <v>1</v>
      </c>
      <c r="P89" s="5" t="n">
        <v>0</v>
      </c>
      <c r="Q89" s="5" t="n">
        <v>1</v>
      </c>
      <c r="R89" s="5" t="n">
        <v>1</v>
      </c>
      <c r="S89" s="5" t="n">
        <v>1</v>
      </c>
      <c r="T89" s="5" t="n">
        <v>1</v>
      </c>
      <c r="U89" s="5" t="n">
        <v>0</v>
      </c>
      <c r="V89" s="5" t="n">
        <v>0</v>
      </c>
      <c r="W89" s="5" t="n">
        <f aca="false">SUM(C89:V89)</f>
        <v>10</v>
      </c>
    </row>
    <row r="90" customFormat="false" ht="17.9" hidden="false" customHeight="false" outlineLevel="0" collapsed="false">
      <c r="A90" s="5" t="s">
        <v>123</v>
      </c>
      <c r="B90" s="5" t="s">
        <v>35</v>
      </c>
      <c r="C90" s="5" t="n">
        <v>1</v>
      </c>
      <c r="D90" s="5" t="n">
        <v>1</v>
      </c>
      <c r="E90" s="5" t="n">
        <v>1</v>
      </c>
      <c r="F90" s="5" t="n">
        <v>0</v>
      </c>
      <c r="G90" s="5" t="n">
        <v>1</v>
      </c>
      <c r="H90" s="5" t="n">
        <v>1</v>
      </c>
      <c r="I90" s="5" t="n">
        <v>1</v>
      </c>
      <c r="J90" s="5" t="n">
        <v>1</v>
      </c>
      <c r="K90" s="5" t="n">
        <v>1</v>
      </c>
      <c r="L90" s="5" t="n">
        <v>1</v>
      </c>
      <c r="M90" s="5" t="n">
        <v>1</v>
      </c>
      <c r="N90" s="5" t="n">
        <v>1</v>
      </c>
      <c r="O90" s="5" t="n">
        <v>1</v>
      </c>
      <c r="P90" s="5" t="n">
        <v>1</v>
      </c>
      <c r="Q90" s="5" t="n">
        <v>1</v>
      </c>
      <c r="R90" s="5" t="n">
        <v>1</v>
      </c>
      <c r="S90" s="5" t="n">
        <v>1</v>
      </c>
      <c r="T90" s="5" t="n">
        <v>1</v>
      </c>
      <c r="U90" s="5" t="n">
        <v>1</v>
      </c>
      <c r="V90" s="5" t="n">
        <v>1</v>
      </c>
      <c r="W90" s="5" t="n">
        <f aca="false">SUM(C90:V90)</f>
        <v>19</v>
      </c>
    </row>
    <row r="91" customFormat="false" ht="17.9" hidden="false" customHeight="false" outlineLevel="0" collapsed="false">
      <c r="A91" s="5" t="s">
        <v>124</v>
      </c>
      <c r="B91" s="5" t="s">
        <v>35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1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1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f aca="false">SUM(C91:V91)</f>
        <v>2</v>
      </c>
    </row>
    <row r="92" customFormat="false" ht="17.9" hidden="false" customHeight="false" outlineLevel="0" collapsed="false">
      <c r="A92" s="5" t="s">
        <v>125</v>
      </c>
      <c r="B92" s="5" t="s">
        <v>35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1</v>
      </c>
      <c r="O92" s="5" t="n">
        <v>1</v>
      </c>
      <c r="P92" s="5" t="n">
        <v>0</v>
      </c>
      <c r="Q92" s="5" t="n">
        <v>1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f aca="false">SUM(C92:V92)</f>
        <v>3</v>
      </c>
    </row>
    <row r="93" customFormat="false" ht="17.9" hidden="false" customHeight="false" outlineLevel="0" collapsed="false">
      <c r="A93" s="5" t="s">
        <v>126</v>
      </c>
      <c r="B93" s="5" t="s">
        <v>35</v>
      </c>
      <c r="C93" s="5" t="n">
        <v>0</v>
      </c>
      <c r="D93" s="5" t="n">
        <v>1</v>
      </c>
      <c r="E93" s="5" t="n">
        <v>1</v>
      </c>
      <c r="F93" s="5" t="n">
        <v>0</v>
      </c>
      <c r="G93" s="5" t="n">
        <v>0</v>
      </c>
      <c r="H93" s="5" t="n">
        <v>1</v>
      </c>
      <c r="I93" s="5" t="n">
        <v>0</v>
      </c>
      <c r="J93" s="5" t="n">
        <v>0</v>
      </c>
      <c r="K93" s="5" t="n">
        <v>1</v>
      </c>
      <c r="L93" s="5" t="n">
        <v>0</v>
      </c>
      <c r="M93" s="5" t="n">
        <v>0</v>
      </c>
      <c r="N93" s="5" t="n">
        <v>1</v>
      </c>
      <c r="O93" s="5" t="n">
        <v>0</v>
      </c>
      <c r="P93" s="5" t="n">
        <v>0</v>
      </c>
      <c r="Q93" s="5" t="n">
        <v>1</v>
      </c>
      <c r="R93" s="5" t="n">
        <v>1</v>
      </c>
      <c r="S93" s="5" t="n">
        <v>1</v>
      </c>
      <c r="T93" s="5" t="n">
        <v>0</v>
      </c>
      <c r="U93" s="5" t="n">
        <v>0</v>
      </c>
      <c r="V93" s="5" t="n">
        <v>0</v>
      </c>
      <c r="W93" s="5" t="n">
        <f aca="false">SUM(C93:V93)</f>
        <v>8</v>
      </c>
    </row>
    <row r="94" customFormat="false" ht="17.9" hidden="false" customHeight="false" outlineLevel="0" collapsed="false">
      <c r="A94" s="5" t="s">
        <v>127</v>
      </c>
      <c r="B94" s="5" t="s">
        <v>35</v>
      </c>
      <c r="C94" s="5" t="n">
        <v>1</v>
      </c>
      <c r="D94" s="5" t="n">
        <v>1</v>
      </c>
      <c r="E94" s="5" t="n">
        <v>1</v>
      </c>
      <c r="F94" s="5" t="n">
        <v>0</v>
      </c>
      <c r="G94" s="5" t="n">
        <v>1</v>
      </c>
      <c r="H94" s="5" t="n">
        <v>1</v>
      </c>
      <c r="I94" s="5" t="n">
        <v>0</v>
      </c>
      <c r="J94" s="5" t="n">
        <v>0</v>
      </c>
      <c r="K94" s="5" t="n">
        <v>1</v>
      </c>
      <c r="L94" s="5" t="n">
        <v>1</v>
      </c>
      <c r="M94" s="5" t="n">
        <v>1</v>
      </c>
      <c r="N94" s="5" t="n">
        <v>1</v>
      </c>
      <c r="O94" s="5" t="n">
        <v>0</v>
      </c>
      <c r="P94" s="5" t="n">
        <v>1</v>
      </c>
      <c r="Q94" s="5" t="n">
        <v>1</v>
      </c>
      <c r="R94" s="5" t="n">
        <v>1</v>
      </c>
      <c r="S94" s="5" t="n">
        <v>1</v>
      </c>
      <c r="T94" s="5" t="n">
        <v>1</v>
      </c>
      <c r="U94" s="5" t="n">
        <v>1</v>
      </c>
      <c r="V94" s="5" t="n">
        <v>0</v>
      </c>
      <c r="W94" s="5" t="n">
        <f aca="false">SUM(C94:V94)</f>
        <v>15</v>
      </c>
    </row>
    <row r="95" customFormat="false" ht="17.9" hidden="false" customHeight="false" outlineLevel="0" collapsed="false">
      <c r="A95" s="5" t="s">
        <v>128</v>
      </c>
      <c r="B95" s="5" t="s">
        <v>35</v>
      </c>
      <c r="C95" s="5" t="n">
        <v>0</v>
      </c>
      <c r="D95" s="5" t="n">
        <v>0</v>
      </c>
      <c r="E95" s="5" t="n">
        <v>1</v>
      </c>
      <c r="F95" s="5" t="n">
        <v>0</v>
      </c>
      <c r="G95" s="5" t="n">
        <v>0</v>
      </c>
      <c r="H95" s="5" t="n">
        <v>1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1</v>
      </c>
      <c r="O95" s="5" t="n">
        <v>0</v>
      </c>
      <c r="P95" s="5" t="n">
        <v>0</v>
      </c>
      <c r="Q95" s="5" t="n">
        <v>1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f aca="false">SUM(C95:V95)</f>
        <v>4</v>
      </c>
    </row>
    <row r="96" customFormat="false" ht="17.9" hidden="false" customHeight="false" outlineLevel="0" collapsed="false">
      <c r="A96" s="5" t="s">
        <v>129</v>
      </c>
      <c r="B96" s="5" t="s">
        <v>35</v>
      </c>
      <c r="C96" s="5" t="n">
        <v>0</v>
      </c>
      <c r="D96" s="5" t="n">
        <v>0</v>
      </c>
      <c r="E96" s="5" t="n">
        <v>1</v>
      </c>
      <c r="F96" s="5" t="n">
        <v>0</v>
      </c>
      <c r="G96" s="5" t="n">
        <v>1</v>
      </c>
      <c r="H96" s="5" t="n">
        <v>0</v>
      </c>
      <c r="I96" s="5" t="n">
        <v>0</v>
      </c>
      <c r="J96" s="5" t="n">
        <v>0</v>
      </c>
      <c r="K96" s="5" t="n">
        <v>1</v>
      </c>
      <c r="L96" s="5" t="n">
        <v>1</v>
      </c>
      <c r="M96" s="5" t="n">
        <v>1</v>
      </c>
      <c r="N96" s="5" t="n">
        <v>1</v>
      </c>
      <c r="O96" s="5" t="n">
        <v>0</v>
      </c>
      <c r="P96" s="5" t="n">
        <v>0</v>
      </c>
      <c r="Q96" s="5" t="n">
        <v>1</v>
      </c>
      <c r="R96" s="5" t="n">
        <v>1</v>
      </c>
      <c r="S96" s="5" t="n">
        <v>1</v>
      </c>
      <c r="T96" s="5" t="n">
        <v>1</v>
      </c>
      <c r="U96" s="5" t="n">
        <v>0</v>
      </c>
      <c r="V96" s="5" t="n">
        <v>0</v>
      </c>
      <c r="W96" s="5" t="n">
        <f aca="false">SUM(C96:V96)</f>
        <v>10</v>
      </c>
    </row>
    <row r="97" customFormat="false" ht="17.9" hidden="false" customHeight="false" outlineLevel="0" collapsed="false">
      <c r="A97" s="5" t="s">
        <v>130</v>
      </c>
      <c r="B97" s="5" t="s">
        <v>35</v>
      </c>
      <c r="C97" s="5" t="n">
        <v>0</v>
      </c>
      <c r="D97" s="5" t="n">
        <v>1</v>
      </c>
      <c r="E97" s="5" t="n">
        <v>1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1</v>
      </c>
      <c r="L97" s="5" t="n">
        <v>0</v>
      </c>
      <c r="M97" s="5" t="n">
        <v>0</v>
      </c>
      <c r="N97" s="5" t="n">
        <v>1</v>
      </c>
      <c r="O97" s="5" t="n">
        <v>0</v>
      </c>
      <c r="P97" s="5" t="n">
        <v>0</v>
      </c>
      <c r="Q97" s="5" t="n">
        <v>1</v>
      </c>
      <c r="R97" s="5" t="n">
        <v>0</v>
      </c>
      <c r="S97" s="5" t="n">
        <v>1</v>
      </c>
      <c r="T97" s="5" t="n">
        <v>0</v>
      </c>
      <c r="U97" s="5" t="n">
        <v>0</v>
      </c>
      <c r="V97" s="5" t="n">
        <v>1</v>
      </c>
      <c r="W97" s="5" t="n">
        <f aca="false">SUM(C97:V97)</f>
        <v>7</v>
      </c>
    </row>
    <row r="98" customFormat="false" ht="17.9" hidden="false" customHeight="false" outlineLevel="0" collapsed="false">
      <c r="A98" s="5" t="s">
        <v>131</v>
      </c>
      <c r="B98" s="5" t="s">
        <v>35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f aca="false">SUM(C98:V98)</f>
        <v>0</v>
      </c>
    </row>
    <row r="99" customFormat="false" ht="17.9" hidden="false" customHeight="false" outlineLevel="0" collapsed="false">
      <c r="A99" s="5" t="s">
        <v>132</v>
      </c>
      <c r="B99" s="5" t="s">
        <v>35</v>
      </c>
      <c r="C99" s="5" t="n">
        <v>0</v>
      </c>
      <c r="D99" s="5" t="n">
        <v>0</v>
      </c>
      <c r="E99" s="5" t="n">
        <v>1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1</v>
      </c>
      <c r="L99" s="5" t="n">
        <v>0</v>
      </c>
      <c r="M99" s="5" t="n">
        <v>0</v>
      </c>
      <c r="N99" s="5" t="n">
        <v>1</v>
      </c>
      <c r="O99" s="5" t="n">
        <v>0</v>
      </c>
      <c r="P99" s="5" t="n">
        <v>0</v>
      </c>
      <c r="Q99" s="5" t="n">
        <v>1</v>
      </c>
      <c r="R99" s="5" t="n">
        <v>1</v>
      </c>
      <c r="S99" s="5" t="n">
        <v>1</v>
      </c>
      <c r="T99" s="5" t="n">
        <v>1</v>
      </c>
      <c r="U99" s="5" t="n">
        <v>0</v>
      </c>
      <c r="V99" s="5" t="n">
        <v>0</v>
      </c>
      <c r="W99" s="5" t="n">
        <f aca="false">SUM(C99:V99)</f>
        <v>7</v>
      </c>
    </row>
    <row r="100" customFormat="false" ht="17.9" hidden="false" customHeight="false" outlineLevel="0" collapsed="false">
      <c r="A100" s="5" t="s">
        <v>133</v>
      </c>
      <c r="B100" s="5" t="s">
        <v>35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1</v>
      </c>
      <c r="L100" s="5" t="n">
        <v>0</v>
      </c>
      <c r="M100" s="5" t="n">
        <v>0</v>
      </c>
      <c r="N100" s="5" t="n">
        <v>0</v>
      </c>
      <c r="O100" s="5" t="n">
        <v>1</v>
      </c>
      <c r="P100" s="5" t="n">
        <v>0</v>
      </c>
      <c r="Q100" s="5" t="n">
        <v>1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f aca="false">SUM(C100:V100)</f>
        <v>3</v>
      </c>
    </row>
    <row r="101" customFormat="false" ht="17.9" hidden="false" customHeight="false" outlineLevel="0" collapsed="false">
      <c r="A101" s="5" t="s">
        <v>134</v>
      </c>
      <c r="B101" s="5" t="s">
        <v>35</v>
      </c>
      <c r="C101" s="5" t="n">
        <v>0</v>
      </c>
      <c r="D101" s="5" t="n">
        <v>0</v>
      </c>
      <c r="E101" s="5" t="n">
        <v>1</v>
      </c>
      <c r="F101" s="5" t="n">
        <v>0</v>
      </c>
      <c r="G101" s="5" t="n">
        <v>1</v>
      </c>
      <c r="H101" s="5" t="n">
        <v>1</v>
      </c>
      <c r="I101" s="5" t="n">
        <v>0</v>
      </c>
      <c r="J101" s="5" t="n">
        <v>1</v>
      </c>
      <c r="K101" s="5" t="n">
        <v>1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1</v>
      </c>
      <c r="S101" s="5" t="n">
        <v>1</v>
      </c>
      <c r="T101" s="5" t="n">
        <v>0</v>
      </c>
      <c r="U101" s="5" t="n">
        <v>0</v>
      </c>
      <c r="V101" s="5" t="n">
        <v>0</v>
      </c>
      <c r="W101" s="5" t="n">
        <f aca="false">SUM(C101:V101)</f>
        <v>10</v>
      </c>
    </row>
    <row r="102" customFormat="false" ht="17.9" hidden="false" customHeight="false" outlineLevel="0" collapsed="false">
      <c r="A102" s="5" t="s">
        <v>135</v>
      </c>
      <c r="B102" s="5" t="s">
        <v>35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f aca="false">SUM(C102:V102)</f>
        <v>1</v>
      </c>
    </row>
    <row r="103" customFormat="false" ht="17.9" hidden="false" customHeight="false" outlineLevel="0" collapsed="false">
      <c r="A103" s="5" t="s">
        <v>136</v>
      </c>
      <c r="B103" s="5" t="s">
        <v>35</v>
      </c>
      <c r="C103" s="5" t="n">
        <v>1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1</v>
      </c>
      <c r="I103" s="5" t="n">
        <v>0</v>
      </c>
      <c r="J103" s="5" t="n">
        <v>0</v>
      </c>
      <c r="K103" s="5" t="n">
        <v>1</v>
      </c>
      <c r="L103" s="5" t="n">
        <v>1</v>
      </c>
      <c r="M103" s="5" t="n">
        <v>0</v>
      </c>
      <c r="N103" s="5" t="n">
        <v>1</v>
      </c>
      <c r="O103" s="5" t="n">
        <v>1</v>
      </c>
      <c r="P103" s="5" t="n">
        <v>1</v>
      </c>
      <c r="Q103" s="5" t="n">
        <v>1</v>
      </c>
      <c r="R103" s="5" t="n">
        <v>1</v>
      </c>
      <c r="S103" s="5" t="n">
        <v>1</v>
      </c>
      <c r="T103" s="5" t="n">
        <v>0</v>
      </c>
      <c r="U103" s="5" t="n">
        <v>0</v>
      </c>
      <c r="V103" s="5" t="n">
        <v>0</v>
      </c>
      <c r="W103" s="5" t="n">
        <f aca="false">SUM(C103:V103)</f>
        <v>10</v>
      </c>
    </row>
    <row r="104" customFormat="false" ht="17.9" hidden="false" customHeight="false" outlineLevel="0" collapsed="false">
      <c r="A104" s="5" t="s">
        <v>137</v>
      </c>
      <c r="B104" s="5" t="s">
        <v>35</v>
      </c>
      <c r="C104" s="5" t="n">
        <v>1</v>
      </c>
      <c r="D104" s="5" t="n">
        <v>0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1</v>
      </c>
      <c r="J104" s="5" t="n">
        <v>0</v>
      </c>
      <c r="K104" s="5" t="n">
        <v>1</v>
      </c>
      <c r="L104" s="5" t="n">
        <v>1</v>
      </c>
      <c r="M104" s="5" t="n">
        <v>1</v>
      </c>
      <c r="N104" s="5" t="n">
        <v>1</v>
      </c>
      <c r="O104" s="5" t="n">
        <v>1</v>
      </c>
      <c r="P104" s="5" t="n">
        <v>1</v>
      </c>
      <c r="Q104" s="5" t="n">
        <v>1</v>
      </c>
      <c r="R104" s="5" t="n">
        <v>1</v>
      </c>
      <c r="S104" s="5" t="n">
        <v>1</v>
      </c>
      <c r="T104" s="5" t="n">
        <v>0</v>
      </c>
      <c r="U104" s="5" t="n">
        <v>0</v>
      </c>
      <c r="V104" s="5" t="n">
        <v>0</v>
      </c>
      <c r="W104" s="5" t="n">
        <f aca="false">SUM(C104:V104)</f>
        <v>13</v>
      </c>
    </row>
    <row r="105" customFormat="false" ht="17.9" hidden="false" customHeight="false" outlineLevel="0" collapsed="false">
      <c r="A105" s="5" t="s">
        <v>138</v>
      </c>
      <c r="B105" s="5" t="s">
        <v>35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1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f aca="false">SUM(C105:V105)</f>
        <v>3</v>
      </c>
    </row>
    <row r="106" customFormat="false" ht="17.9" hidden="false" customHeight="false" outlineLevel="0" collapsed="false">
      <c r="A106" s="5" t="s">
        <v>139</v>
      </c>
      <c r="B106" s="5" t="s">
        <v>35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1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f aca="false">SUM(C106:V106)</f>
        <v>1</v>
      </c>
    </row>
    <row r="107" customFormat="false" ht="17.9" hidden="false" customHeight="false" outlineLevel="0" collapsed="false">
      <c r="A107" s="5" t="s">
        <v>140</v>
      </c>
      <c r="B107" s="5" t="s">
        <v>35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1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1</v>
      </c>
      <c r="P107" s="5" t="n">
        <v>1</v>
      </c>
      <c r="Q107" s="5" t="n">
        <v>1</v>
      </c>
      <c r="R107" s="5" t="n">
        <v>1</v>
      </c>
      <c r="S107" s="5" t="n">
        <v>0</v>
      </c>
      <c r="T107" s="5" t="n">
        <v>1</v>
      </c>
      <c r="U107" s="5" t="n">
        <v>0</v>
      </c>
      <c r="V107" s="5" t="n">
        <v>0</v>
      </c>
      <c r="W107" s="5" t="n">
        <f aca="false">SUM(C107:V107)</f>
        <v>8</v>
      </c>
    </row>
    <row r="108" customFormat="false" ht="17.9" hidden="false" customHeight="false" outlineLevel="0" collapsed="false">
      <c r="A108" s="5" t="s">
        <v>141</v>
      </c>
      <c r="B108" s="5" t="s">
        <v>35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f aca="false">SUM(C108:V108)</f>
        <v>2</v>
      </c>
    </row>
    <row r="109" customFormat="false" ht="17.9" hidden="false" customHeight="false" outlineLevel="0" collapsed="false">
      <c r="A109" s="5" t="s">
        <v>142</v>
      </c>
      <c r="B109" s="5" t="s">
        <v>35</v>
      </c>
      <c r="C109" s="5" t="n">
        <v>0</v>
      </c>
      <c r="D109" s="5" t="n">
        <v>0</v>
      </c>
      <c r="E109" s="5" t="n">
        <v>1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1</v>
      </c>
      <c r="O109" s="5" t="n">
        <v>1</v>
      </c>
      <c r="P109" s="5" t="n">
        <v>0</v>
      </c>
      <c r="Q109" s="5" t="n">
        <v>1</v>
      </c>
      <c r="R109" s="5" t="n">
        <v>1</v>
      </c>
      <c r="S109" s="5" t="n">
        <v>1</v>
      </c>
      <c r="T109" s="5" t="n">
        <v>0</v>
      </c>
      <c r="U109" s="5" t="n">
        <v>0</v>
      </c>
      <c r="V109" s="5" t="n">
        <v>0</v>
      </c>
      <c r="W109" s="5" t="n">
        <f aca="false">SUM(C109:V109)</f>
        <v>10</v>
      </c>
    </row>
    <row r="110" customFormat="false" ht="17.9" hidden="false" customHeight="false" outlineLevel="0" collapsed="false">
      <c r="A110" s="5" t="s">
        <v>143</v>
      </c>
      <c r="B110" s="5" t="s">
        <v>35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1</v>
      </c>
      <c r="T110" s="5" t="n">
        <v>0</v>
      </c>
      <c r="U110" s="5" t="n">
        <v>0</v>
      </c>
      <c r="V110" s="5" t="n">
        <v>0</v>
      </c>
      <c r="W110" s="5" t="n">
        <f aca="false">SUM(C110:V110)</f>
        <v>3</v>
      </c>
    </row>
    <row r="111" customFormat="false" ht="17.9" hidden="false" customHeight="false" outlineLevel="0" collapsed="false">
      <c r="A111" s="5" t="s">
        <v>144</v>
      </c>
      <c r="B111" s="5" t="s">
        <v>35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f aca="false">SUM(C111:V111)</f>
        <v>3</v>
      </c>
    </row>
    <row r="112" customFormat="false" ht="17.9" hidden="false" customHeight="false" outlineLevel="0" collapsed="false">
      <c r="A112" s="5" t="s">
        <v>145</v>
      </c>
      <c r="B112" s="5" t="s">
        <v>35</v>
      </c>
      <c r="C112" s="5" t="n">
        <v>0</v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f aca="false">SUM(C112:V112)</f>
        <v>4</v>
      </c>
    </row>
    <row r="113" customFormat="false" ht="17.9" hidden="false" customHeight="false" outlineLevel="0" collapsed="false">
      <c r="A113" s="5" t="s">
        <v>146</v>
      </c>
      <c r="B113" s="5" t="s">
        <v>35</v>
      </c>
      <c r="C113" s="5" t="n">
        <v>1</v>
      </c>
      <c r="D113" s="5" t="n">
        <v>1</v>
      </c>
      <c r="E113" s="5" t="n">
        <v>1</v>
      </c>
      <c r="F113" s="5" t="n">
        <v>0</v>
      </c>
      <c r="G113" s="5" t="n">
        <v>1</v>
      </c>
      <c r="H113" s="5" t="n">
        <v>1</v>
      </c>
      <c r="I113" s="5" t="n">
        <v>1</v>
      </c>
      <c r="J113" s="5" t="n">
        <v>1</v>
      </c>
      <c r="K113" s="5" t="n">
        <v>1</v>
      </c>
      <c r="L113" s="5" t="n">
        <v>1</v>
      </c>
      <c r="M113" s="5" t="n">
        <v>1</v>
      </c>
      <c r="N113" s="5" t="n">
        <v>1</v>
      </c>
      <c r="O113" s="5" t="n">
        <v>1</v>
      </c>
      <c r="P113" s="5" t="n">
        <v>1</v>
      </c>
      <c r="Q113" s="5" t="n">
        <v>1</v>
      </c>
      <c r="R113" s="5" t="n">
        <v>1</v>
      </c>
      <c r="S113" s="5" t="n">
        <v>1</v>
      </c>
      <c r="T113" s="5" t="n">
        <v>1</v>
      </c>
      <c r="U113" s="5" t="n">
        <v>1</v>
      </c>
      <c r="V113" s="5" t="n">
        <v>1</v>
      </c>
      <c r="W113" s="5" t="n">
        <f aca="false">SUM(C113:V113)</f>
        <v>19</v>
      </c>
    </row>
    <row r="114" customFormat="false" ht="17.9" hidden="false" customHeight="false" outlineLevel="0" collapsed="false">
      <c r="A114" s="5" t="s">
        <v>147</v>
      </c>
      <c r="B114" s="5" t="s">
        <v>35</v>
      </c>
      <c r="C114" s="5" t="n">
        <v>1</v>
      </c>
      <c r="D114" s="5" t="n">
        <v>0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1</v>
      </c>
      <c r="L114" s="5" t="n">
        <v>1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1</v>
      </c>
      <c r="S114" s="5" t="n">
        <v>1</v>
      </c>
      <c r="T114" s="5" t="n">
        <v>0</v>
      </c>
      <c r="U114" s="5" t="n">
        <v>0</v>
      </c>
      <c r="V114" s="5" t="n">
        <v>0</v>
      </c>
      <c r="W114" s="5" t="n">
        <f aca="false">SUM(C114:V114)</f>
        <v>9</v>
      </c>
    </row>
    <row r="115" customFormat="false" ht="17.9" hidden="false" customHeight="false" outlineLevel="0" collapsed="false">
      <c r="A115" s="5" t="s">
        <v>148</v>
      </c>
      <c r="B115" s="5" t="s">
        <v>35</v>
      </c>
      <c r="C115" s="5" t="n">
        <v>0</v>
      </c>
      <c r="D115" s="5" t="n">
        <v>0</v>
      </c>
      <c r="E115" s="5" t="n">
        <v>1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1</v>
      </c>
      <c r="L115" s="5" t="n">
        <v>0</v>
      </c>
      <c r="M115" s="5" t="n">
        <v>0</v>
      </c>
      <c r="N115" s="5" t="n">
        <v>1</v>
      </c>
      <c r="O115" s="5" t="n">
        <v>0</v>
      </c>
      <c r="P115" s="5" t="n">
        <v>0</v>
      </c>
      <c r="Q115" s="5" t="n">
        <v>1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f aca="false">SUM(C115:V115)</f>
        <v>4</v>
      </c>
    </row>
    <row r="116" customFormat="false" ht="17.9" hidden="false" customHeight="false" outlineLevel="0" collapsed="false">
      <c r="A116" s="5" t="s">
        <v>149</v>
      </c>
      <c r="B116" s="5" t="s">
        <v>35</v>
      </c>
      <c r="C116" s="5" t="n">
        <v>0</v>
      </c>
      <c r="D116" s="5" t="n">
        <v>1</v>
      </c>
      <c r="E116" s="5" t="n">
        <v>0</v>
      </c>
      <c r="F116" s="5" t="n">
        <v>0</v>
      </c>
      <c r="G116" s="5" t="n">
        <v>0</v>
      </c>
      <c r="H116" s="5" t="n">
        <v>1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1</v>
      </c>
      <c r="O116" s="5" t="n">
        <v>1</v>
      </c>
      <c r="P116" s="5" t="n">
        <v>0</v>
      </c>
      <c r="Q116" s="5" t="n">
        <v>1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f aca="false">SUM(C116:V116)</f>
        <v>5</v>
      </c>
    </row>
    <row r="117" customFormat="false" ht="17.9" hidden="false" customHeight="false" outlineLevel="0" collapsed="false">
      <c r="A117" s="5" t="s">
        <v>150</v>
      </c>
      <c r="B117" s="5" t="s">
        <v>35</v>
      </c>
      <c r="C117" s="5" t="n">
        <v>1</v>
      </c>
      <c r="D117" s="5" t="n">
        <v>1</v>
      </c>
      <c r="E117" s="5" t="n">
        <v>1</v>
      </c>
      <c r="F117" s="5" t="n">
        <v>0</v>
      </c>
      <c r="G117" s="5" t="n">
        <v>1</v>
      </c>
      <c r="H117" s="5" t="n">
        <v>1</v>
      </c>
      <c r="I117" s="5" t="n">
        <v>1</v>
      </c>
      <c r="J117" s="5" t="n">
        <v>1</v>
      </c>
      <c r="K117" s="5" t="n">
        <v>1</v>
      </c>
      <c r="L117" s="5" t="n">
        <v>1</v>
      </c>
      <c r="M117" s="5" t="n">
        <v>1</v>
      </c>
      <c r="N117" s="5" t="n">
        <v>1</v>
      </c>
      <c r="O117" s="5" t="n">
        <v>1</v>
      </c>
      <c r="P117" s="5" t="n">
        <v>1</v>
      </c>
      <c r="Q117" s="5" t="n">
        <v>1</v>
      </c>
      <c r="R117" s="5" t="n">
        <v>1</v>
      </c>
      <c r="S117" s="5" t="n">
        <v>1</v>
      </c>
      <c r="T117" s="5" t="n">
        <v>1</v>
      </c>
      <c r="U117" s="5" t="n">
        <v>1</v>
      </c>
      <c r="V117" s="5" t="n">
        <v>1</v>
      </c>
      <c r="W117" s="5" t="n">
        <f aca="false">SUM(C117:V117)</f>
        <v>19</v>
      </c>
    </row>
    <row r="118" customFormat="false" ht="17.9" hidden="false" customHeight="false" outlineLevel="0" collapsed="false">
      <c r="A118" s="5" t="s">
        <v>151</v>
      </c>
      <c r="B118" s="5" t="s">
        <v>35</v>
      </c>
      <c r="C118" s="5" t="n">
        <v>1</v>
      </c>
      <c r="D118" s="5" t="n">
        <v>1</v>
      </c>
      <c r="E118" s="5" t="n">
        <v>1</v>
      </c>
      <c r="F118" s="5" t="n">
        <v>1</v>
      </c>
      <c r="G118" s="5" t="n">
        <v>1</v>
      </c>
      <c r="H118" s="5" t="n">
        <v>1</v>
      </c>
      <c r="I118" s="5" t="n">
        <v>1</v>
      </c>
      <c r="J118" s="5" t="n">
        <v>1</v>
      </c>
      <c r="K118" s="5" t="n">
        <v>1</v>
      </c>
      <c r="L118" s="5" t="n">
        <v>1</v>
      </c>
      <c r="M118" s="5" t="n">
        <v>1</v>
      </c>
      <c r="N118" s="5" t="n">
        <v>1</v>
      </c>
      <c r="O118" s="5" t="n">
        <v>1</v>
      </c>
      <c r="P118" s="5" t="n">
        <v>1</v>
      </c>
      <c r="Q118" s="5" t="n">
        <v>1</v>
      </c>
      <c r="R118" s="5" t="n">
        <v>1</v>
      </c>
      <c r="S118" s="5" t="n">
        <v>1</v>
      </c>
      <c r="T118" s="5" t="n">
        <v>0</v>
      </c>
      <c r="U118" s="5" t="n">
        <v>1</v>
      </c>
      <c r="V118" s="5" t="n">
        <v>1</v>
      </c>
      <c r="W118" s="5" t="n">
        <f aca="false">SUM(C118:V118)</f>
        <v>19</v>
      </c>
    </row>
    <row r="119" customFormat="false" ht="17.9" hidden="false" customHeight="false" outlineLevel="0" collapsed="false">
      <c r="A119" s="5" t="s">
        <v>152</v>
      </c>
      <c r="B119" s="5" t="s">
        <v>35</v>
      </c>
      <c r="C119" s="5" t="n">
        <v>1</v>
      </c>
      <c r="D119" s="5" t="n">
        <v>1</v>
      </c>
      <c r="E119" s="5" t="n">
        <v>1</v>
      </c>
      <c r="F119" s="5" t="n">
        <v>0</v>
      </c>
      <c r="G119" s="5" t="n">
        <v>0</v>
      </c>
      <c r="H119" s="5" t="n">
        <v>1</v>
      </c>
      <c r="I119" s="5" t="n">
        <v>1</v>
      </c>
      <c r="J119" s="5" t="n">
        <v>0</v>
      </c>
      <c r="K119" s="5" t="n">
        <v>1</v>
      </c>
      <c r="L119" s="5" t="n">
        <v>0</v>
      </c>
      <c r="M119" s="5" t="n">
        <v>1</v>
      </c>
      <c r="N119" s="5" t="n">
        <v>1</v>
      </c>
      <c r="O119" s="5" t="n">
        <v>1</v>
      </c>
      <c r="P119" s="5" t="n">
        <v>0</v>
      </c>
      <c r="Q119" s="5" t="n">
        <v>1</v>
      </c>
      <c r="R119" s="5" t="n">
        <v>0</v>
      </c>
      <c r="S119" s="5" t="n">
        <v>0</v>
      </c>
      <c r="T119" s="5" t="n">
        <v>1</v>
      </c>
      <c r="U119" s="5" t="n">
        <v>0</v>
      </c>
      <c r="V119" s="5" t="n">
        <v>1</v>
      </c>
      <c r="W119" s="5" t="n">
        <f aca="false">SUM(C119:V119)</f>
        <v>12</v>
      </c>
    </row>
    <row r="120" customFormat="false" ht="17.9" hidden="false" customHeight="false" outlineLevel="0" collapsed="false">
      <c r="A120" s="5" t="s">
        <v>153</v>
      </c>
      <c r="B120" s="5" t="s">
        <v>35</v>
      </c>
      <c r="C120" s="5" t="n">
        <v>1</v>
      </c>
      <c r="D120" s="5" t="n">
        <v>1</v>
      </c>
      <c r="E120" s="5" t="n">
        <v>1</v>
      </c>
      <c r="F120" s="5" t="n">
        <v>0</v>
      </c>
      <c r="G120" s="5" t="n">
        <v>1</v>
      </c>
      <c r="H120" s="5" t="n">
        <v>1</v>
      </c>
      <c r="I120" s="5" t="n">
        <v>0</v>
      </c>
      <c r="J120" s="5" t="n">
        <v>0</v>
      </c>
      <c r="K120" s="5" t="n">
        <v>1</v>
      </c>
      <c r="L120" s="5" t="n">
        <v>0</v>
      </c>
      <c r="M120" s="5" t="n">
        <v>0</v>
      </c>
      <c r="N120" s="5" t="n">
        <v>1</v>
      </c>
      <c r="O120" s="5" t="n">
        <v>0</v>
      </c>
      <c r="P120" s="5" t="n">
        <v>0</v>
      </c>
      <c r="Q120" s="5" t="n">
        <v>1</v>
      </c>
      <c r="R120" s="5" t="n">
        <v>1</v>
      </c>
      <c r="S120" s="5" t="n">
        <v>1</v>
      </c>
      <c r="T120" s="5" t="n">
        <v>0</v>
      </c>
      <c r="U120" s="5" t="n">
        <v>0</v>
      </c>
      <c r="V120" s="5" t="n">
        <v>0</v>
      </c>
      <c r="W120" s="5" t="n">
        <f aca="false">SUM(C120:V120)</f>
        <v>10</v>
      </c>
    </row>
    <row r="121" customFormat="false" ht="17.9" hidden="false" customHeight="false" outlineLevel="0" collapsed="false">
      <c r="A121" s="5" t="s">
        <v>154</v>
      </c>
      <c r="B121" s="5" t="s">
        <v>35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1</v>
      </c>
      <c r="I121" s="5" t="n">
        <v>0</v>
      </c>
      <c r="J121" s="5" t="n">
        <v>0</v>
      </c>
      <c r="K121" s="5" t="n">
        <v>1</v>
      </c>
      <c r="L121" s="5" t="n">
        <v>1</v>
      </c>
      <c r="M121" s="5" t="n">
        <v>0</v>
      </c>
      <c r="N121" s="5" t="n">
        <v>1</v>
      </c>
      <c r="O121" s="5" t="n">
        <v>0</v>
      </c>
      <c r="P121" s="5" t="n">
        <v>0</v>
      </c>
      <c r="Q121" s="5" t="n">
        <v>1</v>
      </c>
      <c r="R121" s="5" t="n">
        <v>0</v>
      </c>
      <c r="S121" s="5" t="n">
        <v>0</v>
      </c>
      <c r="T121" s="5" t="n">
        <v>1</v>
      </c>
      <c r="U121" s="5" t="n">
        <v>0</v>
      </c>
      <c r="V121" s="5" t="n">
        <v>0</v>
      </c>
      <c r="W121" s="5" t="n">
        <f aca="false">SUM(C121:V121)</f>
        <v>6</v>
      </c>
    </row>
    <row r="122" customFormat="false" ht="17.9" hidden="false" customHeight="false" outlineLevel="0" collapsed="false">
      <c r="A122" s="5" t="s">
        <v>155</v>
      </c>
      <c r="B122" s="5" t="s">
        <v>35</v>
      </c>
      <c r="C122" s="5" t="n">
        <v>1</v>
      </c>
      <c r="D122" s="5" t="n">
        <v>1</v>
      </c>
      <c r="E122" s="5" t="n">
        <v>1</v>
      </c>
      <c r="F122" s="5" t="n">
        <v>0</v>
      </c>
      <c r="G122" s="5" t="n">
        <v>1</v>
      </c>
      <c r="H122" s="5" t="n">
        <v>1</v>
      </c>
      <c r="I122" s="5" t="n">
        <v>0</v>
      </c>
      <c r="J122" s="5" t="n">
        <v>0</v>
      </c>
      <c r="K122" s="5" t="n">
        <v>1</v>
      </c>
      <c r="L122" s="5" t="n">
        <v>1</v>
      </c>
      <c r="M122" s="5" t="n">
        <v>1</v>
      </c>
      <c r="N122" s="5" t="n">
        <v>1</v>
      </c>
      <c r="O122" s="5" t="n">
        <v>0</v>
      </c>
      <c r="P122" s="5" t="n">
        <v>0</v>
      </c>
      <c r="Q122" s="5" t="n">
        <v>1</v>
      </c>
      <c r="R122" s="5" t="n">
        <v>1</v>
      </c>
      <c r="S122" s="5" t="n">
        <v>1</v>
      </c>
      <c r="T122" s="5" t="n">
        <v>1</v>
      </c>
      <c r="U122" s="5" t="n">
        <v>1</v>
      </c>
      <c r="V122" s="5" t="n">
        <v>0</v>
      </c>
      <c r="W122" s="5" t="n">
        <f aca="false">SUM(C122:V122)</f>
        <v>14</v>
      </c>
    </row>
    <row r="123" customFormat="false" ht="17.9" hidden="false" customHeight="false" outlineLevel="0" collapsed="false">
      <c r="A123" s="5" t="s">
        <v>156</v>
      </c>
      <c r="B123" s="5" t="s">
        <v>35</v>
      </c>
      <c r="C123" s="5" t="n">
        <v>1</v>
      </c>
      <c r="D123" s="5" t="n">
        <v>1</v>
      </c>
      <c r="E123" s="5" t="n">
        <v>1</v>
      </c>
      <c r="F123" s="5" t="n">
        <v>0</v>
      </c>
      <c r="G123" s="5" t="n">
        <v>0</v>
      </c>
      <c r="H123" s="5" t="n">
        <v>1</v>
      </c>
      <c r="I123" s="5" t="n">
        <v>0</v>
      </c>
      <c r="J123" s="5" t="n">
        <v>0</v>
      </c>
      <c r="K123" s="5" t="n">
        <v>1</v>
      </c>
      <c r="L123" s="5" t="n">
        <v>1</v>
      </c>
      <c r="M123" s="5" t="n">
        <v>1</v>
      </c>
      <c r="N123" s="5" t="n">
        <v>1</v>
      </c>
      <c r="O123" s="5" t="n">
        <v>0</v>
      </c>
      <c r="P123" s="5" t="n">
        <v>0</v>
      </c>
      <c r="Q123" s="5" t="n">
        <v>1</v>
      </c>
      <c r="R123" s="5" t="n">
        <v>1</v>
      </c>
      <c r="S123" s="5" t="n">
        <v>0</v>
      </c>
      <c r="T123" s="5" t="n">
        <v>1</v>
      </c>
      <c r="U123" s="5" t="n">
        <v>1</v>
      </c>
      <c r="V123" s="5" t="n">
        <v>1</v>
      </c>
      <c r="W123" s="5" t="n">
        <f aca="false">SUM(C123:V123)</f>
        <v>13</v>
      </c>
    </row>
    <row r="124" customFormat="false" ht="17.9" hidden="false" customHeight="false" outlineLevel="0" collapsed="false">
      <c r="A124" s="5" t="s">
        <v>157</v>
      </c>
      <c r="B124" s="5" t="s">
        <v>35</v>
      </c>
      <c r="C124" s="5" t="n">
        <v>1</v>
      </c>
      <c r="D124" s="5" t="n">
        <v>0</v>
      </c>
      <c r="E124" s="5" t="n">
        <v>1</v>
      </c>
      <c r="F124" s="5" t="n">
        <v>0</v>
      </c>
      <c r="G124" s="5" t="n">
        <v>0</v>
      </c>
      <c r="H124" s="5" t="n">
        <v>1</v>
      </c>
      <c r="I124" s="5" t="n">
        <v>0</v>
      </c>
      <c r="J124" s="5" t="n">
        <v>0</v>
      </c>
      <c r="K124" s="5" t="n">
        <v>1</v>
      </c>
      <c r="L124" s="5" t="n">
        <v>0</v>
      </c>
      <c r="M124" s="5" t="n">
        <v>0</v>
      </c>
      <c r="N124" s="5" t="n">
        <v>1</v>
      </c>
      <c r="O124" s="5" t="n">
        <v>0</v>
      </c>
      <c r="P124" s="5" t="n">
        <v>0</v>
      </c>
      <c r="Q124" s="5" t="n">
        <v>1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f aca="false">SUM(C124:V124)</f>
        <v>6</v>
      </c>
    </row>
    <row r="125" customFormat="false" ht="17.9" hidden="false" customHeight="false" outlineLevel="0" collapsed="false">
      <c r="A125" s="5" t="s">
        <v>158</v>
      </c>
      <c r="B125" s="5" t="s">
        <v>35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f aca="false">SUM(C125:V125)</f>
        <v>0</v>
      </c>
    </row>
    <row r="126" customFormat="false" ht="17.9" hidden="false" customHeight="false" outlineLevel="0" collapsed="false">
      <c r="A126" s="5" t="s">
        <v>159</v>
      </c>
      <c r="B126" s="5" t="s">
        <v>35</v>
      </c>
      <c r="C126" s="5" t="n">
        <v>1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1</v>
      </c>
      <c r="I126" s="5" t="n">
        <v>0</v>
      </c>
      <c r="J126" s="5" t="n">
        <v>0</v>
      </c>
      <c r="K126" s="5" t="n">
        <v>1</v>
      </c>
      <c r="L126" s="5" t="n">
        <v>0</v>
      </c>
      <c r="M126" s="5" t="n">
        <v>0</v>
      </c>
      <c r="N126" s="5" t="n">
        <v>1</v>
      </c>
      <c r="O126" s="5" t="n">
        <v>0</v>
      </c>
      <c r="P126" s="5" t="n">
        <v>0</v>
      </c>
      <c r="Q126" s="5" t="n">
        <v>1</v>
      </c>
      <c r="R126" s="5" t="n">
        <v>1</v>
      </c>
      <c r="S126" s="5" t="n">
        <v>1</v>
      </c>
      <c r="T126" s="5" t="n">
        <v>0</v>
      </c>
      <c r="U126" s="5" t="n">
        <v>0</v>
      </c>
      <c r="V126" s="5" t="n">
        <v>0</v>
      </c>
      <c r="W126" s="5" t="n">
        <f aca="false">SUM(C126:V126)</f>
        <v>7</v>
      </c>
    </row>
    <row r="127" customFormat="false" ht="17.9" hidden="false" customHeight="false" outlineLevel="0" collapsed="false">
      <c r="A127" s="5" t="s">
        <v>160</v>
      </c>
      <c r="B127" s="5" t="s">
        <v>35</v>
      </c>
      <c r="C127" s="5" t="n">
        <v>1</v>
      </c>
      <c r="D127" s="5" t="n">
        <v>0</v>
      </c>
      <c r="E127" s="5" t="n">
        <v>1</v>
      </c>
      <c r="F127" s="5" t="n">
        <v>0</v>
      </c>
      <c r="G127" s="5" t="n">
        <v>0</v>
      </c>
      <c r="H127" s="5" t="n">
        <v>1</v>
      </c>
      <c r="I127" s="5" t="n">
        <v>0</v>
      </c>
      <c r="J127" s="5" t="n">
        <v>0</v>
      </c>
      <c r="K127" s="5" t="n">
        <v>1</v>
      </c>
      <c r="L127" s="5" t="n">
        <v>0</v>
      </c>
      <c r="M127" s="5" t="n">
        <v>0</v>
      </c>
      <c r="N127" s="5" t="n">
        <v>1</v>
      </c>
      <c r="O127" s="5" t="n">
        <v>0</v>
      </c>
      <c r="P127" s="5" t="n">
        <v>0</v>
      </c>
      <c r="Q127" s="5" t="n">
        <v>0</v>
      </c>
      <c r="R127" s="5" t="n">
        <v>1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f aca="false">SUM(C127:V127)</f>
        <v>6</v>
      </c>
    </row>
    <row r="128" customFormat="false" ht="17.9" hidden="false" customHeight="false" outlineLevel="0" collapsed="false">
      <c r="A128" s="5" t="s">
        <v>161</v>
      </c>
      <c r="B128" s="5" t="s">
        <v>35</v>
      </c>
      <c r="C128" s="5" t="n">
        <v>1</v>
      </c>
      <c r="D128" s="5" t="n">
        <v>0</v>
      </c>
      <c r="E128" s="5" t="n">
        <v>0</v>
      </c>
      <c r="F128" s="5" t="n">
        <v>0</v>
      </c>
      <c r="G128" s="5" t="n">
        <v>1</v>
      </c>
      <c r="H128" s="5" t="n">
        <v>1</v>
      </c>
      <c r="I128" s="5" t="n">
        <v>0</v>
      </c>
      <c r="J128" s="5" t="n">
        <v>0</v>
      </c>
      <c r="K128" s="5" t="n">
        <v>1</v>
      </c>
      <c r="L128" s="5" t="n">
        <v>1</v>
      </c>
      <c r="M128" s="5" t="n">
        <v>0</v>
      </c>
      <c r="N128" s="5" t="n">
        <v>1</v>
      </c>
      <c r="O128" s="5" t="n">
        <v>0</v>
      </c>
      <c r="P128" s="5" t="n">
        <v>1</v>
      </c>
      <c r="Q128" s="5" t="n">
        <v>1</v>
      </c>
      <c r="R128" s="5" t="n">
        <v>1</v>
      </c>
      <c r="S128" s="5" t="n">
        <v>1</v>
      </c>
      <c r="T128" s="5" t="n">
        <v>0</v>
      </c>
      <c r="U128" s="5" t="n">
        <v>0</v>
      </c>
      <c r="V128" s="5" t="n">
        <v>0</v>
      </c>
      <c r="W128" s="5" t="n">
        <f aca="false">SUM(C128:V128)</f>
        <v>10</v>
      </c>
    </row>
    <row r="129" customFormat="false" ht="17.9" hidden="false" customHeight="false" outlineLevel="0" collapsed="false">
      <c r="A129" s="5" t="s">
        <v>162</v>
      </c>
      <c r="B129" s="5" t="s">
        <v>35</v>
      </c>
      <c r="C129" s="5" t="n">
        <v>0</v>
      </c>
      <c r="D129" s="5" t="n">
        <v>1</v>
      </c>
      <c r="E129" s="5" t="n">
        <v>1</v>
      </c>
      <c r="F129" s="5" t="n">
        <v>0</v>
      </c>
      <c r="G129" s="5" t="n">
        <v>1</v>
      </c>
      <c r="H129" s="5" t="n">
        <v>1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1</v>
      </c>
      <c r="O129" s="5" t="n">
        <v>1</v>
      </c>
      <c r="P129" s="5" t="n">
        <v>1</v>
      </c>
      <c r="Q129" s="5" t="n">
        <v>1</v>
      </c>
      <c r="R129" s="5" t="n">
        <v>1</v>
      </c>
      <c r="S129" s="5" t="n">
        <v>0</v>
      </c>
      <c r="T129" s="5" t="n">
        <v>1</v>
      </c>
      <c r="U129" s="5" t="n">
        <v>0</v>
      </c>
      <c r="V129" s="5" t="n">
        <v>0</v>
      </c>
      <c r="W129" s="5" t="n">
        <f aca="false">SUM(C129:V129)</f>
        <v>11</v>
      </c>
    </row>
    <row r="130" customFormat="false" ht="17.9" hidden="false" customHeight="false" outlineLevel="0" collapsed="false">
      <c r="A130" s="5" t="s">
        <v>163</v>
      </c>
      <c r="B130" s="5" t="s">
        <v>35</v>
      </c>
      <c r="C130" s="5" t="n">
        <v>1</v>
      </c>
      <c r="D130" s="5" t="n">
        <v>1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1</v>
      </c>
      <c r="L130" s="5" t="n">
        <v>1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1</v>
      </c>
      <c r="T130" s="5" t="n">
        <v>1</v>
      </c>
      <c r="U130" s="5" t="n">
        <v>0</v>
      </c>
      <c r="V130" s="5" t="n">
        <v>1</v>
      </c>
      <c r="W130" s="5" t="n">
        <f aca="false">SUM(C130:V130)</f>
        <v>12</v>
      </c>
    </row>
    <row r="131" customFormat="false" ht="17.9" hidden="false" customHeight="false" outlineLevel="0" collapsed="false">
      <c r="A131" s="5" t="s">
        <v>164</v>
      </c>
      <c r="B131" s="5" t="s">
        <v>35</v>
      </c>
      <c r="C131" s="5" t="n">
        <v>1</v>
      </c>
      <c r="D131" s="5" t="n">
        <v>1</v>
      </c>
      <c r="E131" s="5" t="n">
        <v>0</v>
      </c>
      <c r="F131" s="5" t="n">
        <v>1</v>
      </c>
      <c r="G131" s="5" t="n">
        <v>0</v>
      </c>
      <c r="H131" s="5" t="n">
        <v>1</v>
      </c>
      <c r="I131" s="5" t="n">
        <v>0</v>
      </c>
      <c r="J131" s="5" t="n">
        <v>0</v>
      </c>
      <c r="K131" s="5" t="n">
        <v>1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1</v>
      </c>
      <c r="S131" s="5" t="n">
        <v>0</v>
      </c>
      <c r="T131" s="5" t="n">
        <v>1</v>
      </c>
      <c r="U131" s="5" t="n">
        <v>0</v>
      </c>
      <c r="V131" s="5" t="n">
        <v>0</v>
      </c>
      <c r="W131" s="5" t="n">
        <f aca="false">SUM(C131:V131)</f>
        <v>8</v>
      </c>
    </row>
    <row r="132" customFormat="false" ht="17.9" hidden="false" customHeight="false" outlineLevel="0" collapsed="false">
      <c r="A132" s="5" t="s">
        <v>165</v>
      </c>
      <c r="B132" s="5" t="s">
        <v>35</v>
      </c>
      <c r="C132" s="5" t="n">
        <v>1</v>
      </c>
      <c r="D132" s="5" t="n">
        <v>0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f aca="false">SUM(C132:V132)</f>
        <v>6</v>
      </c>
    </row>
    <row r="133" customFormat="false" ht="17.9" hidden="false" customHeight="false" outlineLevel="0" collapsed="false">
      <c r="A133" s="5" t="s">
        <v>166</v>
      </c>
      <c r="B133" s="5" t="s">
        <v>35</v>
      </c>
      <c r="C133" s="5" t="n">
        <v>1</v>
      </c>
      <c r="D133" s="5" t="n">
        <v>1</v>
      </c>
      <c r="E133" s="5" t="n">
        <v>0</v>
      </c>
      <c r="F133" s="5" t="n">
        <v>0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1</v>
      </c>
      <c r="L133" s="5" t="n">
        <v>0</v>
      </c>
      <c r="M133" s="5" t="n">
        <v>1</v>
      </c>
      <c r="N133" s="5" t="n">
        <v>1</v>
      </c>
      <c r="O133" s="5" t="n">
        <v>1</v>
      </c>
      <c r="P133" s="5" t="n">
        <v>0</v>
      </c>
      <c r="Q133" s="5" t="n">
        <v>1</v>
      </c>
      <c r="R133" s="5" t="n">
        <v>1</v>
      </c>
      <c r="S133" s="5" t="n">
        <v>1</v>
      </c>
      <c r="T133" s="5" t="n">
        <v>1</v>
      </c>
      <c r="U133" s="5" t="n">
        <v>0</v>
      </c>
      <c r="V133" s="5" t="n">
        <v>0</v>
      </c>
      <c r="W133" s="5" t="n">
        <f aca="false">SUM(C133:V133)</f>
        <v>12</v>
      </c>
    </row>
    <row r="134" customFormat="false" ht="17.9" hidden="false" customHeight="false" outlineLevel="0" collapsed="false">
      <c r="A134" s="5" t="s">
        <v>167</v>
      </c>
      <c r="B134" s="5" t="s">
        <v>35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1</v>
      </c>
      <c r="U134" s="5" t="n">
        <v>0</v>
      </c>
      <c r="V134" s="5" t="n">
        <v>0</v>
      </c>
      <c r="W134" s="5" t="n">
        <f aca="false">SUM(C134:V134)</f>
        <v>3</v>
      </c>
    </row>
    <row r="135" customFormat="false" ht="17.9" hidden="false" customHeight="false" outlineLevel="0" collapsed="false">
      <c r="A135" s="5" t="s">
        <v>168</v>
      </c>
      <c r="B135" s="5" t="s">
        <v>35</v>
      </c>
      <c r="C135" s="5" t="n">
        <v>1</v>
      </c>
      <c r="D135" s="5" t="n">
        <v>0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1</v>
      </c>
      <c r="T135" s="5" t="n">
        <v>1</v>
      </c>
      <c r="U135" s="5" t="n">
        <v>0</v>
      </c>
      <c r="V135" s="5" t="n">
        <v>0</v>
      </c>
      <c r="W135" s="5" t="n">
        <f aca="false">SUM(C135:V135)</f>
        <v>7</v>
      </c>
    </row>
    <row r="136" customFormat="false" ht="17.9" hidden="false" customHeight="false" outlineLevel="0" collapsed="false">
      <c r="A136" s="5" t="s">
        <v>169</v>
      </c>
      <c r="B136" s="5" t="s">
        <v>35</v>
      </c>
      <c r="C136" s="5" t="n">
        <v>1</v>
      </c>
      <c r="D136" s="5" t="n">
        <v>1</v>
      </c>
      <c r="E136" s="5" t="n">
        <v>1</v>
      </c>
      <c r="F136" s="5" t="n">
        <v>0</v>
      </c>
      <c r="G136" s="5" t="n">
        <v>1</v>
      </c>
      <c r="H136" s="5" t="n">
        <v>1</v>
      </c>
      <c r="I136" s="5" t="n">
        <v>1</v>
      </c>
      <c r="J136" s="5" t="n">
        <v>0</v>
      </c>
      <c r="K136" s="5" t="n">
        <v>1</v>
      </c>
      <c r="L136" s="5" t="n">
        <v>1</v>
      </c>
      <c r="M136" s="5" t="n">
        <v>1</v>
      </c>
      <c r="N136" s="5" t="n">
        <v>1</v>
      </c>
      <c r="O136" s="5" t="n">
        <v>1</v>
      </c>
      <c r="P136" s="5" t="n">
        <v>0</v>
      </c>
      <c r="Q136" s="5" t="n">
        <v>1</v>
      </c>
      <c r="R136" s="5" t="n">
        <v>1</v>
      </c>
      <c r="S136" s="5" t="n">
        <v>1</v>
      </c>
      <c r="T136" s="5" t="n">
        <v>1</v>
      </c>
      <c r="U136" s="5" t="n">
        <v>0</v>
      </c>
      <c r="V136" s="5" t="n">
        <v>0</v>
      </c>
      <c r="W136" s="5" t="n">
        <f aca="false">SUM(C136:V136)</f>
        <v>15</v>
      </c>
    </row>
    <row r="137" customFormat="false" ht="17.9" hidden="false" customHeight="false" outlineLevel="0" collapsed="false">
      <c r="A137" s="5" t="s">
        <v>170</v>
      </c>
      <c r="B137" s="5" t="s">
        <v>35</v>
      </c>
      <c r="C137" s="5" t="n">
        <v>1</v>
      </c>
      <c r="D137" s="5" t="n">
        <v>1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1</v>
      </c>
      <c r="K137" s="5" t="n">
        <v>1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1</v>
      </c>
      <c r="T137" s="5" t="n">
        <v>1</v>
      </c>
      <c r="U137" s="5" t="n">
        <v>1</v>
      </c>
      <c r="V137" s="5" t="n">
        <v>1</v>
      </c>
      <c r="W137" s="5" t="n">
        <f aca="false">SUM(C137:V137)</f>
        <v>15</v>
      </c>
    </row>
    <row r="138" customFormat="false" ht="17.9" hidden="false" customHeight="false" outlineLevel="0" collapsed="false">
      <c r="A138" s="5" t="s">
        <v>171</v>
      </c>
      <c r="B138" s="5" t="s">
        <v>35</v>
      </c>
      <c r="C138" s="5" t="n">
        <v>0</v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1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1</v>
      </c>
      <c r="R138" s="5" t="n">
        <v>1</v>
      </c>
      <c r="S138" s="5" t="n">
        <v>1</v>
      </c>
      <c r="T138" s="5" t="n">
        <v>1</v>
      </c>
      <c r="U138" s="5" t="n">
        <v>0</v>
      </c>
      <c r="V138" s="5" t="n">
        <v>0</v>
      </c>
      <c r="W138" s="5" t="n">
        <f aca="false">SUM(C138:V138)</f>
        <v>9</v>
      </c>
    </row>
    <row r="139" customFormat="false" ht="17.9" hidden="false" customHeight="false" outlineLevel="0" collapsed="false">
      <c r="A139" s="5" t="s">
        <v>172</v>
      </c>
      <c r="B139" s="5" t="s">
        <v>35</v>
      </c>
      <c r="C139" s="5" t="n">
        <v>0</v>
      </c>
      <c r="D139" s="5" t="n">
        <v>0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1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1</v>
      </c>
      <c r="U139" s="5" t="n">
        <v>0</v>
      </c>
      <c r="V139" s="5" t="n">
        <v>0</v>
      </c>
      <c r="W139" s="5" t="n">
        <f aca="false">SUM(C139:V139)</f>
        <v>6</v>
      </c>
    </row>
    <row r="140" customFormat="false" ht="17.9" hidden="false" customHeight="false" outlineLevel="0" collapsed="false">
      <c r="A140" s="5" t="s">
        <v>173</v>
      </c>
      <c r="B140" s="5" t="s">
        <v>35</v>
      </c>
      <c r="C140" s="5" t="n">
        <v>0</v>
      </c>
      <c r="D140" s="5" t="n">
        <v>1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1</v>
      </c>
      <c r="T140" s="5" t="n">
        <v>1</v>
      </c>
      <c r="U140" s="5" t="n">
        <v>1</v>
      </c>
      <c r="V140" s="5" t="n">
        <v>0</v>
      </c>
      <c r="W140" s="5" t="n">
        <f aca="false">SUM(C140:V140)</f>
        <v>11</v>
      </c>
    </row>
    <row r="141" customFormat="false" ht="17.9" hidden="false" customHeight="false" outlineLevel="0" collapsed="false">
      <c r="A141" s="5" t="s">
        <v>174</v>
      </c>
      <c r="B141" s="5" t="s">
        <v>35</v>
      </c>
      <c r="C141" s="5" t="n">
        <v>1</v>
      </c>
      <c r="D141" s="5" t="n">
        <v>1</v>
      </c>
      <c r="E141" s="5" t="n">
        <v>1</v>
      </c>
      <c r="F141" s="5" t="n">
        <v>0</v>
      </c>
      <c r="G141" s="5" t="n">
        <v>0</v>
      </c>
      <c r="H141" s="5" t="n">
        <v>1</v>
      </c>
      <c r="I141" s="5" t="n">
        <v>0</v>
      </c>
      <c r="J141" s="5" t="n">
        <v>0</v>
      </c>
      <c r="K141" s="5" t="n">
        <v>1</v>
      </c>
      <c r="L141" s="5" t="n">
        <v>1</v>
      </c>
      <c r="M141" s="5" t="n">
        <v>0</v>
      </c>
      <c r="N141" s="5" t="n">
        <v>1</v>
      </c>
      <c r="O141" s="5" t="n">
        <v>1</v>
      </c>
      <c r="P141" s="5" t="n">
        <v>0</v>
      </c>
      <c r="Q141" s="5" t="n">
        <v>1</v>
      </c>
      <c r="R141" s="5" t="n">
        <v>1</v>
      </c>
      <c r="S141" s="5" t="n">
        <v>0</v>
      </c>
      <c r="T141" s="5" t="n">
        <v>1</v>
      </c>
      <c r="U141" s="5" t="n">
        <v>0</v>
      </c>
      <c r="V141" s="5" t="n">
        <v>0</v>
      </c>
      <c r="W141" s="5" t="n">
        <f aca="false">SUM(C141:V141)</f>
        <v>11</v>
      </c>
    </row>
    <row r="142" customFormat="false" ht="17.9" hidden="false" customHeight="false" outlineLevel="0" collapsed="false">
      <c r="A142" s="5" t="s">
        <v>175</v>
      </c>
      <c r="B142" s="5" t="s">
        <v>35</v>
      </c>
      <c r="C142" s="5" t="n">
        <v>1</v>
      </c>
      <c r="D142" s="5" t="n">
        <v>0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f aca="false">SUM(C142:V142)</f>
        <v>4</v>
      </c>
    </row>
    <row r="143" customFormat="false" ht="17.9" hidden="false" customHeight="false" outlineLevel="0" collapsed="false">
      <c r="A143" s="5" t="s">
        <v>176</v>
      </c>
      <c r="B143" s="5" t="s">
        <v>35</v>
      </c>
      <c r="C143" s="5" t="n">
        <v>0</v>
      </c>
      <c r="D143" s="5" t="n">
        <v>1</v>
      </c>
      <c r="E143" s="5" t="n">
        <v>1</v>
      </c>
      <c r="F143" s="5" t="n">
        <v>0</v>
      </c>
      <c r="G143" s="5" t="n">
        <v>0</v>
      </c>
      <c r="H143" s="5" t="n">
        <v>1</v>
      </c>
      <c r="I143" s="5" t="n">
        <v>0</v>
      </c>
      <c r="J143" s="5" t="n">
        <v>0</v>
      </c>
      <c r="K143" s="5" t="n">
        <v>1</v>
      </c>
      <c r="L143" s="5" t="n">
        <v>0</v>
      </c>
      <c r="M143" s="5" t="n">
        <v>0</v>
      </c>
      <c r="N143" s="5" t="n">
        <v>1</v>
      </c>
      <c r="O143" s="5" t="n">
        <v>1</v>
      </c>
      <c r="P143" s="5" t="n">
        <v>0</v>
      </c>
      <c r="Q143" s="5" t="n">
        <v>1</v>
      </c>
      <c r="R143" s="5" t="n">
        <v>0</v>
      </c>
      <c r="S143" s="5" t="n">
        <v>1</v>
      </c>
      <c r="T143" s="5" t="n">
        <v>0</v>
      </c>
      <c r="U143" s="5" t="n">
        <v>0</v>
      </c>
      <c r="V143" s="5" t="n">
        <v>0</v>
      </c>
      <c r="W143" s="5" t="n">
        <f aca="false">SUM(C143:V143)</f>
        <v>8</v>
      </c>
    </row>
    <row r="144" customFormat="false" ht="17.9" hidden="false" customHeight="false" outlineLevel="0" collapsed="false">
      <c r="A144" s="5" t="s">
        <v>177</v>
      </c>
      <c r="B144" s="5" t="s">
        <v>35</v>
      </c>
      <c r="C144" s="5" t="n">
        <v>1</v>
      </c>
      <c r="D144" s="5" t="n">
        <v>1</v>
      </c>
      <c r="E144" s="5" t="n">
        <v>1</v>
      </c>
      <c r="F144" s="5" t="n">
        <v>0</v>
      </c>
      <c r="G144" s="5" t="n">
        <v>0</v>
      </c>
      <c r="H144" s="5" t="n">
        <v>1</v>
      </c>
      <c r="I144" s="5" t="n">
        <v>1</v>
      </c>
      <c r="J144" s="5" t="n">
        <v>0</v>
      </c>
      <c r="K144" s="5" t="n">
        <v>1</v>
      </c>
      <c r="L144" s="5" t="n">
        <v>1</v>
      </c>
      <c r="M144" s="5" t="n">
        <v>0</v>
      </c>
      <c r="N144" s="5" t="n">
        <v>1</v>
      </c>
      <c r="O144" s="5" t="n">
        <v>0</v>
      </c>
      <c r="P144" s="5" t="n">
        <v>0</v>
      </c>
      <c r="Q144" s="5" t="n">
        <v>1</v>
      </c>
      <c r="R144" s="5" t="n">
        <v>1</v>
      </c>
      <c r="S144" s="5" t="n">
        <v>0</v>
      </c>
      <c r="T144" s="5" t="n">
        <v>1</v>
      </c>
      <c r="U144" s="5" t="n">
        <v>1</v>
      </c>
      <c r="V144" s="5" t="n">
        <v>0</v>
      </c>
      <c r="W144" s="5" t="n">
        <f aca="false">SUM(C144:V144)</f>
        <v>12</v>
      </c>
    </row>
    <row r="145" customFormat="false" ht="17.9" hidden="false" customHeight="false" outlineLevel="0" collapsed="false">
      <c r="A145" s="5" t="s">
        <v>178</v>
      </c>
      <c r="B145" s="5" t="s">
        <v>35</v>
      </c>
      <c r="C145" s="5" t="n">
        <v>0</v>
      </c>
      <c r="D145" s="5" t="n">
        <v>1</v>
      </c>
      <c r="E145" s="5" t="n">
        <v>1</v>
      </c>
      <c r="F145" s="5" t="n">
        <v>0</v>
      </c>
      <c r="G145" s="5" t="n">
        <v>0</v>
      </c>
      <c r="H145" s="5" t="n">
        <v>1</v>
      </c>
      <c r="I145" s="5" t="n">
        <v>0</v>
      </c>
      <c r="J145" s="5" t="n">
        <v>0</v>
      </c>
      <c r="K145" s="5" t="n">
        <v>0</v>
      </c>
      <c r="L145" s="5" t="n">
        <v>1</v>
      </c>
      <c r="M145" s="5" t="n">
        <v>0</v>
      </c>
      <c r="N145" s="5" t="n">
        <v>1</v>
      </c>
      <c r="O145" s="5" t="n">
        <v>1</v>
      </c>
      <c r="P145" s="5" t="n">
        <v>0</v>
      </c>
      <c r="Q145" s="5" t="n">
        <v>1</v>
      </c>
      <c r="R145" s="5" t="n">
        <v>0</v>
      </c>
      <c r="S145" s="5" t="n">
        <v>1</v>
      </c>
      <c r="T145" s="5" t="n">
        <v>0</v>
      </c>
      <c r="U145" s="5" t="n">
        <v>0</v>
      </c>
      <c r="V145" s="5" t="n">
        <v>0</v>
      </c>
      <c r="W145" s="5" t="n">
        <f aca="false">SUM(C145:V145)</f>
        <v>8</v>
      </c>
    </row>
    <row r="146" customFormat="false" ht="17.9" hidden="false" customHeight="false" outlineLevel="0" collapsed="false">
      <c r="A146" s="5" t="s">
        <v>179</v>
      </c>
      <c r="B146" s="5" t="s">
        <v>35</v>
      </c>
      <c r="C146" s="5" t="n">
        <v>0</v>
      </c>
      <c r="D146" s="5" t="n">
        <v>1</v>
      </c>
      <c r="E146" s="5" t="n">
        <v>1</v>
      </c>
      <c r="F146" s="5" t="n">
        <v>0</v>
      </c>
      <c r="G146" s="5" t="n">
        <v>0</v>
      </c>
      <c r="H146" s="5" t="n">
        <v>1</v>
      </c>
      <c r="I146" s="5" t="n">
        <v>0</v>
      </c>
      <c r="J146" s="5" t="n">
        <v>0</v>
      </c>
      <c r="K146" s="5" t="n">
        <v>1</v>
      </c>
      <c r="L146" s="5" t="n">
        <v>1</v>
      </c>
      <c r="M146" s="5" t="n">
        <v>0</v>
      </c>
      <c r="N146" s="5" t="n">
        <v>1</v>
      </c>
      <c r="O146" s="5" t="n">
        <v>1</v>
      </c>
      <c r="P146" s="5" t="n">
        <v>0</v>
      </c>
      <c r="Q146" s="5" t="n">
        <v>1</v>
      </c>
      <c r="R146" s="5" t="n">
        <v>1</v>
      </c>
      <c r="S146" s="5" t="n">
        <v>1</v>
      </c>
      <c r="T146" s="5" t="n">
        <v>0</v>
      </c>
      <c r="U146" s="5" t="n">
        <v>1</v>
      </c>
      <c r="V146" s="5" t="n">
        <v>0</v>
      </c>
      <c r="W146" s="5" t="n">
        <f aca="false">SUM(C146:V146)</f>
        <v>11</v>
      </c>
    </row>
    <row r="147" customFormat="false" ht="17.9" hidden="false" customHeight="false" outlineLevel="0" collapsed="false">
      <c r="A147" s="5" t="s">
        <v>180</v>
      </c>
      <c r="B147" s="5" t="s">
        <v>35</v>
      </c>
      <c r="C147" s="5" t="n">
        <v>0</v>
      </c>
      <c r="D147" s="5" t="n">
        <v>1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1</v>
      </c>
      <c r="L147" s="5" t="n">
        <v>0</v>
      </c>
      <c r="M147" s="5" t="n">
        <v>0</v>
      </c>
      <c r="N147" s="5" t="n">
        <v>1</v>
      </c>
      <c r="O147" s="5" t="n">
        <v>0</v>
      </c>
      <c r="P147" s="5" t="n">
        <v>1</v>
      </c>
      <c r="Q147" s="5" t="n">
        <v>1</v>
      </c>
      <c r="R147" s="5" t="n">
        <v>0</v>
      </c>
      <c r="S147" s="5" t="n">
        <v>0</v>
      </c>
      <c r="T147" s="5" t="n">
        <v>1</v>
      </c>
      <c r="U147" s="5" t="n">
        <v>0</v>
      </c>
      <c r="V147" s="5" t="n">
        <v>0</v>
      </c>
      <c r="W147" s="5" t="n">
        <f aca="false">SUM(C147:V147)</f>
        <v>6</v>
      </c>
    </row>
    <row r="148" customFormat="false" ht="17.9" hidden="false" customHeight="false" outlineLevel="0" collapsed="false">
      <c r="A148" s="5" t="s">
        <v>181</v>
      </c>
      <c r="B148" s="5" t="s">
        <v>35</v>
      </c>
      <c r="C148" s="5" t="n">
        <v>0</v>
      </c>
      <c r="D148" s="5" t="n">
        <v>1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1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1</v>
      </c>
      <c r="T148" s="5" t="n">
        <v>0</v>
      </c>
      <c r="U148" s="5" t="n">
        <v>0</v>
      </c>
      <c r="V148" s="5" t="n">
        <v>0</v>
      </c>
      <c r="W148" s="5" t="n">
        <f aca="false">SUM(C148:V148)</f>
        <v>3</v>
      </c>
    </row>
    <row r="149" customFormat="false" ht="17.9" hidden="false" customHeight="false" outlineLevel="0" collapsed="false">
      <c r="A149" s="5" t="s">
        <v>182</v>
      </c>
      <c r="B149" s="5" t="s">
        <v>35</v>
      </c>
      <c r="C149" s="5" t="n">
        <v>1</v>
      </c>
      <c r="D149" s="5" t="n">
        <v>1</v>
      </c>
      <c r="E149" s="5" t="n">
        <v>1</v>
      </c>
      <c r="F149" s="5" t="n">
        <v>1</v>
      </c>
      <c r="G149" s="5" t="n">
        <v>0</v>
      </c>
      <c r="H149" s="5" t="n">
        <v>1</v>
      </c>
      <c r="I149" s="5" t="n">
        <v>0</v>
      </c>
      <c r="J149" s="5" t="n">
        <v>0</v>
      </c>
      <c r="K149" s="5" t="n">
        <v>1</v>
      </c>
      <c r="L149" s="5" t="n">
        <v>0</v>
      </c>
      <c r="M149" s="5" t="n">
        <v>1</v>
      </c>
      <c r="N149" s="5" t="n">
        <v>1</v>
      </c>
      <c r="O149" s="5" t="n">
        <v>0</v>
      </c>
      <c r="P149" s="5" t="n">
        <v>0</v>
      </c>
      <c r="Q149" s="5" t="n">
        <v>1</v>
      </c>
      <c r="R149" s="5" t="n">
        <v>1</v>
      </c>
      <c r="S149" s="5" t="n">
        <v>1</v>
      </c>
      <c r="T149" s="5" t="n">
        <v>1</v>
      </c>
      <c r="U149" s="5" t="n">
        <v>1</v>
      </c>
      <c r="V149" s="5" t="n">
        <v>0</v>
      </c>
      <c r="W149" s="5" t="n">
        <f aca="false">SUM(C149:V149)</f>
        <v>13</v>
      </c>
    </row>
    <row r="150" customFormat="false" ht="17.9" hidden="false" customHeight="false" outlineLevel="0" collapsed="false">
      <c r="A150" s="5" t="s">
        <v>183</v>
      </c>
      <c r="B150" s="5" t="s">
        <v>35</v>
      </c>
      <c r="C150" s="5" t="n">
        <v>1</v>
      </c>
      <c r="D150" s="5" t="n">
        <v>1</v>
      </c>
      <c r="E150" s="5" t="n">
        <v>1</v>
      </c>
      <c r="F150" s="5" t="n">
        <v>0</v>
      </c>
      <c r="G150" s="5" t="n">
        <v>0</v>
      </c>
      <c r="H150" s="5" t="n">
        <v>1</v>
      </c>
      <c r="I150" s="5" t="n">
        <v>1</v>
      </c>
      <c r="J150" s="5" t="n">
        <v>0</v>
      </c>
      <c r="K150" s="5" t="n">
        <v>1</v>
      </c>
      <c r="L150" s="5" t="n">
        <v>1</v>
      </c>
      <c r="M150" s="5" t="n">
        <v>1</v>
      </c>
      <c r="N150" s="5" t="n">
        <v>1</v>
      </c>
      <c r="O150" s="5" t="n">
        <v>0</v>
      </c>
      <c r="P150" s="5" t="n">
        <v>0</v>
      </c>
      <c r="Q150" s="5" t="n">
        <v>1</v>
      </c>
      <c r="R150" s="5" t="n">
        <v>1</v>
      </c>
      <c r="S150" s="5" t="n">
        <v>1</v>
      </c>
      <c r="T150" s="5" t="n">
        <v>0</v>
      </c>
      <c r="U150" s="5" t="n">
        <v>1</v>
      </c>
      <c r="V150" s="5" t="n">
        <v>0</v>
      </c>
      <c r="W150" s="5" t="n">
        <f aca="false">SUM(C150:V150)</f>
        <v>13</v>
      </c>
    </row>
    <row r="151" customFormat="false" ht="17.9" hidden="false" customHeight="false" outlineLevel="0" collapsed="false">
      <c r="A151" s="5" t="s">
        <v>184</v>
      </c>
      <c r="B151" s="5" t="s">
        <v>35</v>
      </c>
      <c r="C151" s="5" t="n">
        <v>1</v>
      </c>
      <c r="D151" s="5" t="n">
        <v>1</v>
      </c>
      <c r="E151" s="5" t="n">
        <v>1</v>
      </c>
      <c r="F151" s="5" t="n">
        <v>1</v>
      </c>
      <c r="G151" s="5" t="n">
        <v>1</v>
      </c>
      <c r="H151" s="5" t="n">
        <v>1</v>
      </c>
      <c r="I151" s="5" t="n">
        <v>0</v>
      </c>
      <c r="J151" s="5" t="n">
        <v>0</v>
      </c>
      <c r="K151" s="5" t="n">
        <v>1</v>
      </c>
      <c r="L151" s="5" t="n">
        <v>0</v>
      </c>
      <c r="M151" s="5" t="n">
        <v>1</v>
      </c>
      <c r="N151" s="5" t="n">
        <v>1</v>
      </c>
      <c r="O151" s="5" t="n">
        <v>0</v>
      </c>
      <c r="P151" s="5" t="n">
        <v>1</v>
      </c>
      <c r="Q151" s="5" t="n">
        <v>1</v>
      </c>
      <c r="R151" s="5" t="n">
        <v>0</v>
      </c>
      <c r="S151" s="5" t="n">
        <v>1</v>
      </c>
      <c r="T151" s="5" t="n">
        <v>0</v>
      </c>
      <c r="U151" s="5" t="n">
        <v>0</v>
      </c>
      <c r="V151" s="5" t="n">
        <v>0</v>
      </c>
      <c r="W151" s="5" t="n">
        <f aca="false">SUM(C151:V151)</f>
        <v>12</v>
      </c>
    </row>
    <row r="152" customFormat="false" ht="17.9" hidden="false" customHeight="false" outlineLevel="0" collapsed="false">
      <c r="A152" s="5" t="s">
        <v>185</v>
      </c>
      <c r="B152" s="5" t="s">
        <v>35</v>
      </c>
      <c r="C152" s="5" t="n">
        <v>1</v>
      </c>
      <c r="D152" s="5" t="n">
        <v>1</v>
      </c>
      <c r="E152" s="5" t="n">
        <v>1</v>
      </c>
      <c r="F152" s="5" t="n">
        <v>0</v>
      </c>
      <c r="G152" s="5" t="n">
        <v>0</v>
      </c>
      <c r="H152" s="5" t="n">
        <v>1</v>
      </c>
      <c r="I152" s="5" t="n">
        <v>0</v>
      </c>
      <c r="J152" s="5" t="n">
        <v>0</v>
      </c>
      <c r="K152" s="5" t="n">
        <v>1</v>
      </c>
      <c r="L152" s="5" t="n">
        <v>1</v>
      </c>
      <c r="M152" s="5" t="n">
        <v>0</v>
      </c>
      <c r="N152" s="5" t="n">
        <v>1</v>
      </c>
      <c r="O152" s="5" t="n">
        <v>1</v>
      </c>
      <c r="P152" s="5" t="n">
        <v>1</v>
      </c>
      <c r="Q152" s="5" t="n">
        <v>1</v>
      </c>
      <c r="R152" s="5" t="n">
        <v>1</v>
      </c>
      <c r="S152" s="5" t="n">
        <v>1</v>
      </c>
      <c r="T152" s="5" t="n">
        <v>0</v>
      </c>
      <c r="U152" s="5" t="n">
        <v>0</v>
      </c>
      <c r="V152" s="5" t="n">
        <v>0</v>
      </c>
      <c r="W152" s="5" t="n">
        <f aca="false">SUM(C152:V152)</f>
        <v>12</v>
      </c>
    </row>
    <row r="153" customFormat="false" ht="17.9" hidden="false" customHeight="false" outlineLevel="0" collapsed="false">
      <c r="A153" s="5" t="s">
        <v>186</v>
      </c>
      <c r="B153" s="5" t="s">
        <v>35</v>
      </c>
      <c r="C153" s="5" t="n">
        <v>0</v>
      </c>
      <c r="D153" s="5" t="n">
        <v>1</v>
      </c>
      <c r="E153" s="5" t="n">
        <v>1</v>
      </c>
      <c r="F153" s="5" t="n">
        <v>0</v>
      </c>
      <c r="G153" s="5" t="n">
        <v>1</v>
      </c>
      <c r="H153" s="5" t="n">
        <v>0</v>
      </c>
      <c r="I153" s="5" t="n">
        <v>0</v>
      </c>
      <c r="J153" s="5" t="n">
        <v>0</v>
      </c>
      <c r="K153" s="5" t="n">
        <v>1</v>
      </c>
      <c r="L153" s="5" t="n">
        <v>0</v>
      </c>
      <c r="M153" s="5" t="n">
        <v>0</v>
      </c>
      <c r="N153" s="5" t="n">
        <v>1</v>
      </c>
      <c r="O153" s="5" t="n">
        <v>0</v>
      </c>
      <c r="P153" s="5" t="n">
        <v>0</v>
      </c>
      <c r="Q153" s="5" t="n">
        <v>1</v>
      </c>
      <c r="R153" s="5" t="n">
        <v>1</v>
      </c>
      <c r="S153" s="5" t="n">
        <v>1</v>
      </c>
      <c r="T153" s="5" t="n">
        <v>1</v>
      </c>
      <c r="U153" s="5" t="n">
        <v>1</v>
      </c>
      <c r="V153" s="5" t="n">
        <v>0</v>
      </c>
      <c r="W153" s="5" t="n">
        <f aca="false">SUM(C153:V153)</f>
        <v>10</v>
      </c>
    </row>
    <row r="154" customFormat="false" ht="17.9" hidden="false" customHeight="false" outlineLevel="0" collapsed="false">
      <c r="A154" s="5" t="s">
        <v>187</v>
      </c>
      <c r="B154" s="5" t="s">
        <v>35</v>
      </c>
      <c r="C154" s="5" t="n">
        <v>1</v>
      </c>
      <c r="D154" s="5" t="n">
        <v>1</v>
      </c>
      <c r="E154" s="5" t="n">
        <v>1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1</v>
      </c>
      <c r="L154" s="5" t="n">
        <v>1</v>
      </c>
      <c r="M154" s="5" t="n">
        <v>1</v>
      </c>
      <c r="N154" s="5" t="n">
        <v>1</v>
      </c>
      <c r="O154" s="5" t="n">
        <v>1</v>
      </c>
      <c r="P154" s="5" t="n">
        <v>0</v>
      </c>
      <c r="Q154" s="5" t="n">
        <v>1</v>
      </c>
      <c r="R154" s="5" t="n">
        <v>1</v>
      </c>
      <c r="S154" s="5" t="n">
        <v>1</v>
      </c>
      <c r="T154" s="5" t="n">
        <v>0</v>
      </c>
      <c r="U154" s="5" t="n">
        <v>1</v>
      </c>
      <c r="V154" s="5" t="n">
        <v>0</v>
      </c>
      <c r="W154" s="5" t="n">
        <f aca="false">SUM(C154:V154)</f>
        <v>12</v>
      </c>
    </row>
    <row r="155" customFormat="false" ht="17.9" hidden="false" customHeight="false" outlineLevel="0" collapsed="false">
      <c r="A155" s="5" t="s">
        <v>188</v>
      </c>
      <c r="B155" s="5" t="s">
        <v>35</v>
      </c>
      <c r="C155" s="5" t="n">
        <v>1</v>
      </c>
      <c r="D155" s="5" t="n">
        <v>0</v>
      </c>
      <c r="E155" s="5" t="n">
        <v>1</v>
      </c>
      <c r="F155" s="5" t="n">
        <v>1</v>
      </c>
      <c r="G155" s="5" t="n">
        <v>1</v>
      </c>
      <c r="H155" s="5" t="n">
        <v>1</v>
      </c>
      <c r="I155" s="5" t="n">
        <v>1</v>
      </c>
      <c r="J155" s="5" t="n">
        <v>0</v>
      </c>
      <c r="K155" s="5" t="n">
        <v>1</v>
      </c>
      <c r="L155" s="5" t="n">
        <v>0</v>
      </c>
      <c r="M155" s="5" t="n">
        <v>1</v>
      </c>
      <c r="N155" s="5" t="n">
        <v>1</v>
      </c>
      <c r="O155" s="5" t="n">
        <v>1</v>
      </c>
      <c r="P155" s="5" t="n">
        <v>1</v>
      </c>
      <c r="Q155" s="5" t="n">
        <v>1</v>
      </c>
      <c r="R155" s="5" t="n">
        <v>1</v>
      </c>
      <c r="S155" s="5" t="n">
        <v>1</v>
      </c>
      <c r="T155" s="5" t="n">
        <v>1</v>
      </c>
      <c r="U155" s="5" t="n">
        <v>1</v>
      </c>
      <c r="V155" s="5" t="n">
        <v>0</v>
      </c>
      <c r="W155" s="5" t="n">
        <f aca="false">SUM(C155:V155)</f>
        <v>16</v>
      </c>
    </row>
    <row r="156" customFormat="false" ht="17.9" hidden="false" customHeight="false" outlineLevel="0" collapsed="false">
      <c r="A156" s="5" t="s">
        <v>189</v>
      </c>
      <c r="B156" s="5" t="s">
        <v>35</v>
      </c>
      <c r="C156" s="5" t="n">
        <v>1</v>
      </c>
      <c r="D156" s="5" t="n">
        <v>1</v>
      </c>
      <c r="E156" s="5" t="n">
        <v>1</v>
      </c>
      <c r="F156" s="5" t="n">
        <v>0</v>
      </c>
      <c r="G156" s="5" t="n">
        <v>1</v>
      </c>
      <c r="H156" s="5" t="n">
        <v>1</v>
      </c>
      <c r="I156" s="5" t="n">
        <v>1</v>
      </c>
      <c r="J156" s="5" t="n">
        <v>1</v>
      </c>
      <c r="K156" s="5" t="n">
        <v>1</v>
      </c>
      <c r="L156" s="5" t="n">
        <v>1</v>
      </c>
      <c r="M156" s="5" t="n">
        <v>1</v>
      </c>
      <c r="N156" s="5" t="n">
        <v>1</v>
      </c>
      <c r="O156" s="5" t="n">
        <v>1</v>
      </c>
      <c r="P156" s="5" t="n">
        <v>1</v>
      </c>
      <c r="Q156" s="5" t="n">
        <v>1</v>
      </c>
      <c r="R156" s="5" t="n">
        <v>1</v>
      </c>
      <c r="S156" s="5" t="n">
        <v>1</v>
      </c>
      <c r="T156" s="5" t="n">
        <v>1</v>
      </c>
      <c r="U156" s="5" t="n">
        <v>0</v>
      </c>
      <c r="V156" s="5" t="n">
        <v>1</v>
      </c>
      <c r="W156" s="5" t="n">
        <f aca="false">SUM(C156:V156)</f>
        <v>18</v>
      </c>
    </row>
    <row r="157" customFormat="false" ht="17.9" hidden="false" customHeight="false" outlineLevel="0" collapsed="false">
      <c r="A157" s="5" t="s">
        <v>190</v>
      </c>
      <c r="B157" s="5" t="s">
        <v>35</v>
      </c>
      <c r="C157" s="5" t="n">
        <v>1</v>
      </c>
      <c r="D157" s="5" t="n">
        <v>1</v>
      </c>
      <c r="E157" s="5" t="n">
        <v>1</v>
      </c>
      <c r="F157" s="5" t="n">
        <v>1</v>
      </c>
      <c r="G157" s="5" t="n">
        <v>1</v>
      </c>
      <c r="H157" s="5" t="n">
        <v>1</v>
      </c>
      <c r="I157" s="5" t="n">
        <v>1</v>
      </c>
      <c r="J157" s="5" t="n">
        <v>0</v>
      </c>
      <c r="K157" s="5" t="n">
        <v>1</v>
      </c>
      <c r="L157" s="5" t="n">
        <v>1</v>
      </c>
      <c r="M157" s="5" t="n">
        <v>1</v>
      </c>
      <c r="N157" s="5" t="n">
        <v>1</v>
      </c>
      <c r="O157" s="5" t="n">
        <v>1</v>
      </c>
      <c r="P157" s="5" t="n">
        <v>1</v>
      </c>
      <c r="Q157" s="5" t="n">
        <v>1</v>
      </c>
      <c r="R157" s="5" t="n">
        <v>1</v>
      </c>
      <c r="S157" s="5" t="n">
        <v>1</v>
      </c>
      <c r="T157" s="5" t="n">
        <v>1</v>
      </c>
      <c r="U157" s="5" t="n">
        <v>1</v>
      </c>
      <c r="V157" s="5" t="n">
        <v>1</v>
      </c>
      <c r="W157" s="5" t="n">
        <f aca="false">SUM(C157:V157)</f>
        <v>19</v>
      </c>
    </row>
    <row r="158" customFormat="false" ht="17.9" hidden="false" customHeight="false" outlineLevel="0" collapsed="false">
      <c r="A158" s="5" t="s">
        <v>191</v>
      </c>
      <c r="B158" s="5" t="s">
        <v>35</v>
      </c>
      <c r="C158" s="5" t="n">
        <v>1</v>
      </c>
      <c r="D158" s="5" t="n">
        <v>1</v>
      </c>
      <c r="E158" s="5" t="n">
        <v>1</v>
      </c>
      <c r="F158" s="5" t="n">
        <v>0</v>
      </c>
      <c r="G158" s="5" t="n">
        <v>1</v>
      </c>
      <c r="H158" s="5" t="n">
        <v>1</v>
      </c>
      <c r="I158" s="5" t="n">
        <v>0</v>
      </c>
      <c r="J158" s="5" t="n">
        <v>1</v>
      </c>
      <c r="K158" s="5" t="n">
        <v>1</v>
      </c>
      <c r="L158" s="5" t="n">
        <v>1</v>
      </c>
      <c r="M158" s="5" t="n">
        <v>1</v>
      </c>
      <c r="N158" s="5" t="n">
        <v>1</v>
      </c>
      <c r="O158" s="5" t="n">
        <v>1</v>
      </c>
      <c r="P158" s="5" t="n">
        <v>0</v>
      </c>
      <c r="Q158" s="5" t="n">
        <v>1</v>
      </c>
      <c r="R158" s="5" t="n">
        <v>1</v>
      </c>
      <c r="S158" s="5" t="n">
        <v>1</v>
      </c>
      <c r="T158" s="5" t="n">
        <v>0</v>
      </c>
      <c r="U158" s="5" t="n">
        <v>1</v>
      </c>
      <c r="V158" s="5" t="n">
        <v>0</v>
      </c>
      <c r="W158" s="5" t="n">
        <f aca="false">SUM(C158:V158)</f>
        <v>15</v>
      </c>
    </row>
    <row r="159" customFormat="false" ht="17.9" hidden="false" customHeight="false" outlineLevel="0" collapsed="false">
      <c r="A159" s="5" t="s">
        <v>192</v>
      </c>
      <c r="B159" s="5" t="s">
        <v>35</v>
      </c>
      <c r="C159" s="5" t="n">
        <v>0</v>
      </c>
      <c r="D159" s="5" t="n">
        <v>0</v>
      </c>
      <c r="E159" s="5" t="n">
        <v>1</v>
      </c>
      <c r="F159" s="5" t="n">
        <v>0</v>
      </c>
      <c r="G159" s="5" t="n">
        <v>0</v>
      </c>
      <c r="H159" s="5" t="n">
        <v>1</v>
      </c>
      <c r="I159" s="5" t="n">
        <v>0</v>
      </c>
      <c r="J159" s="5" t="n">
        <v>0</v>
      </c>
      <c r="K159" s="5" t="n">
        <v>1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1</v>
      </c>
      <c r="R159" s="5" t="n">
        <v>0</v>
      </c>
      <c r="S159" s="5" t="n">
        <v>1</v>
      </c>
      <c r="T159" s="5" t="n">
        <v>0</v>
      </c>
      <c r="U159" s="5" t="n">
        <v>1</v>
      </c>
      <c r="V159" s="5" t="n">
        <v>0</v>
      </c>
      <c r="W159" s="5" t="n">
        <f aca="false">SUM(C159:V159)</f>
        <v>7</v>
      </c>
    </row>
    <row r="160" customFormat="false" ht="17.9" hidden="false" customHeight="false" outlineLevel="0" collapsed="false">
      <c r="A160" s="5" t="s">
        <v>193</v>
      </c>
      <c r="B160" s="5" t="s">
        <v>35</v>
      </c>
      <c r="C160" s="5" t="n">
        <v>1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f aca="false">SUM(C160:V160)</f>
        <v>4</v>
      </c>
    </row>
    <row r="161" customFormat="false" ht="17.9" hidden="false" customHeight="false" outlineLevel="0" collapsed="false">
      <c r="A161" s="5" t="s">
        <v>194</v>
      </c>
      <c r="B161" s="5" t="s">
        <v>35</v>
      </c>
      <c r="C161" s="5" t="n">
        <v>0</v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1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f aca="false">SUM(C161:V161)</f>
        <v>4</v>
      </c>
    </row>
    <row r="162" customFormat="false" ht="17.9" hidden="false" customHeight="false" outlineLevel="0" collapsed="false">
      <c r="A162" s="5" t="s">
        <v>195</v>
      </c>
      <c r="B162" s="5" t="s">
        <v>35</v>
      </c>
      <c r="C162" s="5" t="n">
        <v>1</v>
      </c>
      <c r="D162" s="5" t="n">
        <v>1</v>
      </c>
      <c r="E162" s="5" t="n">
        <v>1</v>
      </c>
      <c r="F162" s="5" t="n">
        <v>0</v>
      </c>
      <c r="G162" s="5" t="n">
        <v>1</v>
      </c>
      <c r="H162" s="5" t="n">
        <v>1</v>
      </c>
      <c r="I162" s="5" t="n">
        <v>1</v>
      </c>
      <c r="J162" s="5" t="n">
        <v>1</v>
      </c>
      <c r="K162" s="5" t="n">
        <v>1</v>
      </c>
      <c r="L162" s="5" t="n">
        <v>1</v>
      </c>
      <c r="M162" s="5" t="n">
        <v>1</v>
      </c>
      <c r="N162" s="5" t="n">
        <v>1</v>
      </c>
      <c r="O162" s="5" t="n">
        <v>1</v>
      </c>
      <c r="P162" s="5" t="n">
        <v>1</v>
      </c>
      <c r="Q162" s="5" t="n">
        <v>1</v>
      </c>
      <c r="R162" s="5" t="n">
        <v>1</v>
      </c>
      <c r="S162" s="5" t="n">
        <v>1</v>
      </c>
      <c r="T162" s="5" t="n">
        <v>1</v>
      </c>
      <c r="U162" s="5" t="n">
        <v>1</v>
      </c>
      <c r="V162" s="5" t="n">
        <v>0</v>
      </c>
      <c r="W162" s="5" t="n">
        <f aca="false">SUM(C162:V162)</f>
        <v>18</v>
      </c>
    </row>
    <row r="163" customFormat="false" ht="17.9" hidden="false" customHeight="false" outlineLevel="0" collapsed="false">
      <c r="A163" s="5" t="s">
        <v>196</v>
      </c>
      <c r="B163" s="5" t="s">
        <v>35</v>
      </c>
      <c r="C163" s="5" t="n">
        <v>1</v>
      </c>
      <c r="D163" s="5" t="n">
        <v>1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1</v>
      </c>
      <c r="T163" s="5" t="n">
        <v>0</v>
      </c>
      <c r="U163" s="5" t="n">
        <v>1</v>
      </c>
      <c r="V163" s="5" t="n">
        <v>0</v>
      </c>
      <c r="W163" s="5" t="n">
        <f aca="false">SUM(C163:V163)</f>
        <v>9</v>
      </c>
    </row>
    <row r="164" customFormat="false" ht="17.9" hidden="false" customHeight="false" outlineLevel="0" collapsed="false">
      <c r="A164" s="5" t="s">
        <v>197</v>
      </c>
      <c r="B164" s="5" t="s">
        <v>35</v>
      </c>
      <c r="C164" s="5" t="n">
        <v>0</v>
      </c>
      <c r="D164" s="5" t="n">
        <v>1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1</v>
      </c>
      <c r="N164" s="5" t="n">
        <v>1</v>
      </c>
      <c r="O164" s="5" t="n">
        <v>1</v>
      </c>
      <c r="P164" s="5" t="n">
        <v>0</v>
      </c>
      <c r="Q164" s="5" t="n">
        <v>1</v>
      </c>
      <c r="R164" s="5" t="n">
        <v>1</v>
      </c>
      <c r="S164" s="5" t="n">
        <v>1</v>
      </c>
      <c r="T164" s="5" t="n">
        <v>1</v>
      </c>
      <c r="U164" s="5" t="n">
        <v>0</v>
      </c>
      <c r="V164" s="5" t="n">
        <v>0</v>
      </c>
      <c r="W164" s="5" t="n">
        <f aca="false">SUM(C164:V164)</f>
        <v>12</v>
      </c>
    </row>
    <row r="165" customFormat="false" ht="17.9" hidden="false" customHeight="false" outlineLevel="0" collapsed="false">
      <c r="A165" s="5" t="s">
        <v>198</v>
      </c>
      <c r="B165" s="5" t="s">
        <v>35</v>
      </c>
      <c r="C165" s="5" t="n">
        <v>0</v>
      </c>
      <c r="D165" s="5" t="n">
        <v>1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1</v>
      </c>
      <c r="J165" s="5" t="n">
        <v>1</v>
      </c>
      <c r="K165" s="5" t="n">
        <v>1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1</v>
      </c>
      <c r="T165" s="5" t="n">
        <v>0</v>
      </c>
      <c r="U165" s="5" t="n">
        <v>0</v>
      </c>
      <c r="V165" s="5" t="n">
        <v>0</v>
      </c>
      <c r="W165" s="5" t="n">
        <f aca="false">SUM(C165:V165)</f>
        <v>11</v>
      </c>
    </row>
    <row r="166" customFormat="false" ht="17.9" hidden="false" customHeight="false" outlineLevel="0" collapsed="false">
      <c r="A166" s="5" t="s">
        <v>199</v>
      </c>
      <c r="B166" s="5" t="s">
        <v>35</v>
      </c>
      <c r="C166" s="5" t="n">
        <v>1</v>
      </c>
      <c r="D166" s="5" t="n">
        <v>0</v>
      </c>
      <c r="E166" s="5" t="n">
        <v>0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1</v>
      </c>
      <c r="L166" s="5" t="n">
        <v>1</v>
      </c>
      <c r="M166" s="5" t="n">
        <v>1</v>
      </c>
      <c r="N166" s="5" t="n">
        <v>1</v>
      </c>
      <c r="O166" s="5" t="n">
        <v>0</v>
      </c>
      <c r="P166" s="5" t="n">
        <v>0</v>
      </c>
      <c r="Q166" s="5" t="n">
        <v>1</v>
      </c>
      <c r="R166" s="5" t="n">
        <v>1</v>
      </c>
      <c r="S166" s="5" t="n">
        <v>0</v>
      </c>
      <c r="T166" s="5" t="n">
        <v>1</v>
      </c>
      <c r="U166" s="5" t="n">
        <v>1</v>
      </c>
      <c r="V166" s="5" t="n">
        <v>0</v>
      </c>
      <c r="W166" s="5" t="n">
        <f aca="false">SUM(C166:V166)</f>
        <v>10</v>
      </c>
    </row>
    <row r="167" customFormat="false" ht="17.9" hidden="false" customHeight="false" outlineLevel="0" collapsed="false">
      <c r="A167" s="5" t="s">
        <v>200</v>
      </c>
      <c r="B167" s="5" t="s">
        <v>35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1</v>
      </c>
      <c r="T167" s="5" t="n">
        <v>1</v>
      </c>
      <c r="U167" s="5" t="n">
        <v>0</v>
      </c>
      <c r="V167" s="5" t="n">
        <v>0</v>
      </c>
      <c r="W167" s="5" t="n">
        <f aca="false">SUM(C167:V167)</f>
        <v>3</v>
      </c>
    </row>
    <row r="168" customFormat="false" ht="17.9" hidden="false" customHeight="false" outlineLevel="0" collapsed="false">
      <c r="A168" s="5" t="s">
        <v>201</v>
      </c>
      <c r="B168" s="5" t="s">
        <v>35</v>
      </c>
      <c r="C168" s="5" t="n">
        <v>0</v>
      </c>
      <c r="D168" s="5" t="n">
        <v>0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0</v>
      </c>
      <c r="U168" s="5" t="n">
        <v>0</v>
      </c>
      <c r="V168" s="5" t="n">
        <v>0</v>
      </c>
      <c r="W168" s="5" t="n">
        <f aca="false">SUM(C168:V168)</f>
        <v>6</v>
      </c>
    </row>
    <row r="169" customFormat="false" ht="17.9" hidden="false" customHeight="false" outlineLevel="0" collapsed="false">
      <c r="A169" s="5" t="s">
        <v>202</v>
      </c>
      <c r="B169" s="5" t="s">
        <v>35</v>
      </c>
      <c r="C169" s="5" t="n">
        <v>0</v>
      </c>
      <c r="D169" s="5" t="n">
        <v>0</v>
      </c>
      <c r="E169" s="5" t="n">
        <v>1</v>
      </c>
      <c r="F169" s="5" t="n">
        <v>0</v>
      </c>
      <c r="G169" s="5" t="n">
        <v>1</v>
      </c>
      <c r="H169" s="5" t="n">
        <v>1</v>
      </c>
      <c r="I169" s="5" t="n">
        <v>1</v>
      </c>
      <c r="J169" s="5" t="n">
        <v>0</v>
      </c>
      <c r="K169" s="5" t="n">
        <v>1</v>
      </c>
      <c r="L169" s="5" t="n">
        <v>0</v>
      </c>
      <c r="M169" s="5" t="n">
        <v>1</v>
      </c>
      <c r="N169" s="5" t="n">
        <v>1</v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5" t="n">
        <v>1</v>
      </c>
      <c r="U169" s="5" t="n">
        <v>1</v>
      </c>
      <c r="V169" s="5" t="n">
        <v>0</v>
      </c>
      <c r="W169" s="5" t="n">
        <f aca="false">SUM(C169:V169)</f>
        <v>14</v>
      </c>
    </row>
    <row r="170" customFormat="false" ht="17.9" hidden="false" customHeight="false" outlineLevel="0" collapsed="false">
      <c r="A170" s="5" t="s">
        <v>203</v>
      </c>
      <c r="B170" s="5" t="s">
        <v>35</v>
      </c>
      <c r="C170" s="5" t="n">
        <v>1</v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1</v>
      </c>
      <c r="L170" s="5" t="n">
        <v>1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1</v>
      </c>
      <c r="S170" s="5" t="n">
        <v>1</v>
      </c>
      <c r="T170" s="5" t="n">
        <v>1</v>
      </c>
      <c r="U170" s="5" t="n">
        <v>0</v>
      </c>
      <c r="V170" s="5" t="n">
        <v>1</v>
      </c>
      <c r="W170" s="5" t="n">
        <f aca="false">SUM(C170:V170)</f>
        <v>13</v>
      </c>
    </row>
    <row r="171" customFormat="false" ht="17.9" hidden="false" customHeight="false" outlineLevel="0" collapsed="false">
      <c r="A171" s="5" t="s">
        <v>204</v>
      </c>
      <c r="B171" s="5" t="s">
        <v>35</v>
      </c>
      <c r="C171" s="5" t="n">
        <v>0</v>
      </c>
      <c r="D171" s="5" t="n">
        <v>0</v>
      </c>
      <c r="E171" s="5" t="n">
        <v>1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1</v>
      </c>
      <c r="L171" s="5" t="n">
        <v>0</v>
      </c>
      <c r="M171" s="5" t="n">
        <v>0</v>
      </c>
      <c r="N171" s="5" t="n">
        <v>1</v>
      </c>
      <c r="O171" s="5" t="n">
        <v>0</v>
      </c>
      <c r="P171" s="5" t="n">
        <v>0</v>
      </c>
      <c r="Q171" s="5" t="n">
        <v>1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f aca="false">SUM(C171:V171)</f>
        <v>4</v>
      </c>
    </row>
    <row r="172" customFormat="false" ht="17.9" hidden="false" customHeight="false" outlineLevel="0" collapsed="false">
      <c r="A172" s="5" t="s">
        <v>205</v>
      </c>
      <c r="B172" s="5" t="s">
        <v>35</v>
      </c>
      <c r="C172" s="5" t="n">
        <v>1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1</v>
      </c>
      <c r="L172" s="5" t="n">
        <v>0</v>
      </c>
      <c r="M172" s="5" t="n">
        <v>0</v>
      </c>
      <c r="N172" s="5" t="n">
        <v>1</v>
      </c>
      <c r="O172" s="5" t="n">
        <v>1</v>
      </c>
      <c r="P172" s="5" t="n">
        <v>0</v>
      </c>
      <c r="Q172" s="5" t="n">
        <v>1</v>
      </c>
      <c r="R172" s="5" t="n">
        <v>0</v>
      </c>
      <c r="S172" s="5" t="n">
        <v>1</v>
      </c>
      <c r="T172" s="5" t="n">
        <v>0</v>
      </c>
      <c r="U172" s="5" t="n">
        <v>1</v>
      </c>
      <c r="V172" s="5" t="n">
        <v>0</v>
      </c>
      <c r="W172" s="5" t="n">
        <f aca="false">SUM(C172:V172)</f>
        <v>7</v>
      </c>
    </row>
    <row r="173" customFormat="false" ht="17.9" hidden="false" customHeight="false" outlineLevel="0" collapsed="false">
      <c r="A173" s="5" t="s">
        <v>206</v>
      </c>
      <c r="B173" s="5" t="s">
        <v>35</v>
      </c>
      <c r="C173" s="5" t="n">
        <v>0</v>
      </c>
      <c r="D173" s="5" t="n">
        <v>0</v>
      </c>
      <c r="E173" s="5" t="n">
        <v>1</v>
      </c>
      <c r="F173" s="5" t="n">
        <v>0</v>
      </c>
      <c r="G173" s="5" t="n">
        <v>0</v>
      </c>
      <c r="H173" s="5" t="n">
        <v>1</v>
      </c>
      <c r="I173" s="5" t="n">
        <v>0</v>
      </c>
      <c r="J173" s="5" t="n">
        <v>0</v>
      </c>
      <c r="K173" s="5" t="n">
        <v>1</v>
      </c>
      <c r="L173" s="5" t="n">
        <v>0</v>
      </c>
      <c r="M173" s="5" t="n">
        <v>0</v>
      </c>
      <c r="N173" s="5" t="n">
        <v>1</v>
      </c>
      <c r="O173" s="5" t="n">
        <v>0</v>
      </c>
      <c r="P173" s="5" t="n">
        <v>0</v>
      </c>
      <c r="Q173" s="5" t="n">
        <v>1</v>
      </c>
      <c r="R173" s="5" t="n">
        <v>0</v>
      </c>
      <c r="S173" s="5" t="n">
        <v>1</v>
      </c>
      <c r="T173" s="5" t="n">
        <v>0</v>
      </c>
      <c r="U173" s="5" t="n">
        <v>0</v>
      </c>
      <c r="V173" s="5" t="n">
        <v>0</v>
      </c>
      <c r="W173" s="5" t="n">
        <f aca="false">SUM(C173:V173)</f>
        <v>6</v>
      </c>
    </row>
    <row r="174" customFormat="false" ht="17.9" hidden="false" customHeight="false" outlineLevel="0" collapsed="false">
      <c r="A174" s="5" t="s">
        <v>207</v>
      </c>
      <c r="B174" s="5" t="s">
        <v>35</v>
      </c>
      <c r="C174" s="5" t="n">
        <v>1</v>
      </c>
      <c r="D174" s="5" t="n">
        <v>1</v>
      </c>
      <c r="E174" s="5" t="n">
        <v>1</v>
      </c>
      <c r="F174" s="5" t="n">
        <v>1</v>
      </c>
      <c r="G174" s="5" t="n">
        <v>1</v>
      </c>
      <c r="H174" s="5" t="n">
        <v>1</v>
      </c>
      <c r="I174" s="5" t="n">
        <v>1</v>
      </c>
      <c r="J174" s="5" t="n">
        <v>1</v>
      </c>
      <c r="K174" s="5" t="n">
        <v>1</v>
      </c>
      <c r="L174" s="5" t="n">
        <v>1</v>
      </c>
      <c r="M174" s="5" t="n">
        <v>1</v>
      </c>
      <c r="N174" s="5" t="n">
        <v>1</v>
      </c>
      <c r="O174" s="5" t="n">
        <v>1</v>
      </c>
      <c r="P174" s="5" t="n">
        <v>1</v>
      </c>
      <c r="Q174" s="5" t="n">
        <v>1</v>
      </c>
      <c r="R174" s="5" t="n">
        <v>1</v>
      </c>
      <c r="S174" s="5" t="n">
        <v>1</v>
      </c>
      <c r="T174" s="5" t="n">
        <v>1</v>
      </c>
      <c r="U174" s="5" t="n">
        <v>1</v>
      </c>
      <c r="V174" s="5" t="n">
        <v>1</v>
      </c>
      <c r="W174" s="5" t="n">
        <f aca="false">SUM(C174:V174)</f>
        <v>20</v>
      </c>
    </row>
    <row r="175" customFormat="false" ht="17.9" hidden="false" customHeight="false" outlineLevel="0" collapsed="false">
      <c r="A175" s="5" t="s">
        <v>208</v>
      </c>
      <c r="B175" s="5" t="s">
        <v>35</v>
      </c>
      <c r="C175" s="5" t="n">
        <v>0</v>
      </c>
      <c r="D175" s="5" t="n">
        <v>0</v>
      </c>
      <c r="E175" s="5" t="n">
        <v>1</v>
      </c>
      <c r="F175" s="5" t="n">
        <v>0</v>
      </c>
      <c r="G175" s="5" t="n">
        <v>1</v>
      </c>
      <c r="H175" s="5" t="n">
        <v>1</v>
      </c>
      <c r="I175" s="5" t="n">
        <v>0</v>
      </c>
      <c r="J175" s="5" t="n">
        <v>1</v>
      </c>
      <c r="K175" s="5" t="n">
        <v>1</v>
      </c>
      <c r="L175" s="5" t="n">
        <v>0</v>
      </c>
      <c r="M175" s="5" t="n">
        <v>1</v>
      </c>
      <c r="N175" s="5" t="n">
        <v>1</v>
      </c>
      <c r="O175" s="5" t="n">
        <v>1</v>
      </c>
      <c r="P175" s="5" t="n">
        <v>0</v>
      </c>
      <c r="Q175" s="5" t="n">
        <v>1</v>
      </c>
      <c r="R175" s="5" t="n">
        <v>1</v>
      </c>
      <c r="S175" s="5" t="n">
        <v>1</v>
      </c>
      <c r="T175" s="5" t="n">
        <v>1</v>
      </c>
      <c r="U175" s="5" t="n">
        <v>1</v>
      </c>
      <c r="V175" s="5" t="n">
        <v>0</v>
      </c>
      <c r="W175" s="5" t="n">
        <f aca="false">SUM(C175:V175)</f>
        <v>13</v>
      </c>
    </row>
    <row r="176" customFormat="false" ht="17.9" hidden="false" customHeight="false" outlineLevel="0" collapsed="false">
      <c r="A176" s="5" t="s">
        <v>209</v>
      </c>
      <c r="B176" s="5" t="s">
        <v>35</v>
      </c>
      <c r="C176" s="5" t="n">
        <v>0</v>
      </c>
      <c r="D176" s="5" t="n">
        <v>1</v>
      </c>
      <c r="E176" s="5" t="n">
        <v>1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1</v>
      </c>
      <c r="L176" s="5" t="n">
        <v>0</v>
      </c>
      <c r="M176" s="5" t="n">
        <v>0</v>
      </c>
      <c r="N176" s="5" t="n">
        <v>1</v>
      </c>
      <c r="O176" s="5" t="n">
        <v>0</v>
      </c>
      <c r="P176" s="5" t="n">
        <v>0</v>
      </c>
      <c r="Q176" s="5" t="n">
        <v>1</v>
      </c>
      <c r="R176" s="5" t="n">
        <v>1</v>
      </c>
      <c r="S176" s="5" t="n">
        <v>1</v>
      </c>
      <c r="T176" s="5" t="n">
        <v>1</v>
      </c>
      <c r="U176" s="5" t="n">
        <v>0</v>
      </c>
      <c r="V176" s="5" t="n">
        <v>0</v>
      </c>
      <c r="W176" s="5" t="n">
        <f aca="false">SUM(C176:V176)</f>
        <v>8</v>
      </c>
    </row>
    <row r="177" customFormat="false" ht="17.9" hidden="false" customHeight="false" outlineLevel="0" collapsed="false">
      <c r="A177" s="5" t="s">
        <v>210</v>
      </c>
      <c r="B177" s="5" t="s">
        <v>35</v>
      </c>
      <c r="C177" s="5" t="n">
        <v>0</v>
      </c>
      <c r="D177" s="5" t="n">
        <v>1</v>
      </c>
      <c r="E177" s="5" t="n">
        <v>0</v>
      </c>
      <c r="F177" s="5" t="n">
        <v>0</v>
      </c>
      <c r="G177" s="5" t="n">
        <v>0</v>
      </c>
      <c r="H177" s="5" t="n">
        <v>1</v>
      </c>
      <c r="I177" s="5" t="n">
        <v>0</v>
      </c>
      <c r="J177" s="5" t="n">
        <v>0</v>
      </c>
      <c r="K177" s="5" t="n">
        <v>1</v>
      </c>
      <c r="L177" s="5" t="n">
        <v>0</v>
      </c>
      <c r="M177" s="5" t="n">
        <v>1</v>
      </c>
      <c r="N177" s="5" t="n">
        <v>1</v>
      </c>
      <c r="O177" s="5" t="n">
        <v>1</v>
      </c>
      <c r="P177" s="5" t="n">
        <v>0</v>
      </c>
      <c r="Q177" s="5" t="n">
        <v>1</v>
      </c>
      <c r="R177" s="5" t="n">
        <v>1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f aca="false">SUM(C177:V177)</f>
        <v>8</v>
      </c>
    </row>
    <row r="178" customFormat="false" ht="17.9" hidden="false" customHeight="false" outlineLevel="0" collapsed="false">
      <c r="A178" s="5" t="s">
        <v>211</v>
      </c>
      <c r="B178" s="5" t="s">
        <v>35</v>
      </c>
      <c r="C178" s="5" t="n">
        <v>1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f aca="false">SUM(C178:V178)</f>
        <v>1</v>
      </c>
    </row>
    <row r="179" customFormat="false" ht="17.9" hidden="false" customHeight="false" outlineLevel="0" collapsed="false">
      <c r="A179" s="5" t="s">
        <v>212</v>
      </c>
      <c r="B179" s="5" t="s">
        <v>35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1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f aca="false">SUM(C179:V179)</f>
        <v>1</v>
      </c>
    </row>
    <row r="180" customFormat="false" ht="17.9" hidden="false" customHeight="false" outlineLevel="0" collapsed="false">
      <c r="A180" s="5" t="s">
        <v>213</v>
      </c>
      <c r="B180" s="5" t="s">
        <v>35</v>
      </c>
      <c r="C180" s="5" t="n">
        <v>1</v>
      </c>
      <c r="D180" s="5" t="n">
        <v>1</v>
      </c>
      <c r="E180" s="5" t="n">
        <v>1</v>
      </c>
      <c r="F180" s="5" t="n">
        <v>0</v>
      </c>
      <c r="G180" s="5" t="n">
        <v>0</v>
      </c>
      <c r="H180" s="5" t="n">
        <v>1</v>
      </c>
      <c r="I180" s="5" t="n">
        <v>0</v>
      </c>
      <c r="J180" s="5" t="n">
        <v>0</v>
      </c>
      <c r="K180" s="5" t="n">
        <v>1</v>
      </c>
      <c r="L180" s="5" t="n">
        <v>0</v>
      </c>
      <c r="M180" s="5" t="n">
        <v>0</v>
      </c>
      <c r="N180" s="5" t="n">
        <v>1</v>
      </c>
      <c r="O180" s="5" t="n">
        <v>0</v>
      </c>
      <c r="P180" s="5" t="n">
        <v>0</v>
      </c>
      <c r="Q180" s="5" t="n">
        <v>1</v>
      </c>
      <c r="R180" s="5" t="n">
        <v>0</v>
      </c>
      <c r="S180" s="5" t="n">
        <v>1</v>
      </c>
      <c r="T180" s="5" t="n">
        <v>1</v>
      </c>
      <c r="U180" s="5" t="n">
        <v>0</v>
      </c>
      <c r="V180" s="5" t="n">
        <v>0</v>
      </c>
      <c r="W180" s="5" t="n">
        <f aca="false">SUM(C180:V180)</f>
        <v>9</v>
      </c>
    </row>
    <row r="181" customFormat="false" ht="17.9" hidden="false" customHeight="false" outlineLevel="0" collapsed="false">
      <c r="A181" s="5" t="s">
        <v>214</v>
      </c>
      <c r="B181" s="5" t="s">
        <v>35</v>
      </c>
      <c r="C181" s="5" t="n">
        <v>1</v>
      </c>
      <c r="D181" s="5" t="n">
        <v>0</v>
      </c>
      <c r="E181" s="5" t="n">
        <v>1</v>
      </c>
      <c r="F181" s="5" t="n">
        <v>0</v>
      </c>
      <c r="G181" s="5" t="n">
        <v>1</v>
      </c>
      <c r="H181" s="5" t="n">
        <v>1</v>
      </c>
      <c r="I181" s="5" t="n">
        <v>0</v>
      </c>
      <c r="J181" s="5" t="n">
        <v>0</v>
      </c>
      <c r="K181" s="5" t="n">
        <v>1</v>
      </c>
      <c r="L181" s="5" t="n">
        <v>0</v>
      </c>
      <c r="M181" s="5" t="n">
        <v>0</v>
      </c>
      <c r="N181" s="5" t="n">
        <v>1</v>
      </c>
      <c r="O181" s="5" t="n">
        <v>1</v>
      </c>
      <c r="P181" s="5" t="n">
        <v>0</v>
      </c>
      <c r="Q181" s="5" t="n">
        <v>1</v>
      </c>
      <c r="R181" s="5" t="n">
        <v>1</v>
      </c>
      <c r="S181" s="5" t="n">
        <v>1</v>
      </c>
      <c r="T181" s="5" t="n">
        <v>1</v>
      </c>
      <c r="U181" s="5" t="n">
        <v>0</v>
      </c>
      <c r="V181" s="5" t="n">
        <v>0</v>
      </c>
      <c r="W181" s="5" t="n">
        <f aca="false">SUM(C181:V181)</f>
        <v>11</v>
      </c>
    </row>
    <row r="182" customFormat="false" ht="17.9" hidden="false" customHeight="false" outlineLevel="0" collapsed="false">
      <c r="A182" s="5" t="s">
        <v>215</v>
      </c>
      <c r="B182" s="5" t="s">
        <v>35</v>
      </c>
      <c r="C182" s="5" t="n">
        <v>1</v>
      </c>
      <c r="D182" s="5" t="n">
        <v>1</v>
      </c>
      <c r="E182" s="5" t="n">
        <v>1</v>
      </c>
      <c r="F182" s="5" t="n">
        <v>1</v>
      </c>
      <c r="G182" s="5" t="n">
        <v>1</v>
      </c>
      <c r="H182" s="5" t="n">
        <v>1</v>
      </c>
      <c r="I182" s="5" t="n">
        <v>1</v>
      </c>
      <c r="J182" s="5" t="n">
        <v>1</v>
      </c>
      <c r="K182" s="5" t="n">
        <v>1</v>
      </c>
      <c r="L182" s="5" t="n">
        <v>1</v>
      </c>
      <c r="M182" s="5" t="n">
        <v>1</v>
      </c>
      <c r="N182" s="5" t="n">
        <v>1</v>
      </c>
      <c r="O182" s="5" t="n">
        <v>1</v>
      </c>
      <c r="P182" s="5" t="n">
        <v>1</v>
      </c>
      <c r="Q182" s="5" t="n">
        <v>1</v>
      </c>
      <c r="R182" s="5" t="n">
        <v>1</v>
      </c>
      <c r="S182" s="5" t="n">
        <v>1</v>
      </c>
      <c r="T182" s="5" t="n">
        <v>0</v>
      </c>
      <c r="U182" s="5" t="n">
        <v>1</v>
      </c>
      <c r="V182" s="5" t="n">
        <v>1</v>
      </c>
      <c r="W182" s="5" t="n">
        <f aca="false">SUM(C182:V182)</f>
        <v>19</v>
      </c>
    </row>
    <row r="183" customFormat="false" ht="17.9" hidden="false" customHeight="false" outlineLevel="0" collapsed="false">
      <c r="A183" s="5" t="s">
        <v>216</v>
      </c>
      <c r="B183" s="5" t="s">
        <v>35</v>
      </c>
      <c r="C183" s="5" t="n">
        <v>1</v>
      </c>
      <c r="D183" s="5" t="n">
        <v>1</v>
      </c>
      <c r="E183" s="5" t="n">
        <v>1</v>
      </c>
      <c r="F183" s="5" t="n">
        <v>1</v>
      </c>
      <c r="G183" s="5" t="n">
        <v>1</v>
      </c>
      <c r="H183" s="5" t="n">
        <v>1</v>
      </c>
      <c r="I183" s="5" t="n">
        <v>0</v>
      </c>
      <c r="J183" s="5" t="n">
        <v>1</v>
      </c>
      <c r="K183" s="5" t="n">
        <v>1</v>
      </c>
      <c r="L183" s="5" t="n">
        <v>1</v>
      </c>
      <c r="M183" s="5" t="n">
        <v>1</v>
      </c>
      <c r="N183" s="5" t="n">
        <v>1</v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5" t="n">
        <v>1</v>
      </c>
      <c r="U183" s="5" t="n">
        <v>1</v>
      </c>
      <c r="V183" s="5" t="n">
        <v>1</v>
      </c>
      <c r="W183" s="5" t="n">
        <f aca="false">SUM(C183:V183)</f>
        <v>19</v>
      </c>
    </row>
    <row r="184" customFormat="false" ht="17.9" hidden="false" customHeight="false" outlineLevel="0" collapsed="false">
      <c r="A184" s="5" t="s">
        <v>217</v>
      </c>
      <c r="B184" s="5" t="s">
        <v>35</v>
      </c>
      <c r="C184" s="5" t="n">
        <v>0</v>
      </c>
      <c r="D184" s="5" t="n">
        <v>1</v>
      </c>
      <c r="E184" s="5" t="n">
        <v>0</v>
      </c>
      <c r="F184" s="5" t="n">
        <v>0</v>
      </c>
      <c r="G184" s="5" t="n">
        <v>0</v>
      </c>
      <c r="H184" s="5" t="n">
        <v>1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1</v>
      </c>
      <c r="O184" s="5" t="n">
        <v>0</v>
      </c>
      <c r="P184" s="5" t="n">
        <v>0</v>
      </c>
      <c r="Q184" s="5" t="n">
        <v>1</v>
      </c>
      <c r="R184" s="5" t="n">
        <v>0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f aca="false">SUM(C184:V184)</f>
        <v>4</v>
      </c>
    </row>
    <row r="185" customFormat="false" ht="17.9" hidden="false" customHeight="false" outlineLevel="0" collapsed="false">
      <c r="A185" s="5" t="s">
        <v>218</v>
      </c>
      <c r="B185" s="5" t="s">
        <v>35</v>
      </c>
      <c r="C185" s="5" t="n">
        <v>1</v>
      </c>
      <c r="D185" s="5" t="n">
        <v>0</v>
      </c>
      <c r="E185" s="5" t="n">
        <v>0</v>
      </c>
      <c r="F185" s="5" t="n">
        <v>0</v>
      </c>
      <c r="G185" s="5" t="n">
        <v>1</v>
      </c>
      <c r="H185" s="5" t="n">
        <v>1</v>
      </c>
      <c r="I185" s="5" t="n">
        <v>0</v>
      </c>
      <c r="J185" s="5" t="n">
        <v>1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1</v>
      </c>
      <c r="S185" s="5" t="n">
        <v>1</v>
      </c>
      <c r="T185" s="5" t="n">
        <v>1</v>
      </c>
      <c r="U185" s="5" t="n">
        <v>0</v>
      </c>
      <c r="V185" s="5" t="n">
        <v>0</v>
      </c>
      <c r="W185" s="5" t="n">
        <f aca="false">SUM(C185:V185)</f>
        <v>10</v>
      </c>
    </row>
    <row r="186" customFormat="false" ht="17.9" hidden="false" customHeight="false" outlineLevel="0" collapsed="false">
      <c r="A186" s="5" t="s">
        <v>219</v>
      </c>
      <c r="B186" s="5" t="s">
        <v>35</v>
      </c>
      <c r="C186" s="5" t="n">
        <v>0</v>
      </c>
      <c r="D186" s="5" t="n">
        <v>1</v>
      </c>
      <c r="E186" s="5" t="n">
        <v>0</v>
      </c>
      <c r="F186" s="5" t="n">
        <v>1</v>
      </c>
      <c r="G186" s="5" t="n">
        <v>0</v>
      </c>
      <c r="H186" s="5" t="n">
        <v>1</v>
      </c>
      <c r="I186" s="5" t="n">
        <v>1</v>
      </c>
      <c r="J186" s="5" t="n">
        <v>1</v>
      </c>
      <c r="K186" s="5" t="n">
        <v>1</v>
      </c>
      <c r="L186" s="5" t="n">
        <v>1</v>
      </c>
      <c r="M186" s="5" t="n">
        <v>1</v>
      </c>
      <c r="N186" s="5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n">
        <v>1</v>
      </c>
      <c r="T186" s="5" t="n">
        <v>1</v>
      </c>
      <c r="U186" s="5" t="n">
        <v>1</v>
      </c>
      <c r="V186" s="5" t="n">
        <v>1</v>
      </c>
      <c r="W186" s="5" t="n">
        <f aca="false">SUM(C186:V186)</f>
        <v>17</v>
      </c>
    </row>
    <row r="187" customFormat="false" ht="17.9" hidden="false" customHeight="false" outlineLevel="0" collapsed="false">
      <c r="A187" s="5" t="s">
        <v>220</v>
      </c>
      <c r="B187" s="5" t="s">
        <v>35</v>
      </c>
      <c r="C187" s="5" t="n">
        <v>0</v>
      </c>
      <c r="D187" s="5" t="n">
        <v>1</v>
      </c>
      <c r="E187" s="5" t="n">
        <v>1</v>
      </c>
      <c r="F187" s="5" t="n">
        <v>0</v>
      </c>
      <c r="G187" s="5" t="n">
        <v>0</v>
      </c>
      <c r="H187" s="5" t="n">
        <v>1</v>
      </c>
      <c r="I187" s="5" t="n">
        <v>1</v>
      </c>
      <c r="J187" s="5" t="n">
        <v>0</v>
      </c>
      <c r="K187" s="5" t="n">
        <v>1</v>
      </c>
      <c r="L187" s="5" t="n">
        <v>0</v>
      </c>
      <c r="M187" s="5" t="n">
        <v>0</v>
      </c>
      <c r="N187" s="5" t="n">
        <v>1</v>
      </c>
      <c r="O187" s="5" t="n">
        <v>1</v>
      </c>
      <c r="P187" s="5" t="n">
        <v>0</v>
      </c>
      <c r="Q187" s="5" t="n">
        <v>1</v>
      </c>
      <c r="R187" s="5" t="n">
        <v>1</v>
      </c>
      <c r="S187" s="5" t="n">
        <v>1</v>
      </c>
      <c r="T187" s="5" t="n">
        <v>0</v>
      </c>
      <c r="U187" s="5" t="n">
        <v>0</v>
      </c>
      <c r="V187" s="5" t="n">
        <v>0</v>
      </c>
      <c r="W187" s="5" t="n">
        <f aca="false">SUM(C187:V187)</f>
        <v>10</v>
      </c>
    </row>
    <row r="188" customFormat="false" ht="17.9" hidden="false" customHeight="false" outlineLevel="0" collapsed="false">
      <c r="A188" s="5" t="s">
        <v>221</v>
      </c>
      <c r="B188" s="5" t="s">
        <v>35</v>
      </c>
      <c r="C188" s="5" t="n">
        <v>0</v>
      </c>
      <c r="D188" s="5" t="n">
        <v>0</v>
      </c>
      <c r="E188" s="5" t="n">
        <v>1</v>
      </c>
      <c r="F188" s="5" t="n">
        <v>0</v>
      </c>
      <c r="G188" s="5" t="n">
        <v>0</v>
      </c>
      <c r="H188" s="5" t="n">
        <v>1</v>
      </c>
      <c r="I188" s="5" t="n">
        <v>1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1</v>
      </c>
      <c r="Q188" s="5" t="n">
        <v>1</v>
      </c>
      <c r="R188" s="5" t="n">
        <v>1</v>
      </c>
      <c r="S188" s="5" t="n">
        <v>1</v>
      </c>
      <c r="T188" s="5" t="n">
        <v>0</v>
      </c>
      <c r="U188" s="5" t="n">
        <v>0</v>
      </c>
      <c r="V188" s="5" t="n">
        <v>0</v>
      </c>
      <c r="W188" s="5" t="n">
        <f aca="false">SUM(C188:V188)</f>
        <v>9</v>
      </c>
    </row>
    <row r="189" customFormat="false" ht="17.9" hidden="false" customHeight="false" outlineLevel="0" collapsed="false">
      <c r="A189" s="5" t="s">
        <v>222</v>
      </c>
      <c r="B189" s="5" t="s">
        <v>35</v>
      </c>
      <c r="C189" s="5" t="n">
        <v>1</v>
      </c>
      <c r="D189" s="5" t="n">
        <v>1</v>
      </c>
      <c r="E189" s="5" t="n">
        <v>1</v>
      </c>
      <c r="F189" s="5" t="n">
        <v>0</v>
      </c>
      <c r="G189" s="5" t="n">
        <v>1</v>
      </c>
      <c r="H189" s="5" t="n">
        <v>1</v>
      </c>
      <c r="I189" s="5" t="n">
        <v>1</v>
      </c>
      <c r="J189" s="5" t="n">
        <v>0</v>
      </c>
      <c r="K189" s="5" t="n">
        <v>1</v>
      </c>
      <c r="L189" s="5" t="n">
        <v>0</v>
      </c>
      <c r="M189" s="5" t="n">
        <v>1</v>
      </c>
      <c r="N189" s="5" t="n">
        <v>1</v>
      </c>
      <c r="O189" s="5" t="n">
        <v>1</v>
      </c>
      <c r="P189" s="5" t="n">
        <v>1</v>
      </c>
      <c r="Q189" s="5" t="n">
        <v>1</v>
      </c>
      <c r="R189" s="5" t="n">
        <v>1</v>
      </c>
      <c r="S189" s="5" t="n">
        <v>1</v>
      </c>
      <c r="T189" s="5" t="n">
        <v>0</v>
      </c>
      <c r="U189" s="5" t="n">
        <v>1</v>
      </c>
      <c r="V189" s="5" t="n">
        <v>1</v>
      </c>
      <c r="W189" s="5" t="n">
        <f aca="false">SUM(C189:V189)</f>
        <v>16</v>
      </c>
    </row>
    <row r="190" customFormat="false" ht="17.9" hidden="false" customHeight="false" outlineLevel="0" collapsed="false">
      <c r="A190" s="5" t="s">
        <v>223</v>
      </c>
      <c r="B190" s="5" t="s">
        <v>35</v>
      </c>
      <c r="C190" s="5" t="n">
        <v>0</v>
      </c>
      <c r="D190" s="5" t="n">
        <v>0</v>
      </c>
      <c r="E190" s="5" t="n">
        <v>0</v>
      </c>
      <c r="F190" s="5" t="n">
        <v>0</v>
      </c>
      <c r="G190" s="5" t="n">
        <v>1</v>
      </c>
      <c r="H190" s="5" t="n">
        <v>1</v>
      </c>
      <c r="I190" s="5" t="n">
        <v>0</v>
      </c>
      <c r="J190" s="5" t="n">
        <v>0</v>
      </c>
      <c r="K190" s="5" t="n">
        <v>1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1</v>
      </c>
      <c r="R190" s="5" t="n">
        <v>1</v>
      </c>
      <c r="S190" s="5" t="n">
        <v>1</v>
      </c>
      <c r="T190" s="5" t="n">
        <v>0</v>
      </c>
      <c r="U190" s="5" t="n">
        <v>0</v>
      </c>
      <c r="V190" s="5" t="n">
        <v>0</v>
      </c>
      <c r="W190" s="5" t="n">
        <f aca="false">SUM(C190:V190)</f>
        <v>7</v>
      </c>
    </row>
    <row r="191" customFormat="false" ht="17.9" hidden="false" customHeight="false" outlineLevel="0" collapsed="false">
      <c r="A191" s="5" t="s">
        <v>224</v>
      </c>
      <c r="B191" s="5" t="s">
        <v>35</v>
      </c>
      <c r="C191" s="5" t="n">
        <v>0</v>
      </c>
      <c r="D191" s="5" t="n">
        <v>0</v>
      </c>
      <c r="E191" s="5" t="n">
        <v>1</v>
      </c>
      <c r="F191" s="5" t="n">
        <v>0</v>
      </c>
      <c r="G191" s="5" t="n">
        <v>1</v>
      </c>
      <c r="H191" s="5" t="n">
        <v>1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1</v>
      </c>
      <c r="N191" s="5" t="n">
        <v>1</v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5" t="n">
        <v>0</v>
      </c>
      <c r="U191" s="5" t="n">
        <v>0</v>
      </c>
      <c r="V191" s="5" t="n">
        <v>0</v>
      </c>
      <c r="W191" s="5" t="n">
        <f aca="false">SUM(C191:V191)</f>
        <v>11</v>
      </c>
    </row>
    <row r="192" customFormat="false" ht="17.9" hidden="false" customHeight="false" outlineLevel="0" collapsed="false">
      <c r="A192" s="5" t="s">
        <v>225</v>
      </c>
      <c r="B192" s="5" t="s">
        <v>35</v>
      </c>
      <c r="C192" s="5" t="n">
        <v>0</v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f aca="false">SUM(C192:V192)</f>
        <v>1</v>
      </c>
    </row>
    <row r="193" customFormat="false" ht="17.9" hidden="false" customHeight="false" outlineLevel="0" collapsed="false">
      <c r="A193" s="5" t="s">
        <v>226</v>
      </c>
      <c r="B193" s="5" t="s">
        <v>35</v>
      </c>
      <c r="C193" s="5" t="n">
        <v>0</v>
      </c>
      <c r="D193" s="5" t="n">
        <v>0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1</v>
      </c>
      <c r="K193" s="5" t="n">
        <v>1</v>
      </c>
      <c r="L193" s="5" t="n">
        <v>0</v>
      </c>
      <c r="M193" s="5" t="n">
        <v>0</v>
      </c>
      <c r="N193" s="5" t="n">
        <v>1</v>
      </c>
      <c r="O193" s="5" t="n">
        <v>1</v>
      </c>
      <c r="P193" s="5" t="n">
        <v>0</v>
      </c>
      <c r="Q193" s="5" t="n">
        <v>1</v>
      </c>
      <c r="R193" s="5" t="n">
        <v>0</v>
      </c>
      <c r="S193" s="5" t="n">
        <v>1</v>
      </c>
      <c r="T193" s="5" t="n">
        <v>1</v>
      </c>
      <c r="U193" s="5" t="n">
        <v>0</v>
      </c>
      <c r="V193" s="5" t="n">
        <v>0</v>
      </c>
      <c r="W193" s="5" t="n">
        <f aca="false">SUM(C193:V193)</f>
        <v>9</v>
      </c>
    </row>
    <row r="194" customFormat="false" ht="17.9" hidden="false" customHeight="false" outlineLevel="0" collapsed="false">
      <c r="A194" s="5" t="s">
        <v>227</v>
      </c>
      <c r="B194" s="5" t="s">
        <v>35</v>
      </c>
      <c r="C194" s="5" t="n">
        <v>0</v>
      </c>
      <c r="D194" s="5" t="n">
        <v>0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1</v>
      </c>
      <c r="L194" s="5" t="n">
        <v>0</v>
      </c>
      <c r="M194" s="5" t="n">
        <v>0</v>
      </c>
      <c r="N194" s="5" t="n">
        <v>1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1</v>
      </c>
      <c r="T194" s="5" t="n">
        <v>0</v>
      </c>
      <c r="U194" s="5" t="n">
        <v>0</v>
      </c>
      <c r="V194" s="5" t="n">
        <v>0</v>
      </c>
      <c r="W194" s="5" t="n">
        <f aca="false">SUM(C194:V194)</f>
        <v>6</v>
      </c>
    </row>
    <row r="195" customFormat="false" ht="17.9" hidden="false" customHeight="false" outlineLevel="0" collapsed="false">
      <c r="A195" s="5" t="s">
        <v>228</v>
      </c>
      <c r="B195" s="5" t="s">
        <v>35</v>
      </c>
      <c r="C195" s="5" t="n">
        <v>0</v>
      </c>
      <c r="D195" s="5" t="n">
        <v>0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1</v>
      </c>
      <c r="O195" s="5" t="n">
        <v>1</v>
      </c>
      <c r="P195" s="5" t="n">
        <v>1</v>
      </c>
      <c r="Q195" s="5" t="n">
        <v>1</v>
      </c>
      <c r="R195" s="5" t="n">
        <v>1</v>
      </c>
      <c r="S195" s="5" t="n">
        <v>1</v>
      </c>
      <c r="T195" s="5" t="n">
        <v>0</v>
      </c>
      <c r="U195" s="5" t="n">
        <v>1</v>
      </c>
      <c r="V195" s="5" t="n">
        <v>0</v>
      </c>
      <c r="W195" s="5" t="n">
        <f aca="false">SUM(C195:V195)</f>
        <v>10</v>
      </c>
    </row>
    <row r="196" customFormat="false" ht="17.9" hidden="false" customHeight="false" outlineLevel="0" collapsed="false">
      <c r="A196" s="5" t="s">
        <v>229</v>
      </c>
      <c r="B196" s="5" t="s">
        <v>35</v>
      </c>
      <c r="C196" s="5" t="n">
        <v>1</v>
      </c>
      <c r="D196" s="5" t="n">
        <v>1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1</v>
      </c>
      <c r="O196" s="5" t="n">
        <v>1</v>
      </c>
      <c r="P196" s="5" t="n">
        <v>0</v>
      </c>
      <c r="Q196" s="5" t="n">
        <v>1</v>
      </c>
      <c r="R196" s="5" t="n">
        <v>0</v>
      </c>
      <c r="S196" s="5" t="n">
        <v>1</v>
      </c>
      <c r="T196" s="5" t="n">
        <v>0</v>
      </c>
      <c r="U196" s="5" t="n">
        <v>1</v>
      </c>
      <c r="V196" s="5" t="n">
        <v>0</v>
      </c>
      <c r="W196" s="5" t="n">
        <f aca="false">SUM(C196:V196)</f>
        <v>11</v>
      </c>
    </row>
    <row r="197" customFormat="false" ht="17.9" hidden="false" customHeight="false" outlineLevel="0" collapsed="false">
      <c r="A197" s="5" t="s">
        <v>230</v>
      </c>
      <c r="B197" s="5" t="s">
        <v>35</v>
      </c>
      <c r="C197" s="5" t="n">
        <v>0</v>
      </c>
      <c r="D197" s="5" t="n">
        <v>1</v>
      </c>
      <c r="E197" s="5" t="n">
        <v>1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1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f aca="false">SUM(C197:V197)</f>
        <v>5</v>
      </c>
    </row>
    <row r="198" customFormat="false" ht="17.9" hidden="false" customHeight="false" outlineLevel="0" collapsed="false">
      <c r="A198" s="5" t="s">
        <v>231</v>
      </c>
      <c r="B198" s="5" t="s">
        <v>35</v>
      </c>
      <c r="C198" s="5" t="n">
        <v>0</v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0</v>
      </c>
      <c r="V198" s="5" t="n">
        <v>0</v>
      </c>
      <c r="W198" s="5" t="n">
        <f aca="false">SUM(C198:V198)</f>
        <v>3</v>
      </c>
    </row>
    <row r="199" customFormat="false" ht="17.9" hidden="false" customHeight="false" outlineLevel="0" collapsed="false">
      <c r="A199" s="5" t="s">
        <v>232</v>
      </c>
      <c r="B199" s="5" t="s">
        <v>35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1</v>
      </c>
      <c r="I199" s="5" t="n">
        <v>0</v>
      </c>
      <c r="J199" s="5" t="n">
        <v>0</v>
      </c>
      <c r="K199" s="5" t="n">
        <v>1</v>
      </c>
      <c r="L199" s="5" t="n">
        <v>0</v>
      </c>
      <c r="M199" s="5" t="n">
        <v>0</v>
      </c>
      <c r="N199" s="5" t="n">
        <v>1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1</v>
      </c>
      <c r="T199" s="5" t="n">
        <v>0</v>
      </c>
      <c r="U199" s="5" t="n">
        <v>0</v>
      </c>
      <c r="V199" s="5" t="n">
        <v>0</v>
      </c>
      <c r="W199" s="5" t="n">
        <f aca="false">SUM(C199:V199)</f>
        <v>4</v>
      </c>
    </row>
    <row r="200" customFormat="false" ht="17.9" hidden="false" customHeight="false" outlineLevel="0" collapsed="false">
      <c r="A200" s="5" t="s">
        <v>233</v>
      </c>
      <c r="B200" s="5" t="s">
        <v>35</v>
      </c>
      <c r="C200" s="5" t="n">
        <v>1</v>
      </c>
      <c r="D200" s="5" t="n">
        <v>1</v>
      </c>
      <c r="E200" s="5" t="n">
        <v>1</v>
      </c>
      <c r="F200" s="5" t="n">
        <v>0</v>
      </c>
      <c r="G200" s="5" t="n">
        <v>1</v>
      </c>
      <c r="H200" s="5" t="n">
        <v>1</v>
      </c>
      <c r="I200" s="5" t="n">
        <v>0</v>
      </c>
      <c r="J200" s="5" t="n">
        <v>0</v>
      </c>
      <c r="K200" s="5" t="n">
        <v>1</v>
      </c>
      <c r="L200" s="5" t="n">
        <v>1</v>
      </c>
      <c r="M200" s="5" t="n">
        <v>1</v>
      </c>
      <c r="N200" s="5" t="n">
        <v>1</v>
      </c>
      <c r="O200" s="5" t="n">
        <v>1</v>
      </c>
      <c r="P200" s="5" t="n">
        <v>1</v>
      </c>
      <c r="Q200" s="5" t="n">
        <v>1</v>
      </c>
      <c r="R200" s="5" t="n">
        <v>1</v>
      </c>
      <c r="S200" s="5" t="n">
        <v>1</v>
      </c>
      <c r="T200" s="5" t="n">
        <v>1</v>
      </c>
      <c r="U200" s="5" t="n">
        <v>0</v>
      </c>
      <c r="V200" s="5" t="n">
        <v>1</v>
      </c>
      <c r="W200" s="5" t="n">
        <f aca="false">SUM(C200:V200)</f>
        <v>16</v>
      </c>
    </row>
    <row r="201" customFormat="false" ht="17.9" hidden="false" customHeight="false" outlineLevel="0" collapsed="false">
      <c r="A201" s="5" t="s">
        <v>234</v>
      </c>
      <c r="B201" s="5" t="s">
        <v>35</v>
      </c>
      <c r="C201" s="5" t="n">
        <v>1</v>
      </c>
      <c r="D201" s="5" t="n">
        <v>1</v>
      </c>
      <c r="E201" s="5" t="n">
        <v>1</v>
      </c>
      <c r="F201" s="5" t="n">
        <v>1</v>
      </c>
      <c r="G201" s="5" t="n">
        <v>1</v>
      </c>
      <c r="H201" s="5" t="n">
        <v>1</v>
      </c>
      <c r="I201" s="5" t="n">
        <v>1</v>
      </c>
      <c r="J201" s="5" t="n">
        <v>0</v>
      </c>
      <c r="K201" s="5" t="n">
        <v>1</v>
      </c>
      <c r="L201" s="5" t="n">
        <v>1</v>
      </c>
      <c r="M201" s="5" t="n">
        <v>1</v>
      </c>
      <c r="N201" s="5" t="n">
        <v>1</v>
      </c>
      <c r="O201" s="5" t="n">
        <v>0</v>
      </c>
      <c r="P201" s="5" t="n">
        <v>0</v>
      </c>
      <c r="Q201" s="5" t="n">
        <v>1</v>
      </c>
      <c r="R201" s="5" t="n">
        <v>1</v>
      </c>
      <c r="S201" s="5" t="n">
        <v>1</v>
      </c>
      <c r="T201" s="5" t="n">
        <v>0</v>
      </c>
      <c r="U201" s="5" t="n">
        <v>1</v>
      </c>
      <c r="V201" s="5" t="n">
        <v>1</v>
      </c>
      <c r="W201" s="5" t="n">
        <f aca="false">SUM(C201:V201)</f>
        <v>16</v>
      </c>
    </row>
    <row r="202" customFormat="false" ht="17.9" hidden="false" customHeight="false" outlineLevel="0" collapsed="false">
      <c r="A202" s="5" t="s">
        <v>235</v>
      </c>
      <c r="B202" s="5" t="s">
        <v>35</v>
      </c>
      <c r="C202" s="5" t="n">
        <v>1</v>
      </c>
      <c r="D202" s="5" t="n">
        <v>1</v>
      </c>
      <c r="E202" s="5" t="n">
        <v>1</v>
      </c>
      <c r="F202" s="5" t="n">
        <v>1</v>
      </c>
      <c r="G202" s="5" t="n">
        <v>1</v>
      </c>
      <c r="H202" s="5" t="n">
        <v>1</v>
      </c>
      <c r="I202" s="5" t="n">
        <v>1</v>
      </c>
      <c r="J202" s="5" t="n">
        <v>1</v>
      </c>
      <c r="K202" s="5" t="n">
        <v>1</v>
      </c>
      <c r="L202" s="5" t="n">
        <v>1</v>
      </c>
      <c r="M202" s="5" t="n">
        <v>1</v>
      </c>
      <c r="N202" s="5" t="n">
        <v>1</v>
      </c>
      <c r="O202" s="5" t="n">
        <v>1</v>
      </c>
      <c r="P202" s="5" t="n">
        <v>1</v>
      </c>
      <c r="Q202" s="5" t="n">
        <v>1</v>
      </c>
      <c r="R202" s="5" t="n">
        <v>1</v>
      </c>
      <c r="S202" s="5" t="n">
        <v>1</v>
      </c>
      <c r="T202" s="5" t="n">
        <v>1</v>
      </c>
      <c r="U202" s="5" t="n">
        <v>1</v>
      </c>
      <c r="V202" s="5" t="n">
        <v>1</v>
      </c>
      <c r="W202" s="5" t="n">
        <f aca="false">SUM(C202:V202)</f>
        <v>20</v>
      </c>
    </row>
    <row r="203" customFormat="false" ht="17.9" hidden="false" customHeight="false" outlineLevel="0" collapsed="false">
      <c r="A203" s="5" t="s">
        <v>236</v>
      </c>
      <c r="B203" s="5" t="s">
        <v>35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1</v>
      </c>
      <c r="I203" s="5" t="n">
        <v>0</v>
      </c>
      <c r="J203" s="5" t="n">
        <v>0</v>
      </c>
      <c r="K203" s="5" t="n">
        <v>1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1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f aca="false">SUM(C203:V203)</f>
        <v>3</v>
      </c>
    </row>
    <row r="204" customFormat="false" ht="17.9" hidden="false" customHeight="false" outlineLevel="0" collapsed="false">
      <c r="A204" s="5" t="s">
        <v>237</v>
      </c>
      <c r="B204" s="5" t="s">
        <v>35</v>
      </c>
      <c r="C204" s="5" t="n">
        <v>1</v>
      </c>
      <c r="D204" s="5" t="n">
        <v>1</v>
      </c>
      <c r="E204" s="5" t="n">
        <v>1</v>
      </c>
      <c r="F204" s="5" t="n">
        <v>0</v>
      </c>
      <c r="G204" s="5" t="n">
        <v>1</v>
      </c>
      <c r="H204" s="5" t="n">
        <v>1</v>
      </c>
      <c r="I204" s="5" t="n">
        <v>0</v>
      </c>
      <c r="J204" s="5" t="n">
        <v>1</v>
      </c>
      <c r="K204" s="5" t="n">
        <v>1</v>
      </c>
      <c r="L204" s="5" t="n">
        <v>1</v>
      </c>
      <c r="M204" s="5" t="n">
        <v>1</v>
      </c>
      <c r="N204" s="5" t="n">
        <v>1</v>
      </c>
      <c r="O204" s="5" t="n">
        <v>1</v>
      </c>
      <c r="P204" s="5" t="n">
        <v>1</v>
      </c>
      <c r="Q204" s="5" t="n">
        <v>1</v>
      </c>
      <c r="R204" s="5" t="n">
        <v>1</v>
      </c>
      <c r="S204" s="5" t="n">
        <v>1</v>
      </c>
      <c r="T204" s="5" t="n">
        <v>1</v>
      </c>
      <c r="U204" s="5" t="n">
        <v>1</v>
      </c>
      <c r="V204" s="5" t="n">
        <v>1</v>
      </c>
      <c r="W204" s="5" t="n">
        <f aca="false">SUM(C204:V204)</f>
        <v>18</v>
      </c>
    </row>
    <row r="205" customFormat="false" ht="17.9" hidden="false" customHeight="false" outlineLevel="0" collapsed="false">
      <c r="A205" s="5" t="s">
        <v>238</v>
      </c>
      <c r="B205" s="5" t="s">
        <v>35</v>
      </c>
      <c r="C205" s="5" t="n">
        <v>0</v>
      </c>
      <c r="D205" s="5" t="n">
        <v>1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f aca="false">SUM(C205:V205)</f>
        <v>1</v>
      </c>
    </row>
    <row r="206" customFormat="false" ht="17.9" hidden="false" customHeight="false" outlineLevel="0" collapsed="false">
      <c r="A206" s="5" t="s">
        <v>239</v>
      </c>
      <c r="B206" s="5" t="s">
        <v>35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1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f aca="false">SUM(C206:V206)</f>
        <v>1</v>
      </c>
    </row>
    <row r="207" customFormat="false" ht="17.9" hidden="false" customHeight="false" outlineLevel="0" collapsed="false">
      <c r="A207" s="5" t="s">
        <v>240</v>
      </c>
      <c r="B207" s="5" t="s">
        <v>35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1</v>
      </c>
      <c r="T207" s="5" t="n">
        <v>0</v>
      </c>
      <c r="U207" s="5" t="n">
        <v>0</v>
      </c>
      <c r="V207" s="5" t="n">
        <v>0</v>
      </c>
      <c r="W207" s="5" t="n">
        <f aca="false">SUM(C207:V207)</f>
        <v>1</v>
      </c>
    </row>
    <row r="208" customFormat="false" ht="17.9" hidden="false" customHeight="false" outlineLevel="0" collapsed="false">
      <c r="A208" s="5" t="s">
        <v>241</v>
      </c>
      <c r="B208" s="5" t="s">
        <v>35</v>
      </c>
      <c r="C208" s="5" t="n">
        <v>0</v>
      </c>
      <c r="D208" s="5" t="n">
        <v>1</v>
      </c>
      <c r="E208" s="5" t="n">
        <v>0</v>
      </c>
      <c r="F208" s="5" t="n">
        <v>0</v>
      </c>
      <c r="G208" s="5" t="n">
        <v>0</v>
      </c>
      <c r="H208" s="5" t="n">
        <v>1</v>
      </c>
      <c r="I208" s="5" t="n">
        <v>0</v>
      </c>
      <c r="J208" s="5" t="n">
        <v>0</v>
      </c>
      <c r="K208" s="5" t="n">
        <v>1</v>
      </c>
      <c r="L208" s="5" t="n">
        <v>0</v>
      </c>
      <c r="M208" s="5" t="n">
        <v>1</v>
      </c>
      <c r="N208" s="5" t="n">
        <v>1</v>
      </c>
      <c r="O208" s="5" t="n">
        <v>0</v>
      </c>
      <c r="P208" s="5" t="n">
        <v>0</v>
      </c>
      <c r="Q208" s="5" t="n">
        <v>1</v>
      </c>
      <c r="R208" s="5" t="n">
        <v>1</v>
      </c>
      <c r="S208" s="5" t="n">
        <v>0</v>
      </c>
      <c r="T208" s="5" t="n">
        <v>1</v>
      </c>
      <c r="U208" s="5" t="n">
        <v>0</v>
      </c>
      <c r="V208" s="5" t="n">
        <v>0</v>
      </c>
      <c r="W208" s="5" t="n">
        <f aca="false">SUM(C208:V208)</f>
        <v>8</v>
      </c>
    </row>
    <row r="209" customFormat="false" ht="17.9" hidden="false" customHeight="false" outlineLevel="0" collapsed="false">
      <c r="A209" s="5" t="s">
        <v>242</v>
      </c>
      <c r="B209" s="5" t="s">
        <v>35</v>
      </c>
      <c r="C209" s="5" t="n">
        <v>0</v>
      </c>
      <c r="D209" s="5" t="n">
        <v>0</v>
      </c>
      <c r="E209" s="5" t="n">
        <v>1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f aca="false">SUM(C209:V209)</f>
        <v>1</v>
      </c>
    </row>
    <row r="210" customFormat="false" ht="17.9" hidden="false" customHeight="false" outlineLevel="0" collapsed="false">
      <c r="A210" s="5" t="s">
        <v>243</v>
      </c>
      <c r="B210" s="5" t="s">
        <v>35</v>
      </c>
      <c r="C210" s="5" t="n">
        <v>1</v>
      </c>
      <c r="D210" s="5" t="n">
        <v>1</v>
      </c>
      <c r="E210" s="5" t="n">
        <v>1</v>
      </c>
      <c r="F210" s="5" t="n">
        <v>1</v>
      </c>
      <c r="G210" s="5" t="n">
        <v>1</v>
      </c>
      <c r="H210" s="5" t="n">
        <v>1</v>
      </c>
      <c r="I210" s="5" t="n">
        <v>1</v>
      </c>
      <c r="J210" s="5" t="n">
        <v>0</v>
      </c>
      <c r="K210" s="5" t="n">
        <v>1</v>
      </c>
      <c r="L210" s="5" t="n">
        <v>1</v>
      </c>
      <c r="M210" s="5" t="n">
        <v>1</v>
      </c>
      <c r="N210" s="5" t="n">
        <v>1</v>
      </c>
      <c r="O210" s="5" t="n">
        <v>1</v>
      </c>
      <c r="P210" s="5" t="n">
        <v>0</v>
      </c>
      <c r="Q210" s="5" t="n">
        <v>1</v>
      </c>
      <c r="R210" s="5" t="n">
        <v>1</v>
      </c>
      <c r="S210" s="5" t="n">
        <v>1</v>
      </c>
      <c r="T210" s="5" t="n">
        <v>1</v>
      </c>
      <c r="U210" s="5" t="n">
        <v>1</v>
      </c>
      <c r="V210" s="5" t="n">
        <v>0</v>
      </c>
      <c r="W210" s="5" t="n">
        <f aca="false">SUM(C210:V210)</f>
        <v>17</v>
      </c>
    </row>
    <row r="211" customFormat="false" ht="17.9" hidden="false" customHeight="false" outlineLevel="0" collapsed="false">
      <c r="A211" s="5" t="s">
        <v>244</v>
      </c>
      <c r="B211" s="5" t="s">
        <v>35</v>
      </c>
      <c r="C211" s="5" t="n">
        <v>0</v>
      </c>
      <c r="D211" s="5" t="n">
        <v>0</v>
      </c>
      <c r="E211" s="5" t="n">
        <v>1</v>
      </c>
      <c r="F211" s="5" t="n">
        <v>1</v>
      </c>
      <c r="G211" s="5" t="n">
        <v>0</v>
      </c>
      <c r="H211" s="5" t="n">
        <v>1</v>
      </c>
      <c r="I211" s="5" t="n">
        <v>0</v>
      </c>
      <c r="J211" s="5" t="n">
        <v>0</v>
      </c>
      <c r="K211" s="5" t="n">
        <v>1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1</v>
      </c>
      <c r="R211" s="5" t="n">
        <v>1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f aca="false">SUM(C211:V211)</f>
        <v>6</v>
      </c>
    </row>
    <row r="212" customFormat="false" ht="17.9" hidden="false" customHeight="false" outlineLevel="0" collapsed="false">
      <c r="A212" s="5" t="s">
        <v>245</v>
      </c>
      <c r="B212" s="5" t="s">
        <v>35</v>
      </c>
      <c r="C212" s="5" t="n">
        <v>1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1</v>
      </c>
      <c r="I212" s="5" t="n">
        <v>0</v>
      </c>
      <c r="J212" s="5" t="n">
        <v>0</v>
      </c>
      <c r="K212" s="5" t="n">
        <v>1</v>
      </c>
      <c r="L212" s="5" t="n">
        <v>0</v>
      </c>
      <c r="M212" s="5" t="n">
        <v>0</v>
      </c>
      <c r="N212" s="5" t="n">
        <v>1</v>
      </c>
      <c r="O212" s="5" t="n">
        <v>1</v>
      </c>
      <c r="P212" s="5" t="n">
        <v>0</v>
      </c>
      <c r="Q212" s="5" t="n">
        <v>1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f aca="false">SUM(C212:V212)</f>
        <v>6</v>
      </c>
    </row>
    <row r="213" customFormat="false" ht="17.9" hidden="false" customHeight="false" outlineLevel="0" collapsed="false">
      <c r="A213" s="5" t="s">
        <v>246</v>
      </c>
      <c r="B213" s="5" t="s">
        <v>35</v>
      </c>
      <c r="C213" s="5" t="n">
        <v>0</v>
      </c>
      <c r="D213" s="5" t="n">
        <v>0</v>
      </c>
      <c r="E213" s="5" t="n">
        <v>1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1</v>
      </c>
      <c r="M213" s="5" t="n">
        <v>0</v>
      </c>
      <c r="N213" s="5" t="n">
        <v>1</v>
      </c>
      <c r="O213" s="5" t="n">
        <v>1</v>
      </c>
      <c r="P213" s="5" t="n">
        <v>0</v>
      </c>
      <c r="Q213" s="5" t="n">
        <v>1</v>
      </c>
      <c r="R213" s="5" t="n">
        <v>0</v>
      </c>
      <c r="S213" s="5" t="n">
        <v>1</v>
      </c>
      <c r="T213" s="5" t="n">
        <v>1</v>
      </c>
      <c r="U213" s="5" t="n">
        <v>0</v>
      </c>
      <c r="V213" s="5" t="n">
        <v>0</v>
      </c>
      <c r="W213" s="5" t="n">
        <f aca="false">SUM(C213:V213)</f>
        <v>8</v>
      </c>
    </row>
    <row r="214" customFormat="false" ht="17.9" hidden="false" customHeight="false" outlineLevel="0" collapsed="false">
      <c r="A214" s="5" t="s">
        <v>247</v>
      </c>
      <c r="B214" s="5" t="s">
        <v>35</v>
      </c>
      <c r="C214" s="5" t="n">
        <v>1</v>
      </c>
      <c r="D214" s="5" t="n">
        <v>1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1</v>
      </c>
      <c r="J214" s="5" t="n">
        <v>0</v>
      </c>
      <c r="K214" s="5" t="n">
        <v>1</v>
      </c>
      <c r="L214" s="5" t="n">
        <v>1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1</v>
      </c>
      <c r="T214" s="5" t="n">
        <v>1</v>
      </c>
      <c r="U214" s="5" t="n">
        <v>0</v>
      </c>
      <c r="V214" s="5" t="n">
        <v>0</v>
      </c>
      <c r="W214" s="5" t="n">
        <f aca="false">SUM(C214:V214)</f>
        <v>13</v>
      </c>
    </row>
    <row r="215" customFormat="false" ht="17.9" hidden="false" customHeight="false" outlineLevel="0" collapsed="false">
      <c r="A215" s="5" t="s">
        <v>248</v>
      </c>
      <c r="B215" s="5" t="s">
        <v>35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1</v>
      </c>
      <c r="P215" s="5" t="n">
        <v>0</v>
      </c>
      <c r="Q215" s="5" t="n">
        <v>1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f aca="false">SUM(C215:V215)</f>
        <v>3</v>
      </c>
    </row>
    <row r="216" customFormat="false" ht="17.9" hidden="false" customHeight="false" outlineLevel="0" collapsed="false">
      <c r="A216" s="5" t="s">
        <v>249</v>
      </c>
      <c r="B216" s="5" t="s">
        <v>35</v>
      </c>
      <c r="C216" s="5" t="n">
        <v>0</v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1</v>
      </c>
      <c r="P216" s="5" t="n">
        <v>0</v>
      </c>
      <c r="Q216" s="5" t="n">
        <v>1</v>
      </c>
      <c r="R216" s="5" t="n">
        <v>1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f aca="false">SUM(C216:V216)</f>
        <v>6</v>
      </c>
    </row>
    <row r="217" customFormat="false" ht="17.9" hidden="false" customHeight="false" outlineLevel="0" collapsed="false">
      <c r="A217" s="5" t="s">
        <v>250</v>
      </c>
      <c r="B217" s="5" t="s">
        <v>35</v>
      </c>
      <c r="C217" s="5" t="n">
        <v>1</v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f aca="false">SUM(C217:V217)</f>
        <v>2</v>
      </c>
    </row>
    <row r="218" customFormat="false" ht="17.9" hidden="false" customHeight="false" outlineLevel="0" collapsed="false">
      <c r="A218" s="5" t="s">
        <v>251</v>
      </c>
      <c r="B218" s="5" t="s">
        <v>35</v>
      </c>
      <c r="C218" s="5" t="n">
        <v>1</v>
      </c>
      <c r="D218" s="5" t="n">
        <v>1</v>
      </c>
      <c r="E218" s="5" t="n">
        <v>1</v>
      </c>
      <c r="F218" s="5" t="n">
        <v>1</v>
      </c>
      <c r="G218" s="5" t="n">
        <v>0</v>
      </c>
      <c r="H218" s="5" t="n">
        <v>1</v>
      </c>
      <c r="I218" s="5" t="n">
        <v>1</v>
      </c>
      <c r="J218" s="5" t="n">
        <v>1</v>
      </c>
      <c r="K218" s="5" t="n">
        <v>1</v>
      </c>
      <c r="L218" s="5" t="n">
        <v>1</v>
      </c>
      <c r="M218" s="5" t="n">
        <v>1</v>
      </c>
      <c r="N218" s="5" t="n">
        <v>1</v>
      </c>
      <c r="O218" s="5" t="n">
        <v>1</v>
      </c>
      <c r="P218" s="5" t="n">
        <v>1</v>
      </c>
      <c r="Q218" s="5" t="n">
        <v>1</v>
      </c>
      <c r="R218" s="5" t="n">
        <v>1</v>
      </c>
      <c r="S218" s="5" t="n">
        <v>1</v>
      </c>
      <c r="T218" s="5" t="n">
        <v>1</v>
      </c>
      <c r="U218" s="5" t="n">
        <v>1</v>
      </c>
      <c r="V218" s="5" t="n">
        <v>1</v>
      </c>
      <c r="W218" s="5" t="n">
        <f aca="false">SUM(C218:V218)</f>
        <v>19</v>
      </c>
    </row>
    <row r="219" customFormat="false" ht="17.9" hidden="false" customHeight="false" outlineLevel="0" collapsed="false">
      <c r="A219" s="5" t="s">
        <v>252</v>
      </c>
      <c r="B219" s="5" t="s">
        <v>35</v>
      </c>
      <c r="C219" s="5" t="n">
        <v>1</v>
      </c>
      <c r="D219" s="5" t="n">
        <v>1</v>
      </c>
      <c r="E219" s="5" t="n">
        <v>1</v>
      </c>
      <c r="F219" s="5" t="n">
        <v>1</v>
      </c>
      <c r="G219" s="5" t="n">
        <v>1</v>
      </c>
      <c r="H219" s="5" t="n">
        <v>1</v>
      </c>
      <c r="I219" s="5" t="n">
        <v>1</v>
      </c>
      <c r="J219" s="5" t="n">
        <v>1</v>
      </c>
      <c r="K219" s="5" t="n">
        <v>1</v>
      </c>
      <c r="L219" s="5" t="n">
        <v>1</v>
      </c>
      <c r="M219" s="5" t="n">
        <v>1</v>
      </c>
      <c r="N219" s="5" t="n">
        <v>1</v>
      </c>
      <c r="O219" s="5" t="n">
        <v>1</v>
      </c>
      <c r="P219" s="5" t="n">
        <v>1</v>
      </c>
      <c r="Q219" s="5" t="n">
        <v>1</v>
      </c>
      <c r="R219" s="5" t="n">
        <v>1</v>
      </c>
      <c r="S219" s="5" t="n">
        <v>1</v>
      </c>
      <c r="T219" s="5" t="n">
        <v>1</v>
      </c>
      <c r="U219" s="5" t="n">
        <v>1</v>
      </c>
      <c r="V219" s="5" t="n">
        <v>1</v>
      </c>
      <c r="W219" s="5" t="n">
        <f aca="false">SUM(C219:V219)</f>
        <v>20</v>
      </c>
    </row>
    <row r="220" customFormat="false" ht="17.9" hidden="false" customHeight="false" outlineLevel="0" collapsed="false">
      <c r="A220" s="5" t="s">
        <v>253</v>
      </c>
      <c r="B220" s="5" t="s">
        <v>35</v>
      </c>
      <c r="C220" s="5" t="n">
        <v>0</v>
      </c>
      <c r="D220" s="5" t="n">
        <v>0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f aca="false">SUM(C220:V220)</f>
        <v>5</v>
      </c>
    </row>
    <row r="221" customFormat="false" ht="17.9" hidden="false" customHeight="false" outlineLevel="0" collapsed="false">
      <c r="A221" s="5" t="s">
        <v>254</v>
      </c>
      <c r="B221" s="5" t="s">
        <v>35</v>
      </c>
      <c r="C221" s="5" t="n">
        <v>1</v>
      </c>
      <c r="D221" s="5" t="n">
        <v>1</v>
      </c>
      <c r="E221" s="5" t="n">
        <v>1</v>
      </c>
      <c r="F221" s="5" t="n">
        <v>1</v>
      </c>
      <c r="G221" s="5" t="n">
        <v>1</v>
      </c>
      <c r="H221" s="5" t="n">
        <v>1</v>
      </c>
      <c r="I221" s="5" t="n">
        <v>1</v>
      </c>
      <c r="J221" s="5" t="n">
        <v>1</v>
      </c>
      <c r="K221" s="5" t="n">
        <v>1</v>
      </c>
      <c r="L221" s="5" t="n">
        <v>0</v>
      </c>
      <c r="M221" s="5" t="n">
        <v>0</v>
      </c>
      <c r="N221" s="5" t="n">
        <v>1</v>
      </c>
      <c r="O221" s="5" t="n">
        <v>1</v>
      </c>
      <c r="P221" s="5" t="n">
        <v>1</v>
      </c>
      <c r="Q221" s="5" t="n">
        <v>1</v>
      </c>
      <c r="R221" s="5" t="n">
        <v>1</v>
      </c>
      <c r="S221" s="5" t="n">
        <v>1</v>
      </c>
      <c r="T221" s="5" t="n">
        <v>1</v>
      </c>
      <c r="U221" s="5" t="n">
        <v>1</v>
      </c>
      <c r="V221" s="5" t="n">
        <v>0</v>
      </c>
      <c r="W221" s="5" t="n">
        <f aca="false">SUM(C221:V221)</f>
        <v>17</v>
      </c>
    </row>
    <row r="222" customFormat="false" ht="17.9" hidden="false" customHeight="false" outlineLevel="0" collapsed="false">
      <c r="A222" s="5" t="s">
        <v>255</v>
      </c>
      <c r="B222" s="5" t="s">
        <v>35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1</v>
      </c>
      <c r="L222" s="5" t="n">
        <v>0</v>
      </c>
      <c r="M222" s="5" t="n">
        <v>0</v>
      </c>
      <c r="N222" s="5" t="n">
        <v>1</v>
      </c>
      <c r="O222" s="5" t="n">
        <v>1</v>
      </c>
      <c r="P222" s="5" t="n">
        <v>1</v>
      </c>
      <c r="Q222" s="5" t="n">
        <v>1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f aca="false">SUM(C222:V222)</f>
        <v>6</v>
      </c>
    </row>
    <row r="223" customFormat="false" ht="17.9" hidden="false" customHeight="false" outlineLevel="0" collapsed="false">
      <c r="A223" s="5" t="s">
        <v>256</v>
      </c>
      <c r="B223" s="5" t="s">
        <v>35</v>
      </c>
      <c r="C223" s="5" t="n">
        <v>0</v>
      </c>
      <c r="D223" s="5" t="n">
        <v>0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1</v>
      </c>
      <c r="O223" s="5" t="n">
        <v>1</v>
      </c>
      <c r="P223" s="5" t="n">
        <v>0</v>
      </c>
      <c r="Q223" s="5" t="n">
        <v>1</v>
      </c>
      <c r="R223" s="5" t="n">
        <v>1</v>
      </c>
      <c r="S223" s="5" t="n">
        <v>0</v>
      </c>
      <c r="T223" s="5" t="n">
        <v>1</v>
      </c>
      <c r="U223" s="5" t="n">
        <v>1</v>
      </c>
      <c r="V223" s="5" t="n">
        <v>1</v>
      </c>
      <c r="W223" s="5" t="n">
        <f aca="false">SUM(C223:V223)</f>
        <v>10</v>
      </c>
    </row>
    <row r="224" customFormat="false" ht="17.9" hidden="false" customHeight="false" outlineLevel="0" collapsed="false">
      <c r="A224" s="5" t="s">
        <v>257</v>
      </c>
      <c r="B224" s="5" t="s">
        <v>35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0</v>
      </c>
      <c r="N224" s="5" t="n">
        <v>1</v>
      </c>
      <c r="O224" s="5" t="n">
        <v>1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f aca="false">SUM(C224:V224)</f>
        <v>4</v>
      </c>
    </row>
    <row r="225" customFormat="false" ht="17.9" hidden="false" customHeight="false" outlineLevel="0" collapsed="false">
      <c r="A225" s="5" t="s">
        <v>258</v>
      </c>
      <c r="B225" s="5" t="s">
        <v>35</v>
      </c>
      <c r="C225" s="5" t="n">
        <v>0</v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f aca="false">SUM(C225:V225)</f>
        <v>2</v>
      </c>
    </row>
    <row r="226" customFormat="false" ht="17.9" hidden="false" customHeight="false" outlineLevel="0" collapsed="false">
      <c r="A226" s="5" t="s">
        <v>259</v>
      </c>
      <c r="B226" s="5" t="s">
        <v>35</v>
      </c>
      <c r="C226" s="5" t="n">
        <v>1</v>
      </c>
      <c r="D226" s="5" t="n">
        <v>1</v>
      </c>
      <c r="E226" s="5" t="n">
        <v>1</v>
      </c>
      <c r="F226" s="5" t="n">
        <v>1</v>
      </c>
      <c r="G226" s="5" t="n">
        <v>1</v>
      </c>
      <c r="H226" s="5" t="n">
        <v>1</v>
      </c>
      <c r="I226" s="5" t="n">
        <v>1</v>
      </c>
      <c r="J226" s="5" t="n">
        <v>1</v>
      </c>
      <c r="K226" s="5" t="n">
        <v>1</v>
      </c>
      <c r="L226" s="5" t="n">
        <v>1</v>
      </c>
      <c r="M226" s="5" t="n">
        <v>1</v>
      </c>
      <c r="N226" s="5" t="n">
        <v>1</v>
      </c>
      <c r="O226" s="5" t="n">
        <v>1</v>
      </c>
      <c r="P226" s="5" t="n">
        <v>1</v>
      </c>
      <c r="Q226" s="5" t="n">
        <v>1</v>
      </c>
      <c r="R226" s="5" t="n">
        <v>0</v>
      </c>
      <c r="S226" s="5" t="n">
        <v>1</v>
      </c>
      <c r="T226" s="5" t="n">
        <v>1</v>
      </c>
      <c r="U226" s="5" t="n">
        <v>1</v>
      </c>
      <c r="V226" s="5" t="n">
        <v>1</v>
      </c>
      <c r="W226" s="5" t="n">
        <f aca="false">SUM(C226:V226)</f>
        <v>19</v>
      </c>
    </row>
    <row r="227" customFormat="false" ht="17.9" hidden="false" customHeight="false" outlineLevel="0" collapsed="false">
      <c r="A227" s="5" t="s">
        <v>260</v>
      </c>
      <c r="B227" s="5" t="s">
        <v>35</v>
      </c>
      <c r="C227" s="5" t="n">
        <v>0</v>
      </c>
      <c r="D227" s="5" t="n">
        <v>0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f aca="false">SUM(C227:V227)</f>
        <v>0</v>
      </c>
    </row>
    <row r="228" customFormat="false" ht="17.9" hidden="false" customHeight="false" outlineLevel="0" collapsed="false">
      <c r="A228" s="5" t="s">
        <v>261</v>
      </c>
      <c r="B228" s="5" t="s">
        <v>35</v>
      </c>
      <c r="C228" s="5" t="n">
        <v>0</v>
      </c>
      <c r="D228" s="5" t="n">
        <v>0</v>
      </c>
      <c r="E228" s="5" t="n">
        <v>1</v>
      </c>
      <c r="F228" s="5" t="n">
        <v>0</v>
      </c>
      <c r="G228" s="5" t="n">
        <v>0</v>
      </c>
      <c r="H228" s="5" t="n">
        <v>1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1</v>
      </c>
      <c r="O228" s="5" t="n">
        <v>0</v>
      </c>
      <c r="P228" s="5" t="n">
        <v>0</v>
      </c>
      <c r="Q228" s="5" t="n">
        <v>1</v>
      </c>
      <c r="R228" s="5" t="n">
        <v>1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f aca="false">SUM(C228:V228)</f>
        <v>5</v>
      </c>
    </row>
    <row r="229" customFormat="false" ht="17.9" hidden="false" customHeight="false" outlineLevel="0" collapsed="false">
      <c r="A229" s="5" t="s">
        <v>262</v>
      </c>
      <c r="B229" s="5" t="s">
        <v>35</v>
      </c>
      <c r="C229" s="5" t="n">
        <v>0</v>
      </c>
      <c r="D229" s="5" t="n">
        <v>1</v>
      </c>
      <c r="E229" s="5" t="n">
        <v>1</v>
      </c>
      <c r="F229" s="5" t="n">
        <v>0</v>
      </c>
      <c r="G229" s="5" t="n">
        <v>1</v>
      </c>
      <c r="H229" s="5" t="n">
        <v>1</v>
      </c>
      <c r="I229" s="5" t="n">
        <v>0</v>
      </c>
      <c r="J229" s="5" t="n">
        <v>0</v>
      </c>
      <c r="K229" s="5" t="n">
        <v>1</v>
      </c>
      <c r="L229" s="5" t="n">
        <v>1</v>
      </c>
      <c r="M229" s="5" t="n">
        <v>0</v>
      </c>
      <c r="N229" s="5" t="n">
        <v>1</v>
      </c>
      <c r="O229" s="5" t="n">
        <v>1</v>
      </c>
      <c r="P229" s="5" t="n">
        <v>0</v>
      </c>
      <c r="Q229" s="5" t="n">
        <v>1</v>
      </c>
      <c r="R229" s="5" t="n">
        <v>1</v>
      </c>
      <c r="S229" s="5" t="n">
        <v>1</v>
      </c>
      <c r="T229" s="5" t="n">
        <v>0</v>
      </c>
      <c r="U229" s="5" t="n">
        <v>0</v>
      </c>
      <c r="V229" s="5" t="n">
        <v>0</v>
      </c>
      <c r="W229" s="5" t="n">
        <f aca="false">SUM(C229:V229)</f>
        <v>11</v>
      </c>
    </row>
    <row r="230" customFormat="false" ht="17.9" hidden="false" customHeight="false" outlineLevel="0" collapsed="false">
      <c r="A230" s="5" t="s">
        <v>263</v>
      </c>
      <c r="B230" s="5" t="s">
        <v>35</v>
      </c>
      <c r="C230" s="5" t="n">
        <v>0</v>
      </c>
      <c r="D230" s="5" t="n">
        <v>0</v>
      </c>
      <c r="E230" s="5" t="n">
        <v>1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1</v>
      </c>
      <c r="L230" s="5" t="n">
        <v>0</v>
      </c>
      <c r="M230" s="5" t="n">
        <v>0</v>
      </c>
      <c r="N230" s="5" t="n">
        <v>1</v>
      </c>
      <c r="O230" s="5" t="n">
        <v>0</v>
      </c>
      <c r="P230" s="5" t="n">
        <v>1</v>
      </c>
      <c r="Q230" s="5" t="n">
        <v>1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f aca="false">SUM(C230:V230)</f>
        <v>5</v>
      </c>
    </row>
    <row r="231" customFormat="false" ht="17.9" hidden="false" customHeight="false" outlineLevel="0" collapsed="false">
      <c r="A231" s="5" t="s">
        <v>264</v>
      </c>
      <c r="B231" s="5" t="s">
        <v>35</v>
      </c>
      <c r="C231" s="5" t="n">
        <v>1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1</v>
      </c>
      <c r="I231" s="5" t="n">
        <v>0</v>
      </c>
      <c r="J231" s="5" t="n">
        <v>0</v>
      </c>
      <c r="K231" s="5" t="n">
        <v>1</v>
      </c>
      <c r="L231" s="5" t="n">
        <v>0</v>
      </c>
      <c r="M231" s="5" t="n">
        <v>0</v>
      </c>
      <c r="N231" s="5" t="n">
        <v>1</v>
      </c>
      <c r="O231" s="5" t="n">
        <v>0</v>
      </c>
      <c r="P231" s="5" t="n">
        <v>0</v>
      </c>
      <c r="Q231" s="5" t="n">
        <v>1</v>
      </c>
      <c r="R231" s="5" t="n">
        <v>0</v>
      </c>
      <c r="S231" s="5" t="n">
        <v>1</v>
      </c>
      <c r="T231" s="5" t="n">
        <v>1</v>
      </c>
      <c r="U231" s="5" t="n">
        <v>0</v>
      </c>
      <c r="V231" s="5" t="n">
        <v>0</v>
      </c>
      <c r="W231" s="5" t="n">
        <f aca="false">SUM(C231:V231)</f>
        <v>7</v>
      </c>
    </row>
    <row r="232" customFormat="false" ht="17.9" hidden="false" customHeight="false" outlineLevel="0" collapsed="false">
      <c r="A232" s="5" t="s">
        <v>265</v>
      </c>
      <c r="B232" s="5" t="s">
        <v>35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1</v>
      </c>
      <c r="I232" s="5" t="n">
        <v>0</v>
      </c>
      <c r="J232" s="5" t="n">
        <v>0</v>
      </c>
      <c r="K232" s="5" t="n">
        <v>1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1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f aca="false">SUM(C232:V232)</f>
        <v>3</v>
      </c>
    </row>
    <row r="233" customFormat="false" ht="17.9" hidden="false" customHeight="false" outlineLevel="0" collapsed="false">
      <c r="A233" s="5" t="s">
        <v>266</v>
      </c>
      <c r="B233" s="5" t="s">
        <v>35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1</v>
      </c>
      <c r="L233" s="5" t="n">
        <v>1</v>
      </c>
      <c r="M233" s="5" t="n">
        <v>0</v>
      </c>
      <c r="N233" s="5" t="n">
        <v>1</v>
      </c>
      <c r="O233" s="5" t="n">
        <v>0</v>
      </c>
      <c r="P233" s="5" t="n">
        <v>0</v>
      </c>
      <c r="Q233" s="5" t="n">
        <v>1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f aca="false">SUM(C233:V233)</f>
        <v>4</v>
      </c>
    </row>
    <row r="234" customFormat="false" ht="17.9" hidden="false" customHeight="false" outlineLevel="0" collapsed="false">
      <c r="A234" s="5" t="s">
        <v>267</v>
      </c>
      <c r="B234" s="5" t="s">
        <v>35</v>
      </c>
      <c r="C234" s="5" t="n">
        <v>1</v>
      </c>
      <c r="D234" s="5" t="n">
        <v>1</v>
      </c>
      <c r="E234" s="5" t="n">
        <v>1</v>
      </c>
      <c r="F234" s="5" t="n">
        <v>1</v>
      </c>
      <c r="G234" s="5" t="n">
        <v>1</v>
      </c>
      <c r="H234" s="5" t="n">
        <v>1</v>
      </c>
      <c r="I234" s="5" t="n">
        <v>0</v>
      </c>
      <c r="J234" s="5" t="n">
        <v>0</v>
      </c>
      <c r="K234" s="5" t="n">
        <v>1</v>
      </c>
      <c r="L234" s="5" t="n">
        <v>0</v>
      </c>
      <c r="M234" s="5" t="n">
        <v>1</v>
      </c>
      <c r="N234" s="5" t="n">
        <v>1</v>
      </c>
      <c r="O234" s="5" t="n">
        <v>1</v>
      </c>
      <c r="P234" s="5" t="n">
        <v>0</v>
      </c>
      <c r="Q234" s="5" t="n">
        <v>1</v>
      </c>
      <c r="R234" s="5" t="n">
        <v>1</v>
      </c>
      <c r="S234" s="5" t="n">
        <v>1</v>
      </c>
      <c r="T234" s="5" t="n">
        <v>0</v>
      </c>
      <c r="U234" s="5" t="n">
        <v>1</v>
      </c>
      <c r="V234" s="5" t="n">
        <v>0</v>
      </c>
      <c r="W234" s="5" t="n">
        <f aca="false">SUM(C234:V234)</f>
        <v>14</v>
      </c>
    </row>
    <row r="235" customFormat="false" ht="17.9" hidden="false" customHeight="false" outlineLevel="0" collapsed="false">
      <c r="A235" s="5" t="s">
        <v>268</v>
      </c>
      <c r="B235" s="5" t="s">
        <v>35</v>
      </c>
      <c r="C235" s="5" t="n">
        <v>1</v>
      </c>
      <c r="D235" s="5" t="n">
        <v>1</v>
      </c>
      <c r="E235" s="5" t="n">
        <v>1</v>
      </c>
      <c r="F235" s="5" t="n">
        <v>1</v>
      </c>
      <c r="G235" s="5" t="n">
        <v>1</v>
      </c>
      <c r="H235" s="5" t="n">
        <v>1</v>
      </c>
      <c r="I235" s="5" t="n">
        <v>1</v>
      </c>
      <c r="J235" s="5" t="n">
        <v>1</v>
      </c>
      <c r="K235" s="5" t="n">
        <v>1</v>
      </c>
      <c r="L235" s="5" t="n">
        <v>1</v>
      </c>
      <c r="M235" s="5" t="n">
        <v>1</v>
      </c>
      <c r="N235" s="5" t="n">
        <v>1</v>
      </c>
      <c r="O235" s="5" t="n">
        <v>1</v>
      </c>
      <c r="P235" s="5" t="n">
        <v>1</v>
      </c>
      <c r="Q235" s="5" t="n">
        <v>1</v>
      </c>
      <c r="R235" s="5" t="n">
        <v>1</v>
      </c>
      <c r="S235" s="5" t="n">
        <v>1</v>
      </c>
      <c r="T235" s="5" t="n">
        <v>1</v>
      </c>
      <c r="U235" s="5" t="n">
        <v>1</v>
      </c>
      <c r="V235" s="5" t="n">
        <v>1</v>
      </c>
      <c r="W235" s="5" t="n">
        <f aca="false">SUM(C235:V235)</f>
        <v>20</v>
      </c>
    </row>
    <row r="236" customFormat="false" ht="17.9" hidden="false" customHeight="false" outlineLevel="0" collapsed="false">
      <c r="A236" s="5" t="s">
        <v>269</v>
      </c>
      <c r="B236" s="5" t="s">
        <v>35</v>
      </c>
      <c r="C236" s="5" t="n">
        <v>0</v>
      </c>
      <c r="D236" s="5" t="n">
        <v>1</v>
      </c>
      <c r="E236" s="5" t="n">
        <v>1</v>
      </c>
      <c r="F236" s="5" t="n">
        <v>0</v>
      </c>
      <c r="G236" s="5" t="n">
        <v>0</v>
      </c>
      <c r="H236" s="5" t="n">
        <v>0</v>
      </c>
      <c r="I236" s="5" t="n">
        <v>1</v>
      </c>
      <c r="J236" s="5" t="n">
        <v>0</v>
      </c>
      <c r="K236" s="5" t="n">
        <v>1</v>
      </c>
      <c r="L236" s="5" t="n">
        <v>1</v>
      </c>
      <c r="M236" s="5" t="n">
        <v>0</v>
      </c>
      <c r="N236" s="5" t="n">
        <v>1</v>
      </c>
      <c r="O236" s="5" t="n">
        <v>0</v>
      </c>
      <c r="P236" s="5" t="n">
        <v>0</v>
      </c>
      <c r="Q236" s="5" t="n">
        <v>1</v>
      </c>
      <c r="R236" s="5" t="n">
        <v>1</v>
      </c>
      <c r="S236" s="5" t="n">
        <v>1</v>
      </c>
      <c r="T236" s="5" t="n">
        <v>1</v>
      </c>
      <c r="U236" s="5" t="n">
        <v>0</v>
      </c>
      <c r="V236" s="5" t="n">
        <v>0</v>
      </c>
      <c r="W236" s="5" t="n">
        <f aca="false">SUM(C236:V236)</f>
        <v>10</v>
      </c>
    </row>
    <row r="237" customFormat="false" ht="17.9" hidden="false" customHeight="false" outlineLevel="0" collapsed="false">
      <c r="A237" s="5" t="s">
        <v>270</v>
      </c>
      <c r="B237" s="5" t="s">
        <v>35</v>
      </c>
      <c r="C237" s="5" t="n">
        <v>1</v>
      </c>
      <c r="D237" s="5" t="n">
        <v>1</v>
      </c>
      <c r="E237" s="5" t="n">
        <v>0</v>
      </c>
      <c r="F237" s="5" t="n">
        <v>0</v>
      </c>
      <c r="G237" s="5" t="n">
        <v>0</v>
      </c>
      <c r="H237" s="5" t="n">
        <v>1</v>
      </c>
      <c r="I237" s="5" t="n">
        <v>0</v>
      </c>
      <c r="J237" s="5" t="n">
        <v>0</v>
      </c>
      <c r="K237" s="5" t="n">
        <v>1</v>
      </c>
      <c r="L237" s="5" t="n">
        <v>1</v>
      </c>
      <c r="M237" s="5" t="n">
        <v>0</v>
      </c>
      <c r="N237" s="5" t="n">
        <v>1</v>
      </c>
      <c r="O237" s="5" t="n">
        <v>0</v>
      </c>
      <c r="P237" s="5" t="n">
        <v>0</v>
      </c>
      <c r="Q237" s="5" t="n">
        <v>1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f aca="false">SUM(C237:V237)</f>
        <v>7</v>
      </c>
    </row>
    <row r="238" customFormat="false" ht="17.9" hidden="false" customHeight="false" outlineLevel="0" collapsed="false">
      <c r="A238" s="5" t="s">
        <v>271</v>
      </c>
      <c r="B238" s="5" t="s">
        <v>35</v>
      </c>
      <c r="C238" s="5" t="n">
        <v>1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1</v>
      </c>
      <c r="I238" s="5" t="n">
        <v>0</v>
      </c>
      <c r="J238" s="5" t="n">
        <v>0</v>
      </c>
      <c r="K238" s="5" t="n">
        <v>1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f aca="false">SUM(C238:V238)</f>
        <v>3</v>
      </c>
    </row>
    <row r="239" customFormat="false" ht="17.9" hidden="false" customHeight="false" outlineLevel="0" collapsed="false">
      <c r="A239" s="5" t="s">
        <v>272</v>
      </c>
      <c r="B239" s="5" t="s">
        <v>35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1</v>
      </c>
      <c r="I239" s="5" t="n">
        <v>1</v>
      </c>
      <c r="J239" s="5" t="n">
        <v>0</v>
      </c>
      <c r="K239" s="5" t="n">
        <v>1</v>
      </c>
      <c r="L239" s="5" t="n">
        <v>1</v>
      </c>
      <c r="M239" s="5" t="n">
        <v>0</v>
      </c>
      <c r="N239" s="5" t="n">
        <v>1</v>
      </c>
      <c r="O239" s="5" t="n">
        <v>0</v>
      </c>
      <c r="P239" s="5" t="n">
        <v>0</v>
      </c>
      <c r="Q239" s="5" t="n">
        <v>1</v>
      </c>
      <c r="R239" s="5" t="n">
        <v>1</v>
      </c>
      <c r="S239" s="5" t="n">
        <v>1</v>
      </c>
      <c r="T239" s="5" t="n">
        <v>1</v>
      </c>
      <c r="U239" s="5" t="n">
        <v>1</v>
      </c>
      <c r="V239" s="5" t="n">
        <v>0</v>
      </c>
      <c r="W239" s="5" t="n">
        <f aca="false">SUM(C239:V239)</f>
        <v>10</v>
      </c>
    </row>
    <row r="240" customFormat="false" ht="17.9" hidden="false" customHeight="false" outlineLevel="0" collapsed="false">
      <c r="A240" s="5" t="s">
        <v>273</v>
      </c>
      <c r="B240" s="5" t="s">
        <v>35</v>
      </c>
      <c r="C240" s="5" t="n">
        <v>0</v>
      </c>
      <c r="D240" s="5" t="n">
        <v>1</v>
      </c>
      <c r="E240" s="5" t="n">
        <v>1</v>
      </c>
      <c r="F240" s="5" t="n">
        <v>1</v>
      </c>
      <c r="G240" s="5" t="n">
        <v>1</v>
      </c>
      <c r="H240" s="5" t="n">
        <v>1</v>
      </c>
      <c r="I240" s="5" t="n">
        <v>1</v>
      </c>
      <c r="J240" s="5" t="n">
        <v>1</v>
      </c>
      <c r="K240" s="5" t="n">
        <v>1</v>
      </c>
      <c r="L240" s="5" t="n">
        <v>1</v>
      </c>
      <c r="M240" s="5" t="n">
        <v>1</v>
      </c>
      <c r="N240" s="5" t="n">
        <v>1</v>
      </c>
      <c r="O240" s="5" t="n">
        <v>1</v>
      </c>
      <c r="P240" s="5" t="n">
        <v>1</v>
      </c>
      <c r="Q240" s="5" t="n">
        <v>1</v>
      </c>
      <c r="R240" s="5" t="n">
        <v>1</v>
      </c>
      <c r="S240" s="5" t="n">
        <v>1</v>
      </c>
      <c r="T240" s="5" t="n">
        <v>1</v>
      </c>
      <c r="U240" s="5" t="n">
        <v>1</v>
      </c>
      <c r="V240" s="5" t="n">
        <v>1</v>
      </c>
      <c r="W240" s="5" t="n">
        <f aca="false">SUM(C240:V240)</f>
        <v>19</v>
      </c>
    </row>
    <row r="241" customFormat="false" ht="17.9" hidden="false" customHeight="false" outlineLevel="0" collapsed="false">
      <c r="A241" s="5" t="s">
        <v>274</v>
      </c>
      <c r="B241" s="5" t="s">
        <v>35</v>
      </c>
      <c r="C241" s="5" t="n">
        <v>1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f aca="false">SUM(C241:V241)</f>
        <v>4</v>
      </c>
    </row>
    <row r="242" customFormat="false" ht="17.9" hidden="false" customHeight="false" outlineLevel="0" collapsed="false">
      <c r="A242" s="5" t="s">
        <v>275</v>
      </c>
      <c r="B242" s="5" t="s">
        <v>35</v>
      </c>
      <c r="C242" s="5" t="n">
        <v>1</v>
      </c>
      <c r="D242" s="5" t="n">
        <v>1</v>
      </c>
      <c r="E242" s="5" t="n">
        <v>1</v>
      </c>
      <c r="F242" s="5" t="n">
        <v>1</v>
      </c>
      <c r="G242" s="5" t="n">
        <v>1</v>
      </c>
      <c r="H242" s="5" t="n">
        <v>1</v>
      </c>
      <c r="I242" s="5" t="n">
        <v>1</v>
      </c>
      <c r="J242" s="5" t="n">
        <v>1</v>
      </c>
      <c r="K242" s="5" t="n">
        <v>1</v>
      </c>
      <c r="L242" s="5" t="n">
        <v>1</v>
      </c>
      <c r="M242" s="5" t="n">
        <v>1</v>
      </c>
      <c r="N242" s="5" t="n">
        <v>1</v>
      </c>
      <c r="O242" s="5" t="n">
        <v>1</v>
      </c>
      <c r="P242" s="5" t="n">
        <v>1</v>
      </c>
      <c r="Q242" s="5" t="n">
        <v>1</v>
      </c>
      <c r="R242" s="5" t="n">
        <v>1</v>
      </c>
      <c r="S242" s="5" t="n">
        <v>1</v>
      </c>
      <c r="T242" s="5" t="n">
        <v>1</v>
      </c>
      <c r="U242" s="5" t="n">
        <v>1</v>
      </c>
      <c r="V242" s="5" t="n">
        <v>1</v>
      </c>
      <c r="W242" s="5" t="n">
        <f aca="false">SUM(C242:V242)</f>
        <v>20</v>
      </c>
    </row>
    <row r="243" customFormat="false" ht="17.9" hidden="false" customHeight="false" outlineLevel="0" collapsed="false">
      <c r="A243" s="5" t="s">
        <v>276</v>
      </c>
      <c r="B243" s="5" t="s">
        <v>35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f aca="false">SUM(C243:V243)</f>
        <v>0</v>
      </c>
    </row>
    <row r="244" customFormat="false" ht="17.9" hidden="false" customHeight="false" outlineLevel="0" collapsed="false">
      <c r="A244" s="5" t="s">
        <v>277</v>
      </c>
      <c r="B244" s="5" t="s">
        <v>35</v>
      </c>
      <c r="C244" s="5" t="n">
        <v>1</v>
      </c>
      <c r="D244" s="5" t="n">
        <v>1</v>
      </c>
      <c r="E244" s="5" t="n">
        <v>1</v>
      </c>
      <c r="F244" s="5" t="n">
        <v>1</v>
      </c>
      <c r="G244" s="5" t="n">
        <v>1</v>
      </c>
      <c r="H244" s="5" t="n">
        <v>1</v>
      </c>
      <c r="I244" s="5" t="n">
        <v>0</v>
      </c>
      <c r="J244" s="5" t="n">
        <v>0</v>
      </c>
      <c r="K244" s="5" t="n">
        <v>1</v>
      </c>
      <c r="L244" s="5" t="n">
        <v>1</v>
      </c>
      <c r="M244" s="5" t="n">
        <v>1</v>
      </c>
      <c r="N244" s="5" t="n">
        <v>1</v>
      </c>
      <c r="O244" s="5" t="n">
        <v>1</v>
      </c>
      <c r="P244" s="5" t="n">
        <v>1</v>
      </c>
      <c r="Q244" s="5" t="n">
        <v>1</v>
      </c>
      <c r="R244" s="5" t="n">
        <v>1</v>
      </c>
      <c r="S244" s="5" t="n">
        <v>1</v>
      </c>
      <c r="T244" s="5" t="n">
        <v>1</v>
      </c>
      <c r="U244" s="5" t="n">
        <v>1</v>
      </c>
      <c r="V244" s="5" t="n">
        <v>1</v>
      </c>
      <c r="W244" s="5" t="n">
        <f aca="false">SUM(C244:V244)</f>
        <v>18</v>
      </c>
    </row>
    <row r="245" customFormat="false" ht="17.9" hidden="false" customHeight="false" outlineLevel="0" collapsed="false">
      <c r="A245" s="5" t="s">
        <v>278</v>
      </c>
      <c r="B245" s="5" t="s">
        <v>35</v>
      </c>
      <c r="C245" s="5" t="n">
        <v>1</v>
      </c>
      <c r="D245" s="5" t="n">
        <v>1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1</v>
      </c>
      <c r="J245" s="5" t="n">
        <v>0</v>
      </c>
      <c r="K245" s="5" t="n">
        <v>1</v>
      </c>
      <c r="L245" s="5" t="n">
        <v>1</v>
      </c>
      <c r="M245" s="5" t="n">
        <v>1</v>
      </c>
      <c r="N245" s="5" t="n">
        <v>1</v>
      </c>
      <c r="O245" s="5" t="n">
        <v>0</v>
      </c>
      <c r="P245" s="5" t="n">
        <v>0</v>
      </c>
      <c r="Q245" s="5" t="n">
        <v>1</v>
      </c>
      <c r="R245" s="5" t="n">
        <v>1</v>
      </c>
      <c r="S245" s="5" t="n">
        <v>1</v>
      </c>
      <c r="T245" s="5" t="n">
        <v>0</v>
      </c>
      <c r="U245" s="5" t="n">
        <v>0</v>
      </c>
      <c r="V245" s="5" t="n">
        <v>0</v>
      </c>
      <c r="W245" s="5" t="n">
        <f aca="false">SUM(C245:V245)</f>
        <v>12</v>
      </c>
    </row>
    <row r="246" customFormat="false" ht="17.9" hidden="false" customHeight="false" outlineLevel="0" collapsed="false">
      <c r="A246" s="5" t="s">
        <v>279</v>
      </c>
      <c r="B246" s="5" t="s">
        <v>35</v>
      </c>
      <c r="C246" s="5" t="n">
        <v>1</v>
      </c>
      <c r="D246" s="5" t="n">
        <v>0</v>
      </c>
      <c r="E246" s="5" t="n">
        <v>1</v>
      </c>
      <c r="F246" s="5" t="n">
        <v>0</v>
      </c>
      <c r="G246" s="5" t="n">
        <v>1</v>
      </c>
      <c r="H246" s="5" t="n">
        <v>1</v>
      </c>
      <c r="I246" s="5" t="n">
        <v>1</v>
      </c>
      <c r="J246" s="5" t="n">
        <v>1</v>
      </c>
      <c r="K246" s="5" t="n">
        <v>1</v>
      </c>
      <c r="L246" s="5" t="n">
        <v>1</v>
      </c>
      <c r="M246" s="5" t="n">
        <v>1</v>
      </c>
      <c r="N246" s="5" t="n">
        <v>1</v>
      </c>
      <c r="O246" s="5" t="n">
        <v>1</v>
      </c>
      <c r="P246" s="5" t="n">
        <v>0</v>
      </c>
      <c r="Q246" s="5" t="n">
        <v>1</v>
      </c>
      <c r="R246" s="5" t="n">
        <v>1</v>
      </c>
      <c r="S246" s="5" t="n">
        <v>1</v>
      </c>
      <c r="T246" s="5" t="n">
        <v>1</v>
      </c>
      <c r="U246" s="5" t="n">
        <v>1</v>
      </c>
      <c r="V246" s="5" t="n">
        <v>0</v>
      </c>
      <c r="W246" s="5" t="n">
        <f aca="false">SUM(C246:V246)</f>
        <v>16</v>
      </c>
    </row>
    <row r="247" customFormat="false" ht="17.9" hidden="false" customHeight="false" outlineLevel="0" collapsed="false">
      <c r="A247" s="5" t="s">
        <v>280</v>
      </c>
      <c r="B247" s="5" t="s">
        <v>35</v>
      </c>
      <c r="C247" s="5" t="n">
        <v>0</v>
      </c>
      <c r="D247" s="5" t="n">
        <v>0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1</v>
      </c>
      <c r="O247" s="5" t="n">
        <v>1</v>
      </c>
      <c r="P247" s="5" t="n">
        <v>0</v>
      </c>
      <c r="Q247" s="5" t="n">
        <v>1</v>
      </c>
      <c r="R247" s="5" t="n">
        <v>1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f aca="false">SUM(C247:V247)</f>
        <v>7</v>
      </c>
    </row>
    <row r="248" customFormat="false" ht="17.9" hidden="false" customHeight="false" outlineLevel="0" collapsed="false">
      <c r="A248" s="5" t="s">
        <v>281</v>
      </c>
      <c r="B248" s="5" t="s">
        <v>35</v>
      </c>
      <c r="C248" s="5" t="n">
        <v>0</v>
      </c>
      <c r="D248" s="5" t="n">
        <v>1</v>
      </c>
      <c r="E248" s="5" t="n">
        <v>1</v>
      </c>
      <c r="F248" s="5" t="n">
        <v>1</v>
      </c>
      <c r="G248" s="5" t="n">
        <v>0</v>
      </c>
      <c r="H248" s="5" t="n">
        <v>1</v>
      </c>
      <c r="I248" s="5" t="n">
        <v>0</v>
      </c>
      <c r="J248" s="5" t="n">
        <v>1</v>
      </c>
      <c r="K248" s="5" t="n">
        <v>1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1</v>
      </c>
      <c r="Q248" s="5" t="n">
        <v>1</v>
      </c>
      <c r="R248" s="5" t="n">
        <v>1</v>
      </c>
      <c r="S248" s="5" t="n">
        <v>1</v>
      </c>
      <c r="T248" s="5" t="n">
        <v>0</v>
      </c>
      <c r="U248" s="5" t="n">
        <v>0</v>
      </c>
      <c r="V248" s="5" t="n">
        <v>0</v>
      </c>
      <c r="W248" s="5" t="n">
        <f aca="false">SUM(C248:V248)</f>
        <v>12</v>
      </c>
    </row>
    <row r="249" customFormat="false" ht="17.9" hidden="false" customHeight="false" outlineLevel="0" collapsed="false">
      <c r="A249" s="5" t="s">
        <v>282</v>
      </c>
      <c r="B249" s="5" t="s">
        <v>35</v>
      </c>
      <c r="C249" s="5" t="n">
        <v>1</v>
      </c>
      <c r="D249" s="5" t="n">
        <v>0</v>
      </c>
      <c r="E249" s="5" t="n">
        <v>1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1</v>
      </c>
      <c r="O249" s="5" t="n">
        <v>1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  <c r="U249" s="5" t="n">
        <v>0</v>
      </c>
      <c r="V249" s="5" t="n">
        <v>1</v>
      </c>
      <c r="W249" s="5" t="n">
        <f aca="false">SUM(C249:V249)</f>
        <v>10</v>
      </c>
    </row>
    <row r="250" customFormat="false" ht="17.9" hidden="false" customHeight="false" outlineLevel="0" collapsed="false">
      <c r="A250" s="5" t="s">
        <v>283</v>
      </c>
      <c r="B250" s="5" t="s">
        <v>35</v>
      </c>
      <c r="C250" s="5" t="n">
        <v>1</v>
      </c>
      <c r="D250" s="5" t="n">
        <v>1</v>
      </c>
      <c r="E250" s="5" t="n">
        <v>1</v>
      </c>
      <c r="F250" s="5" t="n">
        <v>0</v>
      </c>
      <c r="G250" s="5" t="n">
        <v>1</v>
      </c>
      <c r="H250" s="5" t="n">
        <v>1</v>
      </c>
      <c r="I250" s="5" t="n">
        <v>1</v>
      </c>
      <c r="J250" s="5" t="n">
        <v>1</v>
      </c>
      <c r="K250" s="5" t="n">
        <v>1</v>
      </c>
      <c r="L250" s="5" t="n">
        <v>0</v>
      </c>
      <c r="M250" s="5" t="n">
        <v>1</v>
      </c>
      <c r="N250" s="5" t="n">
        <v>1</v>
      </c>
      <c r="O250" s="5" t="n">
        <v>1</v>
      </c>
      <c r="P250" s="5" t="n">
        <v>1</v>
      </c>
      <c r="Q250" s="5" t="n">
        <v>1</v>
      </c>
      <c r="R250" s="5" t="n">
        <v>1</v>
      </c>
      <c r="S250" s="5" t="n">
        <v>1</v>
      </c>
      <c r="T250" s="5" t="n">
        <v>1</v>
      </c>
      <c r="U250" s="5" t="n">
        <v>1</v>
      </c>
      <c r="V250" s="5" t="n">
        <v>1</v>
      </c>
      <c r="W250" s="5" t="n">
        <f aca="false">SUM(C250:V250)</f>
        <v>18</v>
      </c>
    </row>
    <row r="251" customFormat="false" ht="17.9" hidden="false" customHeight="false" outlineLevel="0" collapsed="false">
      <c r="A251" s="5" t="s">
        <v>284</v>
      </c>
      <c r="B251" s="5" t="s">
        <v>35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1</v>
      </c>
      <c r="T251" s="5" t="n">
        <v>0</v>
      </c>
      <c r="U251" s="5" t="n">
        <v>0</v>
      </c>
      <c r="V251" s="5" t="n">
        <v>0</v>
      </c>
      <c r="W251" s="5" t="n">
        <f aca="false">SUM(C251:V251)</f>
        <v>5</v>
      </c>
    </row>
    <row r="252" customFormat="false" ht="17.9" hidden="false" customHeight="false" outlineLevel="0" collapsed="false">
      <c r="A252" s="5" t="s">
        <v>285</v>
      </c>
      <c r="B252" s="5" t="s">
        <v>35</v>
      </c>
      <c r="C252" s="5" t="n">
        <v>1</v>
      </c>
      <c r="D252" s="5" t="n">
        <v>1</v>
      </c>
      <c r="E252" s="5" t="n">
        <v>1</v>
      </c>
      <c r="F252" s="5" t="n">
        <v>0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1</v>
      </c>
      <c r="N252" s="5" t="n">
        <v>1</v>
      </c>
      <c r="O252" s="5" t="n">
        <v>1</v>
      </c>
      <c r="P252" s="5" t="n">
        <v>1</v>
      </c>
      <c r="Q252" s="5" t="n">
        <v>1</v>
      </c>
      <c r="R252" s="5" t="n">
        <v>0</v>
      </c>
      <c r="S252" s="5" t="n">
        <v>1</v>
      </c>
      <c r="T252" s="5" t="n">
        <v>1</v>
      </c>
      <c r="U252" s="5" t="n">
        <v>1</v>
      </c>
      <c r="V252" s="5" t="n">
        <v>0</v>
      </c>
      <c r="W252" s="5" t="n">
        <f aca="false">SUM(C252:V252)</f>
        <v>15</v>
      </c>
    </row>
    <row r="253" customFormat="false" ht="17.9" hidden="false" customHeight="false" outlineLevel="0" collapsed="false">
      <c r="A253" s="5" t="s">
        <v>286</v>
      </c>
      <c r="B253" s="5" t="s">
        <v>35</v>
      </c>
      <c r="C253" s="5" t="n">
        <v>1</v>
      </c>
      <c r="D253" s="5" t="n">
        <v>1</v>
      </c>
      <c r="E253" s="5" t="n">
        <v>1</v>
      </c>
      <c r="F253" s="5" t="n">
        <v>0</v>
      </c>
      <c r="G253" s="5" t="n">
        <v>1</v>
      </c>
      <c r="H253" s="5" t="n">
        <v>1</v>
      </c>
      <c r="I253" s="5" t="n">
        <v>1</v>
      </c>
      <c r="J253" s="5" t="n">
        <v>0</v>
      </c>
      <c r="K253" s="5" t="n">
        <v>1</v>
      </c>
      <c r="L253" s="5" t="n">
        <v>1</v>
      </c>
      <c r="M253" s="5" t="n">
        <v>1</v>
      </c>
      <c r="N253" s="5" t="n">
        <v>1</v>
      </c>
      <c r="O253" s="5" t="n">
        <v>0</v>
      </c>
      <c r="P253" s="5" t="n">
        <v>1</v>
      </c>
      <c r="Q253" s="5" t="n">
        <v>1</v>
      </c>
      <c r="R253" s="5" t="n">
        <v>1</v>
      </c>
      <c r="S253" s="5" t="n">
        <v>1</v>
      </c>
      <c r="T253" s="5" t="n">
        <v>1</v>
      </c>
      <c r="U253" s="5" t="n">
        <v>0</v>
      </c>
      <c r="V253" s="5" t="n">
        <v>1</v>
      </c>
      <c r="W253" s="5" t="n">
        <f aca="false">SUM(C253:V253)</f>
        <v>16</v>
      </c>
    </row>
    <row r="254" customFormat="false" ht="17.9" hidden="false" customHeight="false" outlineLevel="0" collapsed="false">
      <c r="A254" s="5" t="s">
        <v>287</v>
      </c>
      <c r="B254" s="5" t="s">
        <v>35</v>
      </c>
      <c r="C254" s="5" t="n">
        <v>1</v>
      </c>
      <c r="D254" s="5" t="n">
        <v>1</v>
      </c>
      <c r="E254" s="5" t="n">
        <v>0</v>
      </c>
      <c r="F254" s="5" t="n">
        <v>0</v>
      </c>
      <c r="G254" s="5" t="n">
        <v>1</v>
      </c>
      <c r="H254" s="5" t="n">
        <v>1</v>
      </c>
      <c r="I254" s="5" t="n">
        <v>1</v>
      </c>
      <c r="J254" s="5" t="n">
        <v>0</v>
      </c>
      <c r="K254" s="5" t="n">
        <v>1</v>
      </c>
      <c r="L254" s="5" t="n">
        <v>1</v>
      </c>
      <c r="M254" s="5" t="n">
        <v>0</v>
      </c>
      <c r="N254" s="5" t="n">
        <v>1</v>
      </c>
      <c r="O254" s="5" t="n">
        <v>0</v>
      </c>
      <c r="P254" s="5" t="n">
        <v>1</v>
      </c>
      <c r="Q254" s="5" t="n">
        <v>1</v>
      </c>
      <c r="R254" s="5" t="n">
        <v>0</v>
      </c>
      <c r="S254" s="5" t="n">
        <v>0</v>
      </c>
      <c r="T254" s="5" t="n">
        <v>1</v>
      </c>
      <c r="U254" s="5" t="n">
        <v>0</v>
      </c>
      <c r="V254" s="5" t="n">
        <v>0</v>
      </c>
      <c r="W254" s="5" t="n">
        <f aca="false">SUM(C254:V254)</f>
        <v>11</v>
      </c>
    </row>
    <row r="255" customFormat="false" ht="17.9" hidden="false" customHeight="false" outlineLevel="0" collapsed="false">
      <c r="A255" s="5" t="s">
        <v>288</v>
      </c>
      <c r="B255" s="5" t="s">
        <v>35</v>
      </c>
      <c r="C255" s="5" t="n">
        <v>1</v>
      </c>
      <c r="D255" s="5" t="n">
        <v>0</v>
      </c>
      <c r="E255" s="5" t="n">
        <v>0</v>
      </c>
      <c r="F255" s="5" t="n">
        <v>0</v>
      </c>
      <c r="G255" s="5" t="n">
        <v>1</v>
      </c>
      <c r="H255" s="5" t="n">
        <v>0</v>
      </c>
      <c r="I255" s="5" t="n">
        <v>1</v>
      </c>
      <c r="J255" s="5" t="n">
        <v>0</v>
      </c>
      <c r="K255" s="5" t="n">
        <v>0</v>
      </c>
      <c r="L255" s="5" t="n">
        <v>1</v>
      </c>
      <c r="M255" s="5" t="n">
        <v>0</v>
      </c>
      <c r="N255" s="5" t="n">
        <v>0</v>
      </c>
      <c r="O255" s="5" t="n">
        <v>1</v>
      </c>
      <c r="P255" s="5" t="n">
        <v>1</v>
      </c>
      <c r="Q255" s="5" t="n">
        <v>1</v>
      </c>
      <c r="R255" s="5" t="n">
        <v>0</v>
      </c>
      <c r="S255" s="5" t="n">
        <v>1</v>
      </c>
      <c r="T255" s="5" t="n">
        <v>1</v>
      </c>
      <c r="U255" s="5" t="n">
        <v>0</v>
      </c>
      <c r="V255" s="5" t="n">
        <v>0</v>
      </c>
      <c r="W255" s="5" t="n">
        <f aca="false">SUM(C255:V255)</f>
        <v>9</v>
      </c>
    </row>
    <row r="256" customFormat="false" ht="17.9" hidden="false" customHeight="false" outlineLevel="0" collapsed="false">
      <c r="A256" s="5" t="s">
        <v>289</v>
      </c>
      <c r="B256" s="5" t="s">
        <v>35</v>
      </c>
      <c r="C256" s="5" t="n">
        <v>1</v>
      </c>
      <c r="D256" s="5" t="n">
        <v>1</v>
      </c>
      <c r="E256" s="5" t="n">
        <v>1</v>
      </c>
      <c r="F256" s="5" t="n">
        <v>0</v>
      </c>
      <c r="G256" s="5" t="n">
        <v>0</v>
      </c>
      <c r="H256" s="5" t="n">
        <v>1</v>
      </c>
      <c r="I256" s="5" t="n">
        <v>1</v>
      </c>
      <c r="J256" s="5" t="n">
        <v>0</v>
      </c>
      <c r="K256" s="5" t="n">
        <v>1</v>
      </c>
      <c r="L256" s="5" t="n">
        <v>0</v>
      </c>
      <c r="M256" s="5" t="n">
        <v>0</v>
      </c>
      <c r="N256" s="5" t="n">
        <v>1</v>
      </c>
      <c r="O256" s="5" t="n">
        <v>0</v>
      </c>
      <c r="P256" s="5" t="n">
        <v>0</v>
      </c>
      <c r="Q256" s="5" t="n">
        <v>1</v>
      </c>
      <c r="R256" s="5" t="n">
        <v>0</v>
      </c>
      <c r="S256" s="5" t="n">
        <v>1</v>
      </c>
      <c r="T256" s="5" t="n">
        <v>1</v>
      </c>
      <c r="U256" s="5" t="n">
        <v>0</v>
      </c>
      <c r="V256" s="5" t="n">
        <v>0</v>
      </c>
      <c r="W256" s="5" t="n">
        <f aca="false">SUM(C256:V256)</f>
        <v>10</v>
      </c>
    </row>
    <row r="257" customFormat="false" ht="17.9" hidden="false" customHeight="false" outlineLevel="0" collapsed="false">
      <c r="A257" s="5" t="s">
        <v>290</v>
      </c>
      <c r="B257" s="5" t="s">
        <v>35</v>
      </c>
      <c r="C257" s="5" t="n">
        <v>1</v>
      </c>
      <c r="D257" s="5" t="n">
        <v>0</v>
      </c>
      <c r="E257" s="5" t="n">
        <v>1</v>
      </c>
      <c r="F257" s="5" t="n">
        <v>0</v>
      </c>
      <c r="G257" s="5" t="n">
        <v>0</v>
      </c>
      <c r="H257" s="5" t="n">
        <v>1</v>
      </c>
      <c r="I257" s="5" t="n">
        <v>1</v>
      </c>
      <c r="J257" s="5" t="n">
        <v>0</v>
      </c>
      <c r="K257" s="5" t="n">
        <v>1</v>
      </c>
      <c r="L257" s="5" t="n">
        <v>0</v>
      </c>
      <c r="M257" s="5" t="n">
        <v>0</v>
      </c>
      <c r="N257" s="5" t="n">
        <v>1</v>
      </c>
      <c r="O257" s="5" t="n">
        <v>0</v>
      </c>
      <c r="P257" s="5" t="n">
        <v>0</v>
      </c>
      <c r="Q257" s="5" t="n">
        <v>1</v>
      </c>
      <c r="R257" s="5" t="n">
        <v>1</v>
      </c>
      <c r="S257" s="5" t="n">
        <v>1</v>
      </c>
      <c r="T257" s="5" t="n">
        <v>1</v>
      </c>
      <c r="U257" s="5" t="n">
        <v>0</v>
      </c>
      <c r="V257" s="5" t="n">
        <v>1</v>
      </c>
      <c r="W257" s="5" t="n">
        <f aca="false">SUM(C257:V257)</f>
        <v>11</v>
      </c>
    </row>
    <row r="258" customFormat="false" ht="17.9" hidden="false" customHeight="false" outlineLevel="0" collapsed="false">
      <c r="A258" s="5" t="s">
        <v>291</v>
      </c>
      <c r="B258" s="5" t="s">
        <v>35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1</v>
      </c>
      <c r="Q258" s="5" t="n">
        <v>1</v>
      </c>
      <c r="R258" s="5" t="n">
        <v>0</v>
      </c>
      <c r="S258" s="5" t="n">
        <v>0</v>
      </c>
      <c r="T258" s="5" t="n">
        <v>1</v>
      </c>
      <c r="U258" s="5" t="n">
        <v>0</v>
      </c>
      <c r="V258" s="5" t="n">
        <v>0</v>
      </c>
      <c r="W258" s="5" t="n">
        <f aca="false">SUM(C258:V258)</f>
        <v>3</v>
      </c>
    </row>
    <row r="259" customFormat="false" ht="17.9" hidden="false" customHeight="false" outlineLevel="0" collapsed="false">
      <c r="A259" s="5" t="s">
        <v>292</v>
      </c>
      <c r="B259" s="5" t="s">
        <v>35</v>
      </c>
      <c r="C259" s="5" t="n">
        <v>1</v>
      </c>
      <c r="D259" s="5" t="n">
        <v>0</v>
      </c>
      <c r="E259" s="5" t="n">
        <v>1</v>
      </c>
      <c r="F259" s="5" t="n">
        <v>0</v>
      </c>
      <c r="G259" s="5" t="n">
        <v>0</v>
      </c>
      <c r="H259" s="5" t="n">
        <v>1</v>
      </c>
      <c r="I259" s="5" t="n">
        <v>1</v>
      </c>
      <c r="J259" s="5" t="n">
        <v>0</v>
      </c>
      <c r="K259" s="5" t="n">
        <v>1</v>
      </c>
      <c r="L259" s="5" t="n">
        <v>0</v>
      </c>
      <c r="M259" s="5" t="n">
        <v>0</v>
      </c>
      <c r="N259" s="5" t="n">
        <v>1</v>
      </c>
      <c r="O259" s="5" t="n">
        <v>0</v>
      </c>
      <c r="P259" s="5" t="n">
        <v>1</v>
      </c>
      <c r="Q259" s="5" t="n">
        <v>1</v>
      </c>
      <c r="R259" s="5" t="n">
        <v>0</v>
      </c>
      <c r="S259" s="5" t="n">
        <v>1</v>
      </c>
      <c r="T259" s="5" t="n">
        <v>0</v>
      </c>
      <c r="U259" s="5" t="n">
        <v>1</v>
      </c>
      <c r="V259" s="5" t="n">
        <v>0</v>
      </c>
      <c r="W259" s="5" t="n">
        <f aca="false">SUM(C259:V259)</f>
        <v>10</v>
      </c>
    </row>
    <row r="260" customFormat="false" ht="17.9" hidden="false" customHeight="false" outlineLevel="0" collapsed="false">
      <c r="A260" s="5" t="s">
        <v>293</v>
      </c>
      <c r="B260" s="5" t="s">
        <v>35</v>
      </c>
      <c r="C260" s="5" t="n">
        <v>1</v>
      </c>
      <c r="D260" s="5" t="n">
        <v>0</v>
      </c>
      <c r="E260" s="5" t="n">
        <v>1</v>
      </c>
      <c r="F260" s="5" t="n">
        <v>1</v>
      </c>
      <c r="G260" s="5" t="n">
        <v>1</v>
      </c>
      <c r="H260" s="5" t="n">
        <v>1</v>
      </c>
      <c r="I260" s="5" t="n">
        <v>0</v>
      </c>
      <c r="J260" s="5" t="n">
        <v>0</v>
      </c>
      <c r="K260" s="5" t="n">
        <v>1</v>
      </c>
      <c r="L260" s="5" t="n">
        <v>1</v>
      </c>
      <c r="M260" s="5" t="n">
        <v>1</v>
      </c>
      <c r="N260" s="5" t="n">
        <v>1</v>
      </c>
      <c r="O260" s="5" t="n">
        <v>1</v>
      </c>
      <c r="P260" s="5" t="n">
        <v>1</v>
      </c>
      <c r="Q260" s="5" t="n">
        <v>1</v>
      </c>
      <c r="R260" s="5" t="n">
        <v>1</v>
      </c>
      <c r="S260" s="5" t="n">
        <v>1</v>
      </c>
      <c r="T260" s="5" t="n">
        <v>1</v>
      </c>
      <c r="U260" s="5" t="n">
        <v>0</v>
      </c>
      <c r="V260" s="5" t="n">
        <v>0</v>
      </c>
      <c r="W260" s="5" t="n">
        <f aca="false">SUM(C260:V260)</f>
        <v>15</v>
      </c>
    </row>
    <row r="261" customFormat="false" ht="17.9" hidden="false" customHeight="false" outlineLevel="0" collapsed="false">
      <c r="A261" s="5" t="s">
        <v>294</v>
      </c>
      <c r="B261" s="5" t="s">
        <v>35</v>
      </c>
      <c r="C261" s="5" t="n">
        <v>1</v>
      </c>
      <c r="D261" s="5" t="n">
        <v>1</v>
      </c>
      <c r="E261" s="5" t="n">
        <v>1</v>
      </c>
      <c r="F261" s="5" t="n">
        <v>1</v>
      </c>
      <c r="G261" s="5" t="n">
        <v>1</v>
      </c>
      <c r="H261" s="5" t="n">
        <v>1</v>
      </c>
      <c r="I261" s="5" t="n">
        <v>1</v>
      </c>
      <c r="J261" s="5" t="n">
        <v>1</v>
      </c>
      <c r="K261" s="5" t="n">
        <v>1</v>
      </c>
      <c r="L261" s="5" t="n">
        <v>1</v>
      </c>
      <c r="M261" s="5" t="n">
        <v>1</v>
      </c>
      <c r="N261" s="5" t="n">
        <v>1</v>
      </c>
      <c r="O261" s="5" t="n">
        <v>1</v>
      </c>
      <c r="P261" s="5" t="n">
        <v>1</v>
      </c>
      <c r="Q261" s="5" t="n">
        <v>1</v>
      </c>
      <c r="R261" s="5" t="n">
        <v>1</v>
      </c>
      <c r="S261" s="5" t="n">
        <v>1</v>
      </c>
      <c r="T261" s="5" t="n">
        <v>1</v>
      </c>
      <c r="U261" s="5" t="n">
        <v>1</v>
      </c>
      <c r="V261" s="5" t="n">
        <v>1</v>
      </c>
      <c r="W261" s="5" t="n">
        <f aca="false">SUM(C261:V261)</f>
        <v>20</v>
      </c>
    </row>
    <row r="262" customFormat="false" ht="17.9" hidden="false" customHeight="false" outlineLevel="0" collapsed="false">
      <c r="A262" s="5" t="s">
        <v>295</v>
      </c>
      <c r="B262" s="5" t="s">
        <v>35</v>
      </c>
      <c r="C262" s="5" t="n">
        <v>1</v>
      </c>
      <c r="D262" s="5" t="n">
        <v>0</v>
      </c>
      <c r="E262" s="5" t="n">
        <v>1</v>
      </c>
      <c r="F262" s="5" t="n">
        <v>0</v>
      </c>
      <c r="G262" s="5" t="n">
        <v>0</v>
      </c>
      <c r="H262" s="5" t="n">
        <v>1</v>
      </c>
      <c r="I262" s="5" t="n">
        <v>0</v>
      </c>
      <c r="J262" s="5" t="n">
        <v>0</v>
      </c>
      <c r="K262" s="5" t="n">
        <v>1</v>
      </c>
      <c r="L262" s="5" t="n">
        <v>0</v>
      </c>
      <c r="M262" s="5" t="n">
        <v>1</v>
      </c>
      <c r="N262" s="5" t="n">
        <v>1</v>
      </c>
      <c r="O262" s="5" t="n">
        <v>1</v>
      </c>
      <c r="P262" s="5" t="n">
        <v>0</v>
      </c>
      <c r="Q262" s="5" t="n">
        <v>1</v>
      </c>
      <c r="R262" s="5" t="n">
        <v>1</v>
      </c>
      <c r="S262" s="5" t="n">
        <v>1</v>
      </c>
      <c r="T262" s="5" t="n">
        <v>0</v>
      </c>
      <c r="U262" s="5" t="n">
        <v>0</v>
      </c>
      <c r="V262" s="5" t="n">
        <v>0</v>
      </c>
      <c r="W262" s="5" t="n">
        <f aca="false">SUM(C262:V262)</f>
        <v>10</v>
      </c>
    </row>
    <row r="263" customFormat="false" ht="17.9" hidden="false" customHeight="false" outlineLevel="0" collapsed="false">
      <c r="A263" s="5" t="s">
        <v>296</v>
      </c>
      <c r="B263" s="5" t="s">
        <v>35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1</v>
      </c>
      <c r="L263" s="5" t="n">
        <v>0</v>
      </c>
      <c r="M263" s="5" t="n">
        <v>0</v>
      </c>
      <c r="N263" s="5" t="n">
        <v>1</v>
      </c>
      <c r="O263" s="5" t="n">
        <v>0</v>
      </c>
      <c r="P263" s="5" t="n">
        <v>0</v>
      </c>
      <c r="Q263" s="5" t="n">
        <v>1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f aca="false">SUM(C263:V263)</f>
        <v>3</v>
      </c>
    </row>
    <row r="264" customFormat="false" ht="17.9" hidden="false" customHeight="false" outlineLevel="0" collapsed="false">
      <c r="A264" s="5" t="s">
        <v>297</v>
      </c>
      <c r="B264" s="5" t="s">
        <v>35</v>
      </c>
      <c r="C264" s="5" t="n">
        <v>1</v>
      </c>
      <c r="D264" s="5" t="n">
        <v>1</v>
      </c>
      <c r="E264" s="5" t="n">
        <v>1</v>
      </c>
      <c r="F264" s="5" t="n">
        <v>0</v>
      </c>
      <c r="G264" s="5" t="n">
        <v>1</v>
      </c>
      <c r="H264" s="5" t="n">
        <v>1</v>
      </c>
      <c r="I264" s="5" t="n">
        <v>1</v>
      </c>
      <c r="J264" s="5" t="n">
        <v>0</v>
      </c>
      <c r="K264" s="5" t="n">
        <v>0</v>
      </c>
      <c r="L264" s="5" t="n">
        <v>1</v>
      </c>
      <c r="M264" s="5" t="n">
        <v>1</v>
      </c>
      <c r="N264" s="5" t="n">
        <v>1</v>
      </c>
      <c r="O264" s="5" t="n">
        <v>0</v>
      </c>
      <c r="P264" s="5" t="n">
        <v>0</v>
      </c>
      <c r="Q264" s="5" t="n">
        <v>1</v>
      </c>
      <c r="R264" s="5" t="n">
        <v>1</v>
      </c>
      <c r="S264" s="5" t="n">
        <v>1</v>
      </c>
      <c r="T264" s="5" t="n">
        <v>1</v>
      </c>
      <c r="U264" s="5" t="n">
        <v>0</v>
      </c>
      <c r="V264" s="5" t="n">
        <v>0</v>
      </c>
      <c r="W264" s="5" t="n">
        <f aca="false">SUM(C264:V264)</f>
        <v>13</v>
      </c>
    </row>
    <row r="265" customFormat="false" ht="17.9" hidden="false" customHeight="false" outlineLevel="0" collapsed="false">
      <c r="A265" s="5" t="s">
        <v>298</v>
      </c>
      <c r="B265" s="5" t="s">
        <v>35</v>
      </c>
      <c r="C265" s="5" t="n">
        <v>1</v>
      </c>
      <c r="D265" s="5" t="n">
        <v>1</v>
      </c>
      <c r="E265" s="5" t="n">
        <v>1</v>
      </c>
      <c r="F265" s="5" t="n">
        <v>0</v>
      </c>
      <c r="G265" s="5" t="n">
        <v>1</v>
      </c>
      <c r="H265" s="5" t="n">
        <v>1</v>
      </c>
      <c r="I265" s="5" t="n">
        <v>1</v>
      </c>
      <c r="J265" s="5" t="n">
        <v>1</v>
      </c>
      <c r="K265" s="5" t="n">
        <v>1</v>
      </c>
      <c r="L265" s="5" t="n">
        <v>1</v>
      </c>
      <c r="M265" s="5" t="n">
        <v>1</v>
      </c>
      <c r="N265" s="5" t="n">
        <v>1</v>
      </c>
      <c r="O265" s="5" t="n">
        <v>1</v>
      </c>
      <c r="P265" s="5" t="n">
        <v>1</v>
      </c>
      <c r="Q265" s="5" t="n">
        <v>1</v>
      </c>
      <c r="R265" s="5" t="n">
        <v>1</v>
      </c>
      <c r="S265" s="5" t="n">
        <v>1</v>
      </c>
      <c r="T265" s="5" t="n">
        <v>1</v>
      </c>
      <c r="U265" s="5" t="n">
        <v>1</v>
      </c>
      <c r="V265" s="5" t="n">
        <v>1</v>
      </c>
      <c r="W265" s="5" t="n">
        <f aca="false">SUM(C265:V265)</f>
        <v>19</v>
      </c>
    </row>
    <row r="266" customFormat="false" ht="17.9" hidden="false" customHeight="false" outlineLevel="0" collapsed="false">
      <c r="A266" s="5" t="s">
        <v>299</v>
      </c>
      <c r="B266" s="5" t="s">
        <v>35</v>
      </c>
      <c r="C266" s="5" t="n">
        <v>1</v>
      </c>
      <c r="D266" s="5" t="n">
        <v>1</v>
      </c>
      <c r="E266" s="5" t="n">
        <v>1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1</v>
      </c>
      <c r="O266" s="5" t="n">
        <v>1</v>
      </c>
      <c r="P266" s="5" t="n">
        <v>0</v>
      </c>
      <c r="Q266" s="5" t="n">
        <v>1</v>
      </c>
      <c r="R266" s="5" t="n">
        <v>0</v>
      </c>
      <c r="S266" s="5" t="n">
        <v>1</v>
      </c>
      <c r="T266" s="5" t="n">
        <v>0</v>
      </c>
      <c r="U266" s="5" t="n">
        <v>0</v>
      </c>
      <c r="V266" s="5" t="n">
        <v>0</v>
      </c>
      <c r="W266" s="5" t="n">
        <f aca="false">SUM(C266:V266)</f>
        <v>7</v>
      </c>
    </row>
    <row r="267" customFormat="false" ht="17.9" hidden="false" customHeight="false" outlineLevel="0" collapsed="false">
      <c r="A267" s="5" t="s">
        <v>300</v>
      </c>
      <c r="B267" s="5" t="s">
        <v>35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1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f aca="false">SUM(C267:V267)</f>
        <v>1</v>
      </c>
    </row>
    <row r="268" customFormat="false" ht="17.9" hidden="false" customHeight="false" outlineLevel="0" collapsed="false">
      <c r="A268" s="5" t="s">
        <v>301</v>
      </c>
      <c r="B268" s="5" t="s">
        <v>35</v>
      </c>
      <c r="C268" s="5" t="n">
        <v>1</v>
      </c>
      <c r="D268" s="5" t="n">
        <v>1</v>
      </c>
      <c r="E268" s="5" t="n">
        <v>1</v>
      </c>
      <c r="F268" s="5" t="n">
        <v>0</v>
      </c>
      <c r="G268" s="5" t="n">
        <v>0</v>
      </c>
      <c r="H268" s="5" t="n">
        <v>1</v>
      </c>
      <c r="I268" s="5" t="n">
        <v>0</v>
      </c>
      <c r="J268" s="5" t="n">
        <v>0</v>
      </c>
      <c r="K268" s="5" t="n">
        <v>1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1</v>
      </c>
      <c r="R268" s="5" t="n">
        <v>1</v>
      </c>
      <c r="S268" s="5" t="n">
        <v>1</v>
      </c>
      <c r="T268" s="5" t="n">
        <v>1</v>
      </c>
      <c r="U268" s="5" t="n">
        <v>0</v>
      </c>
      <c r="V268" s="5" t="n">
        <v>0</v>
      </c>
      <c r="W268" s="5" t="n">
        <f aca="false">SUM(C268:V268)</f>
        <v>9</v>
      </c>
    </row>
    <row r="269" customFormat="false" ht="17.9" hidden="false" customHeight="false" outlineLevel="0" collapsed="false">
      <c r="A269" s="5" t="s">
        <v>302</v>
      </c>
      <c r="B269" s="5" t="s">
        <v>35</v>
      </c>
      <c r="C269" s="5" t="n">
        <v>1</v>
      </c>
      <c r="D269" s="5" t="n">
        <v>0</v>
      </c>
      <c r="E269" s="5" t="n">
        <v>1</v>
      </c>
      <c r="F269" s="5" t="n">
        <v>1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1</v>
      </c>
      <c r="P269" s="5" t="n">
        <v>1</v>
      </c>
      <c r="Q269" s="5" t="n">
        <v>1</v>
      </c>
      <c r="R269" s="5" t="n">
        <v>0</v>
      </c>
      <c r="S269" s="5" t="n">
        <v>1</v>
      </c>
      <c r="T269" s="5" t="n">
        <v>1</v>
      </c>
      <c r="U269" s="5" t="n">
        <v>0</v>
      </c>
      <c r="V269" s="5" t="n">
        <v>0</v>
      </c>
      <c r="W269" s="5" t="n">
        <f aca="false">SUM(C269:V269)</f>
        <v>11</v>
      </c>
    </row>
    <row r="270" customFormat="false" ht="17.9" hidden="false" customHeight="false" outlineLevel="0" collapsed="false">
      <c r="A270" s="5" t="s">
        <v>303</v>
      </c>
      <c r="B270" s="5" t="s">
        <v>35</v>
      </c>
      <c r="C270" s="5" t="n">
        <v>0</v>
      </c>
      <c r="D270" s="5" t="n">
        <v>1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1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1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f aca="false">SUM(C270:V270)</f>
        <v>7</v>
      </c>
    </row>
    <row r="271" customFormat="false" ht="17.9" hidden="false" customHeight="false" outlineLevel="0" collapsed="false">
      <c r="A271" s="5" t="s">
        <v>304</v>
      </c>
      <c r="B271" s="5" t="s">
        <v>35</v>
      </c>
      <c r="C271" s="5" t="n">
        <v>1</v>
      </c>
      <c r="D271" s="5" t="n">
        <v>1</v>
      </c>
      <c r="E271" s="5" t="n">
        <v>1</v>
      </c>
      <c r="F271" s="5" t="n">
        <v>0</v>
      </c>
      <c r="G271" s="5" t="n">
        <v>0</v>
      </c>
      <c r="H271" s="5" t="n">
        <v>1</v>
      </c>
      <c r="I271" s="5" t="n">
        <v>0</v>
      </c>
      <c r="J271" s="5" t="n">
        <v>1</v>
      </c>
      <c r="K271" s="5" t="n">
        <v>1</v>
      </c>
      <c r="L271" s="5" t="n">
        <v>1</v>
      </c>
      <c r="M271" s="5" t="n">
        <v>0</v>
      </c>
      <c r="N271" s="5" t="n">
        <v>1</v>
      </c>
      <c r="O271" s="5" t="n">
        <v>0</v>
      </c>
      <c r="P271" s="5" t="n">
        <v>1</v>
      </c>
      <c r="Q271" s="5" t="n">
        <v>1</v>
      </c>
      <c r="R271" s="5" t="n">
        <v>0</v>
      </c>
      <c r="S271" s="5" t="n">
        <v>1</v>
      </c>
      <c r="T271" s="5" t="n">
        <v>1</v>
      </c>
      <c r="U271" s="5" t="n">
        <v>0</v>
      </c>
      <c r="V271" s="5" t="n">
        <v>1</v>
      </c>
      <c r="W271" s="5" t="n">
        <f aca="false">SUM(C271:V271)</f>
        <v>13</v>
      </c>
    </row>
    <row r="272" customFormat="false" ht="17.9" hidden="false" customHeight="false" outlineLevel="0" collapsed="false">
      <c r="A272" s="5" t="s">
        <v>305</v>
      </c>
      <c r="B272" s="5" t="s">
        <v>35</v>
      </c>
      <c r="C272" s="5" t="n">
        <v>1</v>
      </c>
      <c r="D272" s="5" t="n">
        <v>0</v>
      </c>
      <c r="E272" s="5" t="n">
        <v>1</v>
      </c>
      <c r="F272" s="5" t="n">
        <v>0</v>
      </c>
      <c r="G272" s="5" t="n">
        <v>0</v>
      </c>
      <c r="H272" s="5" t="n">
        <v>1</v>
      </c>
      <c r="I272" s="5" t="n">
        <v>0</v>
      </c>
      <c r="J272" s="5" t="n">
        <v>1</v>
      </c>
      <c r="K272" s="5" t="n">
        <v>1</v>
      </c>
      <c r="L272" s="5" t="n">
        <v>1</v>
      </c>
      <c r="M272" s="5" t="n">
        <v>1</v>
      </c>
      <c r="N272" s="5" t="n">
        <v>1</v>
      </c>
      <c r="O272" s="5" t="n">
        <v>1</v>
      </c>
      <c r="P272" s="5" t="n">
        <v>0</v>
      </c>
      <c r="Q272" s="5" t="n">
        <v>1</v>
      </c>
      <c r="R272" s="5" t="n">
        <v>1</v>
      </c>
      <c r="S272" s="5" t="n">
        <v>1</v>
      </c>
      <c r="T272" s="5" t="n">
        <v>0</v>
      </c>
      <c r="U272" s="5" t="n">
        <v>0</v>
      </c>
      <c r="V272" s="5" t="n">
        <v>0</v>
      </c>
      <c r="W272" s="5" t="n">
        <f aca="false">SUM(C272:V272)</f>
        <v>12</v>
      </c>
    </row>
    <row r="273" customFormat="false" ht="17.9" hidden="false" customHeight="false" outlineLevel="0" collapsed="false">
      <c r="A273" s="5" t="s">
        <v>306</v>
      </c>
      <c r="B273" s="5" t="s">
        <v>35</v>
      </c>
      <c r="C273" s="5" t="n">
        <v>1</v>
      </c>
      <c r="D273" s="5" t="n">
        <v>1</v>
      </c>
      <c r="E273" s="5" t="n">
        <v>1</v>
      </c>
      <c r="F273" s="5" t="n">
        <v>1</v>
      </c>
      <c r="G273" s="5" t="n">
        <v>1</v>
      </c>
      <c r="H273" s="5" t="n">
        <v>1</v>
      </c>
      <c r="I273" s="5" t="n">
        <v>1</v>
      </c>
      <c r="J273" s="5" t="n">
        <v>1</v>
      </c>
      <c r="K273" s="5" t="n">
        <v>1</v>
      </c>
      <c r="L273" s="5" t="n">
        <v>1</v>
      </c>
      <c r="M273" s="5" t="n">
        <v>1</v>
      </c>
      <c r="N273" s="5" t="n">
        <v>1</v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5" t="n">
        <v>1</v>
      </c>
      <c r="U273" s="5" t="n">
        <v>1</v>
      </c>
      <c r="V273" s="5" t="n">
        <v>1</v>
      </c>
      <c r="W273" s="5" t="n">
        <f aca="false">SUM(C273:V273)</f>
        <v>20</v>
      </c>
    </row>
    <row r="274" customFormat="false" ht="17.9" hidden="false" customHeight="false" outlineLevel="0" collapsed="false">
      <c r="A274" s="5" t="s">
        <v>307</v>
      </c>
      <c r="B274" s="5" t="s">
        <v>35</v>
      </c>
      <c r="C274" s="5" t="n">
        <v>1</v>
      </c>
      <c r="D274" s="5" t="n">
        <v>1</v>
      </c>
      <c r="E274" s="5" t="n">
        <v>1</v>
      </c>
      <c r="F274" s="5" t="n">
        <v>0</v>
      </c>
      <c r="G274" s="5" t="n">
        <v>1</v>
      </c>
      <c r="H274" s="5" t="n">
        <v>1</v>
      </c>
      <c r="I274" s="5" t="n">
        <v>0</v>
      </c>
      <c r="J274" s="5" t="n">
        <v>1</v>
      </c>
      <c r="K274" s="5" t="n">
        <v>1</v>
      </c>
      <c r="L274" s="5" t="n">
        <v>1</v>
      </c>
      <c r="M274" s="5" t="n">
        <v>1</v>
      </c>
      <c r="N274" s="5" t="n">
        <v>1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1</v>
      </c>
      <c r="T274" s="5" t="n">
        <v>1</v>
      </c>
      <c r="U274" s="5" t="n">
        <v>0</v>
      </c>
      <c r="V274" s="5" t="n">
        <v>0</v>
      </c>
      <c r="W274" s="5" t="n">
        <f aca="false">SUM(C274:V274)</f>
        <v>13</v>
      </c>
    </row>
    <row r="275" customFormat="false" ht="17.9" hidden="false" customHeight="false" outlineLevel="0" collapsed="false">
      <c r="A275" s="5" t="s">
        <v>308</v>
      </c>
      <c r="B275" s="5" t="s">
        <v>35</v>
      </c>
      <c r="C275" s="5" t="n">
        <v>1</v>
      </c>
      <c r="D275" s="5" t="n">
        <v>1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1</v>
      </c>
      <c r="O275" s="5" t="n">
        <v>1</v>
      </c>
      <c r="P275" s="5" t="n">
        <v>0</v>
      </c>
      <c r="Q275" s="5" t="n">
        <v>1</v>
      </c>
      <c r="R275" s="5" t="n">
        <v>1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f aca="false">SUM(C275:V275)</f>
        <v>8</v>
      </c>
    </row>
    <row r="276" customFormat="false" ht="17.9" hidden="false" customHeight="false" outlineLevel="0" collapsed="false">
      <c r="A276" s="5" t="s">
        <v>309</v>
      </c>
      <c r="B276" s="5" t="s">
        <v>35</v>
      </c>
      <c r="C276" s="5" t="n">
        <v>1</v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1</v>
      </c>
      <c r="T276" s="5" t="n">
        <v>0</v>
      </c>
      <c r="U276" s="5" t="n">
        <v>0</v>
      </c>
      <c r="V276" s="5" t="n">
        <v>0</v>
      </c>
      <c r="W276" s="5" t="n">
        <f aca="false">SUM(C276:V276)</f>
        <v>5</v>
      </c>
    </row>
    <row r="277" customFormat="false" ht="17.9" hidden="false" customHeight="false" outlineLevel="0" collapsed="false">
      <c r="A277" s="5" t="s">
        <v>310</v>
      </c>
      <c r="B277" s="5" t="s">
        <v>35</v>
      </c>
      <c r="C277" s="5" t="n">
        <v>1</v>
      </c>
      <c r="D277" s="5" t="n">
        <v>1</v>
      </c>
      <c r="E277" s="5" t="n">
        <v>1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1</v>
      </c>
      <c r="M277" s="5" t="n">
        <v>0</v>
      </c>
      <c r="N277" s="5" t="n">
        <v>1</v>
      </c>
      <c r="O277" s="5" t="n">
        <v>1</v>
      </c>
      <c r="P277" s="5" t="n">
        <v>0</v>
      </c>
      <c r="Q277" s="5" t="n">
        <v>1</v>
      </c>
      <c r="R277" s="5" t="n">
        <v>1</v>
      </c>
      <c r="S277" s="5" t="n">
        <v>1</v>
      </c>
      <c r="T277" s="5" t="n">
        <v>1</v>
      </c>
      <c r="U277" s="5" t="n">
        <v>0</v>
      </c>
      <c r="V277" s="5" t="n">
        <v>0</v>
      </c>
      <c r="W277" s="5" t="n">
        <f aca="false">SUM(C277:V277)</f>
        <v>13</v>
      </c>
    </row>
    <row r="278" customFormat="false" ht="17.9" hidden="false" customHeight="false" outlineLevel="0" collapsed="false">
      <c r="A278" s="5" t="s">
        <v>311</v>
      </c>
      <c r="B278" s="5" t="s">
        <v>35</v>
      </c>
      <c r="C278" s="5" t="n">
        <v>0</v>
      </c>
      <c r="D278" s="5" t="n">
        <v>0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1</v>
      </c>
      <c r="J278" s="5" t="n">
        <v>0</v>
      </c>
      <c r="K278" s="5" t="n">
        <v>1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1</v>
      </c>
      <c r="R278" s="5" t="n">
        <v>0</v>
      </c>
      <c r="S278" s="5" t="n">
        <v>1</v>
      </c>
      <c r="T278" s="5" t="n">
        <v>1</v>
      </c>
      <c r="U278" s="5" t="n">
        <v>1</v>
      </c>
      <c r="V278" s="5" t="n">
        <v>0</v>
      </c>
      <c r="W278" s="5" t="n">
        <f aca="false">SUM(C278:V278)</f>
        <v>9</v>
      </c>
    </row>
    <row r="279" customFormat="false" ht="17.9" hidden="false" customHeight="false" outlineLevel="0" collapsed="false">
      <c r="A279" s="5" t="s">
        <v>312</v>
      </c>
      <c r="B279" s="5" t="s">
        <v>35</v>
      </c>
      <c r="C279" s="5" t="n">
        <v>1</v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1</v>
      </c>
      <c r="T279" s="5" t="n">
        <v>0</v>
      </c>
      <c r="U279" s="5" t="n">
        <v>0</v>
      </c>
      <c r="V279" s="5" t="n">
        <v>0</v>
      </c>
      <c r="W279" s="5" t="n">
        <f aca="false">SUM(C279:V279)</f>
        <v>4</v>
      </c>
    </row>
    <row r="280" customFormat="false" ht="17.9" hidden="false" customHeight="false" outlineLevel="0" collapsed="false">
      <c r="A280" s="5" t="s">
        <v>313</v>
      </c>
      <c r="B280" s="5" t="s">
        <v>35</v>
      </c>
      <c r="C280" s="5" t="n">
        <v>1</v>
      </c>
      <c r="D280" s="5" t="n">
        <v>0</v>
      </c>
      <c r="E280" s="5" t="n">
        <v>1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1</v>
      </c>
      <c r="T280" s="5" t="n">
        <v>0</v>
      </c>
      <c r="U280" s="5" t="n">
        <v>1</v>
      </c>
      <c r="V280" s="5" t="n">
        <v>0</v>
      </c>
      <c r="W280" s="5" t="n">
        <f aca="false">SUM(C280:V280)</f>
        <v>7</v>
      </c>
    </row>
    <row r="281" customFormat="false" ht="17.9" hidden="false" customHeight="false" outlineLevel="0" collapsed="false">
      <c r="A281" s="5" t="s">
        <v>314</v>
      </c>
      <c r="B281" s="5" t="s">
        <v>35</v>
      </c>
      <c r="C281" s="5" t="n">
        <v>1</v>
      </c>
      <c r="D281" s="5" t="n">
        <v>1</v>
      </c>
      <c r="E281" s="5" t="n">
        <v>1</v>
      </c>
      <c r="F281" s="5" t="n">
        <v>0</v>
      </c>
      <c r="G281" s="5" t="n">
        <v>0</v>
      </c>
      <c r="H281" s="5" t="n">
        <v>1</v>
      </c>
      <c r="I281" s="5" t="n">
        <v>0</v>
      </c>
      <c r="J281" s="5" t="n">
        <v>0</v>
      </c>
      <c r="K281" s="5" t="n">
        <v>1</v>
      </c>
      <c r="L281" s="5" t="n">
        <v>1</v>
      </c>
      <c r="M281" s="5" t="n">
        <v>0</v>
      </c>
      <c r="N281" s="5" t="n">
        <v>1</v>
      </c>
      <c r="O281" s="5" t="n">
        <v>1</v>
      </c>
      <c r="P281" s="5" t="n">
        <v>0</v>
      </c>
      <c r="Q281" s="5" t="n">
        <v>1</v>
      </c>
      <c r="R281" s="5" t="n">
        <v>0</v>
      </c>
      <c r="S281" s="5" t="n">
        <v>1</v>
      </c>
      <c r="T281" s="5" t="n">
        <v>1</v>
      </c>
      <c r="U281" s="5" t="n">
        <v>1</v>
      </c>
      <c r="V281" s="5" t="n">
        <v>1</v>
      </c>
      <c r="W281" s="5" t="n">
        <f aca="false">SUM(C281:V281)</f>
        <v>13</v>
      </c>
    </row>
    <row r="282" customFormat="false" ht="17.9" hidden="false" customHeight="false" outlineLevel="0" collapsed="false">
      <c r="A282" s="5" t="s">
        <v>315</v>
      </c>
      <c r="B282" s="5" t="s">
        <v>35</v>
      </c>
      <c r="C282" s="5" t="n">
        <v>1</v>
      </c>
      <c r="D282" s="5" t="n">
        <v>0</v>
      </c>
      <c r="E282" s="5" t="n">
        <v>1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f aca="false">SUM(C282:V282)</f>
        <v>5</v>
      </c>
    </row>
    <row r="283" customFormat="false" ht="17.9" hidden="false" customHeight="false" outlineLevel="0" collapsed="false">
      <c r="A283" s="5" t="s">
        <v>316</v>
      </c>
      <c r="B283" s="5" t="s">
        <v>35</v>
      </c>
      <c r="C283" s="5" t="n">
        <v>0</v>
      </c>
      <c r="D283" s="5" t="n">
        <v>0</v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1</v>
      </c>
      <c r="L283" s="5" t="n">
        <v>0</v>
      </c>
      <c r="M283" s="5" t="n">
        <v>0</v>
      </c>
      <c r="N283" s="5" t="n">
        <v>1</v>
      </c>
      <c r="O283" s="5" t="n">
        <v>0</v>
      </c>
      <c r="P283" s="5" t="n">
        <v>1</v>
      </c>
      <c r="Q283" s="5" t="n">
        <v>1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f aca="false">SUM(C283:V283)</f>
        <v>4</v>
      </c>
    </row>
    <row r="284" customFormat="false" ht="17.9" hidden="false" customHeight="false" outlineLevel="0" collapsed="false">
      <c r="A284" s="5" t="s">
        <v>317</v>
      </c>
      <c r="B284" s="5" t="s">
        <v>35</v>
      </c>
      <c r="C284" s="5" t="n">
        <v>0</v>
      </c>
      <c r="D284" s="5" t="n">
        <v>0</v>
      </c>
      <c r="E284" s="5" t="n">
        <v>0</v>
      </c>
      <c r="F284" s="5" t="n">
        <v>0</v>
      </c>
      <c r="G284" s="5" t="n">
        <v>0</v>
      </c>
      <c r="H284" s="5" t="n">
        <v>0</v>
      </c>
      <c r="I284" s="5" t="n">
        <v>0</v>
      </c>
      <c r="J284" s="5" t="n">
        <v>0</v>
      </c>
      <c r="K284" s="5" t="n">
        <v>1</v>
      </c>
      <c r="L284" s="5" t="n">
        <v>0</v>
      </c>
      <c r="M284" s="5" t="n">
        <v>0</v>
      </c>
      <c r="N284" s="5" t="n">
        <v>0</v>
      </c>
      <c r="O284" s="5" t="n">
        <v>0</v>
      </c>
      <c r="P284" s="5" t="n">
        <v>0</v>
      </c>
      <c r="Q284" s="5" t="n">
        <v>1</v>
      </c>
      <c r="R284" s="5" t="n">
        <v>0</v>
      </c>
      <c r="S284" s="5" t="n">
        <v>0</v>
      </c>
      <c r="T284" s="5" t="n">
        <v>0</v>
      </c>
      <c r="U284" s="5" t="n">
        <v>0</v>
      </c>
      <c r="V284" s="5" t="n">
        <v>0</v>
      </c>
      <c r="W284" s="5" t="n">
        <f aca="false">SUM(C284:V284)</f>
        <v>2</v>
      </c>
    </row>
    <row r="285" customFormat="false" ht="17.9" hidden="false" customHeight="false" outlineLevel="0" collapsed="false">
      <c r="A285" s="5" t="s">
        <v>318</v>
      </c>
      <c r="B285" s="5" t="s">
        <v>35</v>
      </c>
      <c r="C285" s="5" t="n">
        <v>0</v>
      </c>
      <c r="D285" s="5" t="n">
        <v>1</v>
      </c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0</v>
      </c>
      <c r="J285" s="5" t="n">
        <v>0</v>
      </c>
      <c r="K285" s="5" t="n">
        <v>1</v>
      </c>
      <c r="L285" s="5" t="n">
        <v>0</v>
      </c>
      <c r="M285" s="5" t="n">
        <v>0</v>
      </c>
      <c r="N285" s="5" t="n">
        <v>1</v>
      </c>
      <c r="O285" s="5" t="n">
        <v>0</v>
      </c>
      <c r="P285" s="5" t="n">
        <v>0</v>
      </c>
      <c r="Q285" s="5" t="n">
        <v>1</v>
      </c>
      <c r="R285" s="5" t="n">
        <v>0</v>
      </c>
      <c r="S285" s="5" t="n">
        <v>0</v>
      </c>
      <c r="T285" s="5" t="n">
        <v>0</v>
      </c>
      <c r="U285" s="5" t="n">
        <v>0</v>
      </c>
      <c r="V285" s="5" t="n">
        <v>0</v>
      </c>
      <c r="W285" s="5" t="n">
        <f aca="false">SUM(C285:V285)</f>
        <v>4</v>
      </c>
    </row>
    <row r="286" customFormat="false" ht="17.9" hidden="false" customHeight="false" outlineLevel="0" collapsed="false">
      <c r="A286" s="5" t="s">
        <v>319</v>
      </c>
      <c r="B286" s="5" t="s">
        <v>35</v>
      </c>
      <c r="C286" s="5" t="n">
        <v>0</v>
      </c>
      <c r="D286" s="5" t="n">
        <v>0</v>
      </c>
      <c r="E286" s="5" t="n">
        <v>0</v>
      </c>
      <c r="F286" s="5" t="n">
        <v>0</v>
      </c>
      <c r="G286" s="5" t="n">
        <v>0</v>
      </c>
      <c r="H286" s="5" t="n">
        <v>0</v>
      </c>
      <c r="I286" s="5" t="n">
        <v>0</v>
      </c>
      <c r="J286" s="5" t="n">
        <v>0</v>
      </c>
      <c r="K286" s="5" t="n">
        <v>1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1</v>
      </c>
      <c r="R286" s="5" t="n">
        <v>0</v>
      </c>
      <c r="S286" s="5" t="n">
        <v>1</v>
      </c>
      <c r="T286" s="5" t="n">
        <v>0</v>
      </c>
      <c r="U286" s="5" t="n">
        <v>0</v>
      </c>
      <c r="V286" s="5" t="n">
        <v>0</v>
      </c>
      <c r="W286" s="5" t="n">
        <f aca="false">SUM(C286:V286)</f>
        <v>3</v>
      </c>
    </row>
    <row r="287" customFormat="false" ht="17.9" hidden="false" customHeight="false" outlineLevel="0" collapsed="false">
      <c r="A287" s="5" t="s">
        <v>320</v>
      </c>
      <c r="B287" s="5" t="s">
        <v>35</v>
      </c>
      <c r="C287" s="5" t="n">
        <v>0</v>
      </c>
      <c r="D287" s="5" t="n">
        <v>1</v>
      </c>
      <c r="E287" s="5" t="n">
        <v>1</v>
      </c>
      <c r="F287" s="5" t="n">
        <v>0</v>
      </c>
      <c r="G287" s="5" t="n">
        <v>1</v>
      </c>
      <c r="H287" s="5" t="n">
        <v>1</v>
      </c>
      <c r="I287" s="5" t="n">
        <v>0</v>
      </c>
      <c r="J287" s="5" t="n">
        <v>1</v>
      </c>
      <c r="K287" s="5" t="n">
        <v>1</v>
      </c>
      <c r="L287" s="5" t="n">
        <v>1</v>
      </c>
      <c r="M287" s="5" t="n">
        <v>1</v>
      </c>
      <c r="N287" s="5" t="n">
        <v>1</v>
      </c>
      <c r="O287" s="5" t="n">
        <v>1</v>
      </c>
      <c r="P287" s="5" t="n">
        <v>1</v>
      </c>
      <c r="Q287" s="5" t="n">
        <v>1</v>
      </c>
      <c r="R287" s="5" t="n">
        <v>1</v>
      </c>
      <c r="S287" s="5" t="n">
        <v>1</v>
      </c>
      <c r="T287" s="5" t="n">
        <v>0</v>
      </c>
      <c r="U287" s="5" t="n">
        <v>1</v>
      </c>
      <c r="V287" s="5" t="n">
        <v>0</v>
      </c>
      <c r="W287" s="5" t="n">
        <f aca="false">SUM(C287:V287)</f>
        <v>15</v>
      </c>
    </row>
    <row r="288" customFormat="false" ht="17.9" hidden="false" customHeight="false" outlineLevel="0" collapsed="false">
      <c r="A288" s="5" t="s">
        <v>321</v>
      </c>
      <c r="B288" s="5" t="s">
        <v>35</v>
      </c>
      <c r="C288" s="5" t="n">
        <v>1</v>
      </c>
      <c r="D288" s="5" t="n">
        <v>1</v>
      </c>
      <c r="E288" s="5" t="n">
        <v>1</v>
      </c>
      <c r="F288" s="5" t="n">
        <v>1</v>
      </c>
      <c r="G288" s="5" t="n">
        <v>1</v>
      </c>
      <c r="H288" s="5" t="n">
        <v>1</v>
      </c>
      <c r="I288" s="5" t="n">
        <v>1</v>
      </c>
      <c r="J288" s="5" t="n">
        <v>1</v>
      </c>
      <c r="K288" s="5" t="n">
        <v>1</v>
      </c>
      <c r="L288" s="5" t="n">
        <v>1</v>
      </c>
      <c r="M288" s="5" t="n">
        <v>1</v>
      </c>
      <c r="N288" s="5" t="n">
        <v>1</v>
      </c>
      <c r="O288" s="5" t="n">
        <v>1</v>
      </c>
      <c r="P288" s="5" t="n">
        <v>1</v>
      </c>
      <c r="Q288" s="5" t="n">
        <v>1</v>
      </c>
      <c r="R288" s="5" t="n">
        <v>1</v>
      </c>
      <c r="S288" s="5" t="n">
        <v>1</v>
      </c>
      <c r="T288" s="5" t="n">
        <v>1</v>
      </c>
      <c r="U288" s="5" t="n">
        <v>1</v>
      </c>
      <c r="V288" s="5" t="n">
        <v>1</v>
      </c>
      <c r="W288" s="5" t="n">
        <f aca="false">SUM(C288:V288)</f>
        <v>20</v>
      </c>
    </row>
    <row r="289" customFormat="false" ht="17.9" hidden="false" customHeight="false" outlineLevel="0" collapsed="false">
      <c r="A289" s="5" t="s">
        <v>322</v>
      </c>
      <c r="B289" s="5" t="s">
        <v>35</v>
      </c>
      <c r="C289" s="5" t="n">
        <v>0</v>
      </c>
      <c r="D289" s="5" t="n">
        <v>0</v>
      </c>
      <c r="E289" s="5" t="n">
        <v>0</v>
      </c>
      <c r="F289" s="5" t="n">
        <v>0</v>
      </c>
      <c r="G289" s="5" t="n">
        <v>0</v>
      </c>
      <c r="H289" s="5" t="n">
        <v>0</v>
      </c>
      <c r="I289" s="5" t="n">
        <v>1</v>
      </c>
      <c r="J289" s="5" t="n">
        <v>0</v>
      </c>
      <c r="K289" s="5" t="n">
        <v>0</v>
      </c>
      <c r="L289" s="5" t="n">
        <v>0</v>
      </c>
      <c r="M289" s="5" t="n">
        <v>0</v>
      </c>
      <c r="N289" s="5" t="n">
        <v>1</v>
      </c>
      <c r="O289" s="5" t="n">
        <v>1</v>
      </c>
      <c r="P289" s="5" t="n">
        <v>0</v>
      </c>
      <c r="Q289" s="5" t="n">
        <v>1</v>
      </c>
      <c r="R289" s="5" t="n">
        <v>0</v>
      </c>
      <c r="S289" s="5" t="n">
        <v>1</v>
      </c>
      <c r="T289" s="5" t="n">
        <v>1</v>
      </c>
      <c r="U289" s="5" t="n">
        <v>0</v>
      </c>
      <c r="V289" s="5" t="n">
        <v>1</v>
      </c>
      <c r="W289" s="5" t="n">
        <f aca="false">SUM(C289:V289)</f>
        <v>7</v>
      </c>
    </row>
    <row r="290" customFormat="false" ht="17.9" hidden="false" customHeight="false" outlineLevel="0" collapsed="false">
      <c r="A290" s="5" t="s">
        <v>323</v>
      </c>
      <c r="B290" s="5" t="s">
        <v>35</v>
      </c>
      <c r="C290" s="5" t="n">
        <v>1</v>
      </c>
      <c r="D290" s="5" t="n">
        <v>1</v>
      </c>
      <c r="E290" s="5" t="n">
        <v>1</v>
      </c>
      <c r="F290" s="5" t="n">
        <v>0</v>
      </c>
      <c r="G290" s="5" t="n">
        <v>1</v>
      </c>
      <c r="H290" s="5" t="n">
        <v>1</v>
      </c>
      <c r="I290" s="5" t="n">
        <v>0</v>
      </c>
      <c r="J290" s="5" t="n">
        <v>0</v>
      </c>
      <c r="K290" s="5" t="n">
        <v>1</v>
      </c>
      <c r="L290" s="5" t="n">
        <v>0</v>
      </c>
      <c r="M290" s="5" t="n">
        <v>0</v>
      </c>
      <c r="N290" s="5" t="n">
        <v>1</v>
      </c>
      <c r="O290" s="5" t="n">
        <v>0</v>
      </c>
      <c r="P290" s="5" t="n">
        <v>0</v>
      </c>
      <c r="Q290" s="5" t="n">
        <v>1</v>
      </c>
      <c r="R290" s="5" t="n">
        <v>0</v>
      </c>
      <c r="S290" s="5" t="n">
        <v>0</v>
      </c>
      <c r="T290" s="5" t="n">
        <v>1</v>
      </c>
      <c r="U290" s="5" t="n">
        <v>0</v>
      </c>
      <c r="V290" s="5" t="n">
        <v>0</v>
      </c>
      <c r="W290" s="5" t="n">
        <f aca="false">SUM(C290:V290)</f>
        <v>9</v>
      </c>
    </row>
    <row r="291" customFormat="false" ht="17.9" hidden="false" customHeight="false" outlineLevel="0" collapsed="false">
      <c r="A291" s="5" t="s">
        <v>324</v>
      </c>
      <c r="B291" s="5" t="s">
        <v>35</v>
      </c>
      <c r="C291" s="5" t="n">
        <v>0</v>
      </c>
      <c r="D291" s="5" t="n">
        <v>0</v>
      </c>
      <c r="E291" s="5" t="n">
        <v>1</v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0</v>
      </c>
      <c r="L291" s="5" t="n">
        <v>0</v>
      </c>
      <c r="M291" s="5" t="n">
        <v>0</v>
      </c>
      <c r="N291" s="5" t="n">
        <v>1</v>
      </c>
      <c r="O291" s="5" t="n">
        <v>0</v>
      </c>
      <c r="P291" s="5" t="n">
        <v>0</v>
      </c>
      <c r="Q291" s="5" t="n">
        <v>1</v>
      </c>
      <c r="R291" s="5" t="n">
        <v>0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f aca="false">SUM(C291:V291)</f>
        <v>3</v>
      </c>
    </row>
    <row r="292" customFormat="false" ht="17.9" hidden="false" customHeight="false" outlineLevel="0" collapsed="false">
      <c r="A292" s="5" t="s">
        <v>325</v>
      </c>
      <c r="B292" s="5" t="s">
        <v>35</v>
      </c>
      <c r="C292" s="5" t="n">
        <v>0</v>
      </c>
      <c r="D292" s="5" t="n">
        <v>0</v>
      </c>
      <c r="E292" s="5" t="n">
        <v>1</v>
      </c>
      <c r="F292" s="5" t="n">
        <v>0</v>
      </c>
      <c r="G292" s="5" t="n">
        <v>0</v>
      </c>
      <c r="H292" s="5" t="n">
        <v>1</v>
      </c>
      <c r="I292" s="5" t="n">
        <v>0</v>
      </c>
      <c r="J292" s="5" t="n">
        <v>0</v>
      </c>
      <c r="K292" s="5" t="n">
        <v>1</v>
      </c>
      <c r="L292" s="5" t="n">
        <v>1</v>
      </c>
      <c r="M292" s="5" t="n">
        <v>0</v>
      </c>
      <c r="N292" s="5" t="n">
        <v>1</v>
      </c>
      <c r="O292" s="5" t="n">
        <v>0</v>
      </c>
      <c r="P292" s="5" t="n">
        <v>0</v>
      </c>
      <c r="Q292" s="5" t="n">
        <v>1</v>
      </c>
      <c r="R292" s="5" t="n">
        <v>0</v>
      </c>
      <c r="S292" s="5" t="n">
        <v>1</v>
      </c>
      <c r="T292" s="5" t="n">
        <v>0</v>
      </c>
      <c r="U292" s="5" t="n">
        <v>0</v>
      </c>
      <c r="V292" s="5" t="n">
        <v>0</v>
      </c>
      <c r="W292" s="5" t="n">
        <f aca="false">SUM(C292:V292)</f>
        <v>7</v>
      </c>
    </row>
    <row r="293" customFormat="false" ht="17.9" hidden="false" customHeight="false" outlineLevel="0" collapsed="false">
      <c r="A293" s="5" t="s">
        <v>326</v>
      </c>
      <c r="B293" s="5" t="s">
        <v>35</v>
      </c>
      <c r="C293" s="5" t="n">
        <v>0</v>
      </c>
      <c r="D293" s="5" t="n">
        <v>0</v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1</v>
      </c>
      <c r="L293" s="5" t="n">
        <v>0</v>
      </c>
      <c r="M293" s="5" t="n">
        <v>0</v>
      </c>
      <c r="N293" s="5" t="n">
        <v>1</v>
      </c>
      <c r="O293" s="5" t="n">
        <v>0</v>
      </c>
      <c r="P293" s="5" t="n">
        <v>0</v>
      </c>
      <c r="Q293" s="5" t="n">
        <v>1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f aca="false">SUM(C293:V293)</f>
        <v>3</v>
      </c>
    </row>
    <row r="294" customFormat="false" ht="17.9" hidden="false" customHeight="false" outlineLevel="0" collapsed="false">
      <c r="A294" s="5" t="s">
        <v>327</v>
      </c>
      <c r="B294" s="5" t="s">
        <v>35</v>
      </c>
      <c r="C294" s="5" t="n">
        <v>0</v>
      </c>
      <c r="D294" s="5" t="n">
        <v>0</v>
      </c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f aca="false">SUM(C294:V294)</f>
        <v>0</v>
      </c>
    </row>
    <row r="295" customFormat="false" ht="17.9" hidden="false" customHeight="false" outlineLevel="0" collapsed="false">
      <c r="A295" s="5" t="s">
        <v>328</v>
      </c>
      <c r="B295" s="5" t="s">
        <v>35</v>
      </c>
      <c r="C295" s="5" t="n">
        <v>0</v>
      </c>
      <c r="D295" s="5" t="n">
        <v>1</v>
      </c>
      <c r="E295" s="5" t="n">
        <v>1</v>
      </c>
      <c r="F295" s="5" t="n">
        <v>0</v>
      </c>
      <c r="G295" s="5" t="n">
        <v>1</v>
      </c>
      <c r="H295" s="5" t="n">
        <v>1</v>
      </c>
      <c r="I295" s="5" t="n">
        <v>0</v>
      </c>
      <c r="J295" s="5" t="n">
        <v>0</v>
      </c>
      <c r="K295" s="5" t="n">
        <v>1</v>
      </c>
      <c r="L295" s="5" t="n">
        <v>1</v>
      </c>
      <c r="M295" s="5" t="n">
        <v>0</v>
      </c>
      <c r="N295" s="5" t="n">
        <v>1</v>
      </c>
      <c r="O295" s="5" t="n">
        <v>1</v>
      </c>
      <c r="P295" s="5" t="n">
        <v>0</v>
      </c>
      <c r="Q295" s="5" t="n">
        <v>1</v>
      </c>
      <c r="R295" s="5" t="n">
        <v>1</v>
      </c>
      <c r="S295" s="5" t="n">
        <v>1</v>
      </c>
      <c r="T295" s="5" t="n">
        <v>1</v>
      </c>
      <c r="U295" s="5" t="n">
        <v>0</v>
      </c>
      <c r="V295" s="5" t="n">
        <v>0</v>
      </c>
      <c r="W295" s="5" t="n">
        <f aca="false">SUM(C295:V295)</f>
        <v>12</v>
      </c>
    </row>
    <row r="296" customFormat="false" ht="17.9" hidden="false" customHeight="false" outlineLevel="0" collapsed="false">
      <c r="A296" s="5" t="s">
        <v>329</v>
      </c>
      <c r="B296" s="5" t="s">
        <v>35</v>
      </c>
      <c r="C296" s="5" t="n">
        <v>0</v>
      </c>
      <c r="D296" s="5" t="n">
        <v>0</v>
      </c>
      <c r="E296" s="5" t="n">
        <v>0</v>
      </c>
      <c r="F296" s="5" t="n">
        <v>0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1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0</v>
      </c>
      <c r="V296" s="5" t="n">
        <v>0</v>
      </c>
      <c r="W296" s="5" t="n">
        <f aca="false">SUM(C296:V296)</f>
        <v>1</v>
      </c>
    </row>
    <row r="297" customFormat="false" ht="17.9" hidden="false" customHeight="false" outlineLevel="0" collapsed="false">
      <c r="A297" s="5" t="s">
        <v>330</v>
      </c>
      <c r="B297" s="5" t="s">
        <v>35</v>
      </c>
      <c r="C297" s="5" t="n">
        <v>0</v>
      </c>
      <c r="D297" s="5" t="n">
        <v>1</v>
      </c>
      <c r="E297" s="5" t="n">
        <v>1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1</v>
      </c>
      <c r="T297" s="5" t="n">
        <v>0</v>
      </c>
      <c r="U297" s="5" t="n">
        <v>1</v>
      </c>
      <c r="V297" s="5" t="n">
        <v>0</v>
      </c>
      <c r="W297" s="5" t="n">
        <f aca="false">SUM(C297:V297)</f>
        <v>7</v>
      </c>
    </row>
    <row r="298" customFormat="false" ht="17.9" hidden="false" customHeight="false" outlineLevel="0" collapsed="false">
      <c r="A298" s="5" t="s">
        <v>331</v>
      </c>
      <c r="B298" s="5" t="s">
        <v>35</v>
      </c>
      <c r="C298" s="5" t="n">
        <v>1</v>
      </c>
      <c r="D298" s="5" t="n">
        <v>1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0</v>
      </c>
      <c r="N298" s="5" t="n">
        <v>1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1</v>
      </c>
      <c r="T298" s="5" t="n">
        <v>0</v>
      </c>
      <c r="U298" s="5" t="n">
        <v>0</v>
      </c>
      <c r="V298" s="5" t="n">
        <v>0</v>
      </c>
      <c r="W298" s="5" t="n">
        <f aca="false">SUM(C298:V298)</f>
        <v>8</v>
      </c>
    </row>
    <row r="299" customFormat="false" ht="17.9" hidden="false" customHeight="false" outlineLevel="0" collapsed="false">
      <c r="A299" s="5" t="s">
        <v>332</v>
      </c>
      <c r="B299" s="5" t="s">
        <v>35</v>
      </c>
      <c r="C299" s="5" t="n">
        <v>1</v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1</v>
      </c>
      <c r="I299" s="5" t="n">
        <v>0</v>
      </c>
      <c r="J299" s="5" t="n">
        <v>1</v>
      </c>
      <c r="K299" s="5" t="n">
        <v>1</v>
      </c>
      <c r="L299" s="5" t="n">
        <v>0</v>
      </c>
      <c r="M299" s="5" t="n">
        <v>1</v>
      </c>
      <c r="N299" s="5" t="n">
        <v>1</v>
      </c>
      <c r="O299" s="5" t="n">
        <v>1</v>
      </c>
      <c r="P299" s="5" t="n">
        <v>1</v>
      </c>
      <c r="Q299" s="5" t="n">
        <v>1</v>
      </c>
      <c r="R299" s="5" t="n">
        <v>1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f aca="false">SUM(C299:V299)</f>
        <v>11</v>
      </c>
    </row>
    <row r="300" customFormat="false" ht="17.9" hidden="false" customHeight="false" outlineLevel="0" collapsed="false">
      <c r="A300" s="5" t="s">
        <v>333</v>
      </c>
      <c r="B300" s="5" t="s">
        <v>35</v>
      </c>
      <c r="C300" s="5" t="n">
        <v>0</v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1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1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f aca="false">SUM(C300:V300)</f>
        <v>5</v>
      </c>
    </row>
    <row r="301" customFormat="false" ht="17.9" hidden="false" customHeight="false" outlineLevel="0" collapsed="false">
      <c r="A301" s="5" t="s">
        <v>334</v>
      </c>
      <c r="B301" s="5" t="s">
        <v>35</v>
      </c>
      <c r="C301" s="5" t="n">
        <v>0</v>
      </c>
      <c r="D301" s="5" t="n">
        <v>0</v>
      </c>
      <c r="E301" s="5" t="n">
        <v>1</v>
      </c>
      <c r="F301" s="5" t="n">
        <v>0</v>
      </c>
      <c r="G301" s="5" t="n">
        <v>0</v>
      </c>
      <c r="H301" s="5" t="n">
        <v>1</v>
      </c>
      <c r="I301" s="5" t="n">
        <v>0</v>
      </c>
      <c r="J301" s="5" t="n">
        <v>0</v>
      </c>
      <c r="K301" s="5" t="n">
        <v>1</v>
      </c>
      <c r="L301" s="5" t="n">
        <v>1</v>
      </c>
      <c r="M301" s="5" t="n">
        <v>0</v>
      </c>
      <c r="N301" s="5" t="n">
        <v>1</v>
      </c>
      <c r="O301" s="5" t="n">
        <v>1</v>
      </c>
      <c r="P301" s="5" t="n">
        <v>0</v>
      </c>
      <c r="Q301" s="5" t="n">
        <v>1</v>
      </c>
      <c r="R301" s="5" t="n">
        <v>1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f aca="false">SUM(C301:V301)</f>
        <v>8</v>
      </c>
    </row>
    <row r="302" customFormat="false" ht="17.9" hidden="false" customHeight="false" outlineLevel="0" collapsed="false">
      <c r="A302" s="5" t="s">
        <v>335</v>
      </c>
      <c r="B302" s="5" t="s">
        <v>336</v>
      </c>
      <c r="C302" s="5" t="n">
        <v>0</v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f aca="false">SUM(C302:V302)</f>
        <v>1</v>
      </c>
    </row>
    <row r="303" customFormat="false" ht="17.9" hidden="false" customHeight="false" outlineLevel="0" collapsed="false">
      <c r="A303" s="5" t="s">
        <v>337</v>
      </c>
      <c r="B303" s="5" t="s">
        <v>336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1</v>
      </c>
      <c r="J303" s="5" t="n">
        <v>0</v>
      </c>
      <c r="K303" s="5" t="n">
        <v>1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1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f aca="false">SUM(C303:V303)</f>
        <v>4</v>
      </c>
    </row>
    <row r="304" customFormat="false" ht="17.9" hidden="false" customHeight="false" outlineLevel="0" collapsed="false">
      <c r="A304" s="5" t="s">
        <v>338</v>
      </c>
      <c r="B304" s="5" t="s">
        <v>336</v>
      </c>
      <c r="C304" s="5" t="n">
        <v>1</v>
      </c>
      <c r="D304" s="5" t="n">
        <v>0</v>
      </c>
      <c r="E304" s="5" t="n">
        <v>0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1</v>
      </c>
      <c r="R304" s="5" t="n">
        <v>1</v>
      </c>
      <c r="S304" s="5" t="n">
        <v>1</v>
      </c>
      <c r="T304" s="5" t="n">
        <v>0</v>
      </c>
      <c r="U304" s="5" t="n">
        <v>0</v>
      </c>
      <c r="V304" s="5" t="n">
        <v>0</v>
      </c>
      <c r="W304" s="5" t="n">
        <f aca="false">SUM(C304:V304)</f>
        <v>6</v>
      </c>
    </row>
    <row r="305" customFormat="false" ht="17.9" hidden="false" customHeight="false" outlineLevel="0" collapsed="false">
      <c r="A305" s="5" t="s">
        <v>339</v>
      </c>
      <c r="B305" s="5" t="s">
        <v>336</v>
      </c>
      <c r="C305" s="5" t="n">
        <v>1</v>
      </c>
      <c r="D305" s="5" t="n">
        <v>1</v>
      </c>
      <c r="E305" s="5" t="n">
        <v>1</v>
      </c>
      <c r="F305" s="5" t="n">
        <v>1</v>
      </c>
      <c r="G305" s="5" t="n">
        <v>0</v>
      </c>
      <c r="H305" s="5" t="n">
        <v>1</v>
      </c>
      <c r="I305" s="5" t="n">
        <v>1</v>
      </c>
      <c r="J305" s="5" t="n">
        <v>1</v>
      </c>
      <c r="K305" s="5" t="n">
        <v>1</v>
      </c>
      <c r="L305" s="5" t="n">
        <v>1</v>
      </c>
      <c r="M305" s="5" t="n">
        <v>1</v>
      </c>
      <c r="N305" s="5" t="n">
        <v>1</v>
      </c>
      <c r="O305" s="5" t="n">
        <v>1</v>
      </c>
      <c r="P305" s="5" t="n">
        <v>0</v>
      </c>
      <c r="Q305" s="5" t="n">
        <v>1</v>
      </c>
      <c r="R305" s="5" t="n">
        <v>1</v>
      </c>
      <c r="S305" s="5" t="n">
        <v>1</v>
      </c>
      <c r="T305" s="5" t="n">
        <v>1</v>
      </c>
      <c r="U305" s="5" t="n">
        <v>1</v>
      </c>
      <c r="V305" s="5" t="n">
        <v>0</v>
      </c>
      <c r="W305" s="5" t="n">
        <f aca="false">SUM(C305:V305)</f>
        <v>17</v>
      </c>
    </row>
    <row r="306" customFormat="false" ht="17.9" hidden="false" customHeight="false" outlineLevel="0" collapsed="false">
      <c r="A306" s="5" t="s">
        <v>340</v>
      </c>
      <c r="B306" s="5" t="s">
        <v>336</v>
      </c>
      <c r="C306" s="5" t="n">
        <v>0</v>
      </c>
      <c r="D306" s="5" t="n">
        <v>1</v>
      </c>
      <c r="E306" s="5" t="n">
        <v>1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1</v>
      </c>
      <c r="L306" s="5" t="n">
        <v>1</v>
      </c>
      <c r="M306" s="5" t="n">
        <v>1</v>
      </c>
      <c r="N306" s="5" t="n">
        <v>1</v>
      </c>
      <c r="O306" s="5" t="n">
        <v>1</v>
      </c>
      <c r="P306" s="5" t="n">
        <v>1</v>
      </c>
      <c r="Q306" s="5" t="n">
        <v>1</v>
      </c>
      <c r="R306" s="5" t="n">
        <v>0</v>
      </c>
      <c r="S306" s="5" t="n">
        <v>1</v>
      </c>
      <c r="T306" s="5" t="n">
        <v>1</v>
      </c>
      <c r="U306" s="5" t="n">
        <v>0</v>
      </c>
      <c r="V306" s="5" t="n">
        <v>0</v>
      </c>
      <c r="W306" s="5" t="n">
        <f aca="false">SUM(C306:V306)</f>
        <v>11</v>
      </c>
    </row>
    <row r="307" customFormat="false" ht="17.9" hidden="false" customHeight="false" outlineLevel="0" collapsed="false">
      <c r="A307" s="5" t="s">
        <v>341</v>
      </c>
      <c r="B307" s="5" t="s">
        <v>336</v>
      </c>
      <c r="C307" s="5" t="n">
        <v>0</v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1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1</v>
      </c>
      <c r="R307" s="5" t="n">
        <v>0</v>
      </c>
      <c r="S307" s="5" t="n">
        <v>1</v>
      </c>
      <c r="T307" s="5" t="n">
        <v>0</v>
      </c>
      <c r="U307" s="5" t="n">
        <v>0</v>
      </c>
      <c r="V307" s="5" t="n">
        <v>0</v>
      </c>
      <c r="W307" s="5" t="n">
        <f aca="false">SUM(C307:V307)</f>
        <v>5</v>
      </c>
    </row>
    <row r="308" customFormat="false" ht="17.9" hidden="false" customHeight="false" outlineLevel="0" collapsed="false">
      <c r="A308" s="5" t="s">
        <v>342</v>
      </c>
      <c r="B308" s="5" t="s">
        <v>336</v>
      </c>
      <c r="C308" s="5" t="n">
        <v>1</v>
      </c>
      <c r="D308" s="5" t="n">
        <v>1</v>
      </c>
      <c r="E308" s="5" t="n">
        <v>1</v>
      </c>
      <c r="F308" s="5" t="n">
        <v>0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1</v>
      </c>
      <c r="L308" s="5" t="n">
        <v>1</v>
      </c>
      <c r="M308" s="5" t="n">
        <v>1</v>
      </c>
      <c r="N308" s="5" t="n">
        <v>1</v>
      </c>
      <c r="O308" s="5" t="n">
        <v>0</v>
      </c>
      <c r="P308" s="5" t="n">
        <v>0</v>
      </c>
      <c r="Q308" s="5" t="n">
        <v>1</v>
      </c>
      <c r="R308" s="5" t="n">
        <v>1</v>
      </c>
      <c r="S308" s="5" t="n">
        <v>1</v>
      </c>
      <c r="T308" s="5" t="n">
        <v>1</v>
      </c>
      <c r="U308" s="5" t="n">
        <v>1</v>
      </c>
      <c r="V308" s="5" t="n">
        <v>0</v>
      </c>
      <c r="W308" s="5" t="n">
        <f aca="false">SUM(C308:V308)</f>
        <v>14</v>
      </c>
    </row>
    <row r="309" customFormat="false" ht="17.9" hidden="false" customHeight="false" outlineLevel="0" collapsed="false">
      <c r="A309" s="5" t="s">
        <v>343</v>
      </c>
      <c r="B309" s="5" t="s">
        <v>336</v>
      </c>
      <c r="C309" s="5" t="n">
        <v>1</v>
      </c>
      <c r="D309" s="5" t="n">
        <v>1</v>
      </c>
      <c r="E309" s="5" t="n">
        <v>1</v>
      </c>
      <c r="F309" s="5" t="n">
        <v>1</v>
      </c>
      <c r="G309" s="5" t="n">
        <v>1</v>
      </c>
      <c r="H309" s="5" t="n">
        <v>1</v>
      </c>
      <c r="I309" s="5" t="n">
        <v>1</v>
      </c>
      <c r="J309" s="5" t="n">
        <v>0</v>
      </c>
      <c r="K309" s="5" t="n">
        <v>1</v>
      </c>
      <c r="L309" s="5" t="n">
        <v>0</v>
      </c>
      <c r="M309" s="5" t="n">
        <v>1</v>
      </c>
      <c r="N309" s="5" t="n">
        <v>1</v>
      </c>
      <c r="O309" s="5" t="n">
        <v>0</v>
      </c>
      <c r="P309" s="5" t="n">
        <v>0</v>
      </c>
      <c r="Q309" s="5" t="n">
        <v>1</v>
      </c>
      <c r="R309" s="5" t="n">
        <v>1</v>
      </c>
      <c r="S309" s="5" t="n">
        <v>1</v>
      </c>
      <c r="T309" s="5" t="n">
        <v>1</v>
      </c>
      <c r="U309" s="5" t="n">
        <v>1</v>
      </c>
      <c r="V309" s="5" t="n">
        <v>0</v>
      </c>
      <c r="W309" s="5" t="n">
        <f aca="false">SUM(C309:V309)</f>
        <v>15</v>
      </c>
    </row>
    <row r="310" customFormat="false" ht="17.9" hidden="false" customHeight="false" outlineLevel="0" collapsed="false">
      <c r="A310" s="5" t="s">
        <v>344</v>
      </c>
      <c r="B310" s="5" t="s">
        <v>336</v>
      </c>
      <c r="C310" s="5" t="n">
        <v>0</v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0</v>
      </c>
      <c r="M310" s="5" t="n">
        <v>0</v>
      </c>
      <c r="N310" s="5" t="n">
        <v>0</v>
      </c>
      <c r="O310" s="5" t="n">
        <v>1</v>
      </c>
      <c r="P310" s="5" t="n">
        <v>0</v>
      </c>
      <c r="Q310" s="5" t="n">
        <v>1</v>
      </c>
      <c r="R310" s="5" t="n">
        <v>0</v>
      </c>
      <c r="S310" s="5" t="n">
        <v>1</v>
      </c>
      <c r="T310" s="5" t="n">
        <v>0</v>
      </c>
      <c r="U310" s="5" t="n">
        <v>0</v>
      </c>
      <c r="V310" s="5" t="n">
        <v>0</v>
      </c>
      <c r="W310" s="5" t="n">
        <f aca="false">SUM(C310:V310)</f>
        <v>5</v>
      </c>
    </row>
    <row r="311" customFormat="false" ht="17.9" hidden="false" customHeight="false" outlineLevel="0" collapsed="false">
      <c r="A311" s="5" t="s">
        <v>345</v>
      </c>
      <c r="B311" s="5" t="s">
        <v>336</v>
      </c>
      <c r="C311" s="5" t="n">
        <v>1</v>
      </c>
      <c r="D311" s="5" t="n">
        <v>1</v>
      </c>
      <c r="E311" s="5" t="n">
        <v>1</v>
      </c>
      <c r="F311" s="5" t="n">
        <v>0</v>
      </c>
      <c r="G311" s="5" t="n">
        <v>0</v>
      </c>
      <c r="H311" s="5" t="n">
        <v>1</v>
      </c>
      <c r="I311" s="5" t="n">
        <v>0</v>
      </c>
      <c r="J311" s="5" t="n">
        <v>0</v>
      </c>
      <c r="K311" s="5" t="n">
        <v>1</v>
      </c>
      <c r="L311" s="5" t="n">
        <v>0</v>
      </c>
      <c r="M311" s="5" t="n">
        <v>0</v>
      </c>
      <c r="N311" s="5" t="n">
        <v>1</v>
      </c>
      <c r="O311" s="5" t="n">
        <v>1</v>
      </c>
      <c r="P311" s="5" t="n">
        <v>0</v>
      </c>
      <c r="Q311" s="5" t="n">
        <v>1</v>
      </c>
      <c r="R311" s="5" t="n">
        <v>1</v>
      </c>
      <c r="S311" s="5" t="n">
        <v>1</v>
      </c>
      <c r="T311" s="5" t="n">
        <v>0</v>
      </c>
      <c r="U311" s="5" t="n">
        <v>1</v>
      </c>
      <c r="V311" s="5" t="n">
        <v>0</v>
      </c>
      <c r="W311" s="5" t="n">
        <f aca="false">SUM(C311:V311)</f>
        <v>11</v>
      </c>
    </row>
    <row r="312" customFormat="false" ht="17.9" hidden="false" customHeight="false" outlineLevel="0" collapsed="false">
      <c r="A312" s="5" t="s">
        <v>346</v>
      </c>
      <c r="B312" s="5" t="s">
        <v>336</v>
      </c>
      <c r="C312" s="5" t="n">
        <v>0</v>
      </c>
      <c r="D312" s="5" t="n">
        <v>0</v>
      </c>
      <c r="E312" s="5" t="n">
        <v>1</v>
      </c>
      <c r="F312" s="5" t="n">
        <v>0</v>
      </c>
      <c r="G312" s="5" t="n">
        <v>0</v>
      </c>
      <c r="H312" s="5" t="n">
        <v>1</v>
      </c>
      <c r="I312" s="5" t="n">
        <v>0</v>
      </c>
      <c r="J312" s="5" t="n">
        <v>0</v>
      </c>
      <c r="K312" s="5" t="n">
        <v>1</v>
      </c>
      <c r="L312" s="5" t="n">
        <v>0</v>
      </c>
      <c r="M312" s="5" t="n">
        <v>0</v>
      </c>
      <c r="N312" s="5" t="n">
        <v>1</v>
      </c>
      <c r="O312" s="5" t="n">
        <v>1</v>
      </c>
      <c r="P312" s="5" t="n">
        <v>0</v>
      </c>
      <c r="Q312" s="5" t="n">
        <v>1</v>
      </c>
      <c r="R312" s="5" t="n">
        <v>1</v>
      </c>
      <c r="S312" s="5" t="n">
        <v>1</v>
      </c>
      <c r="T312" s="5" t="n">
        <v>0</v>
      </c>
      <c r="U312" s="5" t="n">
        <v>0</v>
      </c>
      <c r="V312" s="5" t="n">
        <v>0</v>
      </c>
      <c r="W312" s="5" t="n">
        <f aca="false">SUM(C312:V312)</f>
        <v>8</v>
      </c>
    </row>
    <row r="313" customFormat="false" ht="17.9" hidden="false" customHeight="false" outlineLevel="0" collapsed="false">
      <c r="A313" s="5" t="s">
        <v>347</v>
      </c>
      <c r="B313" s="5" t="s">
        <v>336</v>
      </c>
      <c r="C313" s="5" t="n">
        <v>1</v>
      </c>
      <c r="D313" s="5" t="n">
        <v>0</v>
      </c>
      <c r="E313" s="5" t="n">
        <v>1</v>
      </c>
      <c r="F313" s="5" t="n">
        <v>1</v>
      </c>
      <c r="G313" s="5" t="n">
        <v>1</v>
      </c>
      <c r="H313" s="5" t="n">
        <v>1</v>
      </c>
      <c r="I313" s="5" t="n">
        <v>1</v>
      </c>
      <c r="J313" s="5" t="n">
        <v>0</v>
      </c>
      <c r="K313" s="5" t="n">
        <v>1</v>
      </c>
      <c r="L313" s="5" t="n">
        <v>1</v>
      </c>
      <c r="M313" s="5" t="n">
        <v>1</v>
      </c>
      <c r="N313" s="5" t="n">
        <v>1</v>
      </c>
      <c r="O313" s="5" t="n">
        <v>1</v>
      </c>
      <c r="P313" s="5" t="n">
        <v>0</v>
      </c>
      <c r="Q313" s="5" t="n">
        <v>1</v>
      </c>
      <c r="R313" s="5" t="n">
        <v>1</v>
      </c>
      <c r="S313" s="5" t="n">
        <v>1</v>
      </c>
      <c r="T313" s="5" t="n">
        <v>1</v>
      </c>
      <c r="U313" s="5" t="n">
        <v>1</v>
      </c>
      <c r="V313" s="5" t="n">
        <v>0</v>
      </c>
      <c r="W313" s="5" t="n">
        <f aca="false">SUM(C313:V313)</f>
        <v>16</v>
      </c>
    </row>
    <row r="314" customFormat="false" ht="17.9" hidden="false" customHeight="false" outlineLevel="0" collapsed="false">
      <c r="A314" s="5" t="s">
        <v>348</v>
      </c>
      <c r="B314" s="5" t="s">
        <v>336</v>
      </c>
      <c r="C314" s="5" t="n">
        <v>1</v>
      </c>
      <c r="D314" s="5" t="n">
        <v>1</v>
      </c>
      <c r="E314" s="5" t="n">
        <v>1</v>
      </c>
      <c r="F314" s="5" t="n">
        <v>1</v>
      </c>
      <c r="G314" s="5" t="n">
        <v>1</v>
      </c>
      <c r="H314" s="5" t="n">
        <v>1</v>
      </c>
      <c r="I314" s="5" t="n">
        <v>0</v>
      </c>
      <c r="J314" s="5" t="n">
        <v>0</v>
      </c>
      <c r="K314" s="5" t="n">
        <v>1</v>
      </c>
      <c r="L314" s="5" t="n">
        <v>1</v>
      </c>
      <c r="M314" s="5" t="n">
        <v>1</v>
      </c>
      <c r="N314" s="5" t="n">
        <v>1</v>
      </c>
      <c r="O314" s="5" t="n">
        <v>1</v>
      </c>
      <c r="P314" s="5" t="n">
        <v>1</v>
      </c>
      <c r="Q314" s="5" t="n">
        <v>1</v>
      </c>
      <c r="R314" s="5" t="n">
        <v>0</v>
      </c>
      <c r="S314" s="5" t="n">
        <v>1</v>
      </c>
      <c r="T314" s="5" t="n">
        <v>1</v>
      </c>
      <c r="U314" s="5" t="n">
        <v>1</v>
      </c>
      <c r="V314" s="5" t="n">
        <v>1</v>
      </c>
      <c r="W314" s="5" t="n">
        <f aca="false">SUM(C314:V314)</f>
        <v>17</v>
      </c>
    </row>
    <row r="315" customFormat="false" ht="17.9" hidden="false" customHeight="false" outlineLevel="0" collapsed="false">
      <c r="A315" s="5" t="s">
        <v>349</v>
      </c>
      <c r="B315" s="5" t="s">
        <v>336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1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f aca="false">SUM(C315:V315)</f>
        <v>1</v>
      </c>
    </row>
    <row r="316" customFormat="false" ht="17.9" hidden="false" customHeight="false" outlineLevel="0" collapsed="false">
      <c r="A316" s="5" t="s">
        <v>350</v>
      </c>
      <c r="B316" s="5" t="s">
        <v>336</v>
      </c>
      <c r="C316" s="5" t="n">
        <v>1</v>
      </c>
      <c r="D316" s="5" t="n">
        <v>1</v>
      </c>
      <c r="E316" s="5" t="n">
        <v>1</v>
      </c>
      <c r="F316" s="5" t="n">
        <v>0</v>
      </c>
      <c r="G316" s="5" t="n">
        <v>1</v>
      </c>
      <c r="H316" s="5" t="n">
        <v>0</v>
      </c>
      <c r="I316" s="5" t="n">
        <v>1</v>
      </c>
      <c r="J316" s="5" t="n">
        <v>1</v>
      </c>
      <c r="K316" s="5" t="n">
        <v>1</v>
      </c>
      <c r="L316" s="5" t="n">
        <v>1</v>
      </c>
      <c r="M316" s="5" t="n">
        <v>0</v>
      </c>
      <c r="N316" s="5" t="n">
        <v>1</v>
      </c>
      <c r="O316" s="5" t="n">
        <v>1</v>
      </c>
      <c r="P316" s="5" t="n">
        <v>0</v>
      </c>
      <c r="Q316" s="5" t="n">
        <v>1</v>
      </c>
      <c r="R316" s="5" t="n">
        <v>1</v>
      </c>
      <c r="S316" s="5" t="n">
        <v>1</v>
      </c>
      <c r="T316" s="5" t="n">
        <v>1</v>
      </c>
      <c r="U316" s="5" t="n">
        <v>1</v>
      </c>
      <c r="V316" s="5" t="n">
        <v>0</v>
      </c>
      <c r="W316" s="5" t="n">
        <f aca="false">SUM(C316:V316)</f>
        <v>15</v>
      </c>
    </row>
    <row r="317" customFormat="false" ht="17.9" hidden="false" customHeight="false" outlineLevel="0" collapsed="false">
      <c r="A317" s="5" t="s">
        <v>351</v>
      </c>
      <c r="B317" s="5" t="s">
        <v>336</v>
      </c>
      <c r="C317" s="5" t="n">
        <v>0</v>
      </c>
      <c r="D317" s="5" t="n">
        <v>1</v>
      </c>
      <c r="E317" s="5" t="n">
        <v>1</v>
      </c>
      <c r="F317" s="5" t="n">
        <v>0</v>
      </c>
      <c r="G317" s="5" t="n">
        <v>1</v>
      </c>
      <c r="H317" s="5" t="n">
        <v>1</v>
      </c>
      <c r="I317" s="5" t="n">
        <v>1</v>
      </c>
      <c r="J317" s="5" t="n">
        <v>0</v>
      </c>
      <c r="K317" s="5" t="n">
        <v>0</v>
      </c>
      <c r="L317" s="5" t="n">
        <v>0</v>
      </c>
      <c r="M317" s="5" t="n">
        <v>0</v>
      </c>
      <c r="N317" s="5" t="n">
        <v>1</v>
      </c>
      <c r="O317" s="5" t="n">
        <v>1</v>
      </c>
      <c r="P317" s="5" t="n">
        <v>0</v>
      </c>
      <c r="Q317" s="5" t="n">
        <v>1</v>
      </c>
      <c r="R317" s="5" t="n">
        <v>0</v>
      </c>
      <c r="S317" s="5" t="n">
        <v>1</v>
      </c>
      <c r="T317" s="5" t="n">
        <v>0</v>
      </c>
      <c r="U317" s="5" t="n">
        <v>1</v>
      </c>
      <c r="V317" s="5" t="n">
        <v>0</v>
      </c>
      <c r="W317" s="5" t="n">
        <f aca="false">SUM(C317:V317)</f>
        <v>10</v>
      </c>
    </row>
    <row r="318" customFormat="false" ht="17.9" hidden="false" customHeight="false" outlineLevel="0" collapsed="false">
      <c r="A318" s="5" t="s">
        <v>352</v>
      </c>
      <c r="B318" s="5" t="s">
        <v>336</v>
      </c>
      <c r="C318" s="5" t="n">
        <v>1</v>
      </c>
      <c r="D318" s="5" t="n">
        <v>1</v>
      </c>
      <c r="E318" s="5" t="n">
        <v>1</v>
      </c>
      <c r="F318" s="5" t="n">
        <v>1</v>
      </c>
      <c r="G318" s="5" t="n">
        <v>1</v>
      </c>
      <c r="H318" s="5" t="n">
        <v>1</v>
      </c>
      <c r="I318" s="5" t="n">
        <v>1</v>
      </c>
      <c r="J318" s="5" t="n">
        <v>0</v>
      </c>
      <c r="K318" s="5" t="n">
        <v>1</v>
      </c>
      <c r="L318" s="5" t="n">
        <v>1</v>
      </c>
      <c r="M318" s="5" t="n">
        <v>1</v>
      </c>
      <c r="N318" s="5" t="n">
        <v>1</v>
      </c>
      <c r="O318" s="5" t="n">
        <v>1</v>
      </c>
      <c r="P318" s="5" t="n">
        <v>0</v>
      </c>
      <c r="Q318" s="5" t="n">
        <v>1</v>
      </c>
      <c r="R318" s="5" t="n">
        <v>1</v>
      </c>
      <c r="S318" s="5" t="n">
        <v>1</v>
      </c>
      <c r="T318" s="5" t="n">
        <v>1</v>
      </c>
      <c r="U318" s="5" t="n">
        <v>1</v>
      </c>
      <c r="V318" s="5" t="n">
        <v>0</v>
      </c>
      <c r="W318" s="5" t="n">
        <f aca="false">SUM(C318:V318)</f>
        <v>17</v>
      </c>
    </row>
    <row r="319" customFormat="false" ht="17.9" hidden="false" customHeight="false" outlineLevel="0" collapsed="false">
      <c r="A319" s="5" t="s">
        <v>353</v>
      </c>
      <c r="B319" s="5" t="s">
        <v>336</v>
      </c>
      <c r="C319" s="5" t="n">
        <v>0</v>
      </c>
      <c r="D319" s="5" t="n">
        <v>0</v>
      </c>
      <c r="E319" s="5" t="n">
        <v>1</v>
      </c>
      <c r="F319" s="5" t="n">
        <v>0</v>
      </c>
      <c r="G319" s="5" t="n">
        <v>1</v>
      </c>
      <c r="H319" s="5" t="n">
        <v>0</v>
      </c>
      <c r="I319" s="5" t="n">
        <v>0</v>
      </c>
      <c r="J319" s="5" t="n">
        <v>0</v>
      </c>
      <c r="K319" s="5" t="n">
        <v>0</v>
      </c>
      <c r="L319" s="5" t="n">
        <v>1</v>
      </c>
      <c r="M319" s="5" t="n">
        <v>0</v>
      </c>
      <c r="N319" s="5" t="n">
        <v>1</v>
      </c>
      <c r="O319" s="5" t="n">
        <v>0</v>
      </c>
      <c r="P319" s="5" t="n">
        <v>0</v>
      </c>
      <c r="Q319" s="5" t="n">
        <v>1</v>
      </c>
      <c r="R319" s="5" t="n">
        <v>0</v>
      </c>
      <c r="S319" s="5" t="n">
        <v>1</v>
      </c>
      <c r="T319" s="5" t="n">
        <v>0</v>
      </c>
      <c r="U319" s="5" t="n">
        <v>0</v>
      </c>
      <c r="V319" s="5" t="n">
        <v>0</v>
      </c>
      <c r="W319" s="5" t="n">
        <f aca="false">SUM(C319:V319)</f>
        <v>6</v>
      </c>
    </row>
    <row r="320" customFormat="false" ht="17.9" hidden="false" customHeight="false" outlineLevel="0" collapsed="false">
      <c r="A320" s="5" t="s">
        <v>354</v>
      </c>
      <c r="B320" s="5" t="s">
        <v>336</v>
      </c>
      <c r="C320" s="5" t="n">
        <v>1</v>
      </c>
      <c r="D320" s="5" t="n">
        <v>1</v>
      </c>
      <c r="E320" s="5" t="n">
        <v>1</v>
      </c>
      <c r="F320" s="5" t="n">
        <v>0</v>
      </c>
      <c r="G320" s="5" t="n">
        <v>1</v>
      </c>
      <c r="H320" s="5" t="n">
        <v>1</v>
      </c>
      <c r="I320" s="5" t="n">
        <v>1</v>
      </c>
      <c r="J320" s="5" t="n">
        <v>1</v>
      </c>
      <c r="K320" s="5" t="n">
        <v>1</v>
      </c>
      <c r="L320" s="5" t="n">
        <v>1</v>
      </c>
      <c r="M320" s="5" t="n">
        <v>1</v>
      </c>
      <c r="N320" s="5" t="n">
        <v>1</v>
      </c>
      <c r="O320" s="5" t="n">
        <v>1</v>
      </c>
      <c r="P320" s="5" t="n">
        <v>1</v>
      </c>
      <c r="Q320" s="5" t="n">
        <v>1</v>
      </c>
      <c r="R320" s="5" t="n">
        <v>1</v>
      </c>
      <c r="S320" s="5" t="n">
        <v>1</v>
      </c>
      <c r="T320" s="5" t="n">
        <v>1</v>
      </c>
      <c r="U320" s="5" t="n">
        <v>1</v>
      </c>
      <c r="V320" s="5" t="n">
        <v>1</v>
      </c>
      <c r="W320" s="5" t="n">
        <f aca="false">SUM(C320:V320)</f>
        <v>19</v>
      </c>
    </row>
    <row r="321" customFormat="false" ht="17.9" hidden="false" customHeight="false" outlineLevel="0" collapsed="false">
      <c r="A321" s="5" t="s">
        <v>355</v>
      </c>
      <c r="B321" s="5" t="s">
        <v>336</v>
      </c>
      <c r="C321" s="5" t="n">
        <v>0</v>
      </c>
      <c r="D321" s="5" t="n">
        <v>1</v>
      </c>
      <c r="E321" s="5" t="n">
        <v>1</v>
      </c>
      <c r="F321" s="5" t="n">
        <v>0</v>
      </c>
      <c r="G321" s="5" t="n">
        <v>0</v>
      </c>
      <c r="H321" s="5" t="n">
        <v>1</v>
      </c>
      <c r="I321" s="5" t="n">
        <v>0</v>
      </c>
      <c r="J321" s="5" t="n">
        <v>0</v>
      </c>
      <c r="K321" s="5" t="n">
        <v>1</v>
      </c>
      <c r="L321" s="5" t="n">
        <v>1</v>
      </c>
      <c r="M321" s="5" t="n">
        <v>1</v>
      </c>
      <c r="N321" s="5" t="n">
        <v>1</v>
      </c>
      <c r="O321" s="5" t="n">
        <v>1</v>
      </c>
      <c r="P321" s="5" t="n">
        <v>0</v>
      </c>
      <c r="Q321" s="5" t="n">
        <v>1</v>
      </c>
      <c r="R321" s="5" t="n">
        <v>1</v>
      </c>
      <c r="S321" s="5" t="n">
        <v>1</v>
      </c>
      <c r="T321" s="5" t="n">
        <v>1</v>
      </c>
      <c r="U321" s="5" t="n">
        <v>1</v>
      </c>
      <c r="V321" s="5" t="n">
        <v>0</v>
      </c>
      <c r="W321" s="5" t="n">
        <f aca="false">SUM(C321:V321)</f>
        <v>13</v>
      </c>
    </row>
    <row r="322" customFormat="false" ht="17.9" hidden="false" customHeight="false" outlineLevel="0" collapsed="false">
      <c r="A322" s="5" t="s">
        <v>356</v>
      </c>
      <c r="B322" s="5" t="s">
        <v>336</v>
      </c>
      <c r="C322" s="5" t="n">
        <v>1</v>
      </c>
      <c r="D322" s="5" t="n">
        <v>1</v>
      </c>
      <c r="E322" s="5" t="n">
        <v>1</v>
      </c>
      <c r="F322" s="5" t="n">
        <v>0</v>
      </c>
      <c r="G322" s="5" t="n">
        <v>0</v>
      </c>
      <c r="H322" s="5" t="n">
        <v>1</v>
      </c>
      <c r="I322" s="5" t="n">
        <v>0</v>
      </c>
      <c r="J322" s="5" t="n">
        <v>1</v>
      </c>
      <c r="K322" s="5" t="n">
        <v>1</v>
      </c>
      <c r="L322" s="5" t="n">
        <v>1</v>
      </c>
      <c r="M322" s="5" t="n">
        <v>1</v>
      </c>
      <c r="N322" s="5" t="n">
        <v>1</v>
      </c>
      <c r="O322" s="5" t="n">
        <v>1</v>
      </c>
      <c r="P322" s="5" t="n">
        <v>1</v>
      </c>
      <c r="Q322" s="5" t="n">
        <v>1</v>
      </c>
      <c r="R322" s="5" t="n">
        <v>1</v>
      </c>
      <c r="S322" s="5" t="n">
        <v>1</v>
      </c>
      <c r="T322" s="5" t="n">
        <v>0</v>
      </c>
      <c r="U322" s="5" t="n">
        <v>1</v>
      </c>
      <c r="V322" s="5" t="n">
        <v>0</v>
      </c>
      <c r="W322" s="5" t="n">
        <f aca="false">SUM(C322:V322)</f>
        <v>15</v>
      </c>
    </row>
    <row r="323" customFormat="false" ht="17.9" hidden="false" customHeight="false" outlineLevel="0" collapsed="false">
      <c r="A323" s="5" t="s">
        <v>357</v>
      </c>
      <c r="B323" s="5" t="s">
        <v>336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f aca="false">SUM(C323:V323)</f>
        <v>0</v>
      </c>
    </row>
    <row r="324" customFormat="false" ht="17.9" hidden="false" customHeight="false" outlineLevel="0" collapsed="false">
      <c r="A324" s="5" t="s">
        <v>358</v>
      </c>
      <c r="B324" s="5" t="s">
        <v>336</v>
      </c>
      <c r="C324" s="5" t="n">
        <v>0</v>
      </c>
      <c r="D324" s="5" t="n">
        <v>0</v>
      </c>
      <c r="E324" s="5" t="n">
        <v>1</v>
      </c>
      <c r="F324" s="5" t="n">
        <v>0</v>
      </c>
      <c r="G324" s="5" t="n">
        <v>0</v>
      </c>
      <c r="H324" s="5" t="n">
        <v>0</v>
      </c>
      <c r="I324" s="5" t="n">
        <v>0</v>
      </c>
      <c r="J324" s="5" t="n">
        <v>0</v>
      </c>
      <c r="K324" s="5" t="n">
        <v>1</v>
      </c>
      <c r="L324" s="5" t="n">
        <v>0</v>
      </c>
      <c r="M324" s="5" t="n">
        <v>0</v>
      </c>
      <c r="N324" s="5" t="n">
        <v>1</v>
      </c>
      <c r="O324" s="5" t="n">
        <v>0</v>
      </c>
      <c r="P324" s="5" t="n">
        <v>0</v>
      </c>
      <c r="Q324" s="5" t="n">
        <v>1</v>
      </c>
      <c r="R324" s="5" t="n">
        <v>0</v>
      </c>
      <c r="S324" s="5" t="n">
        <v>0</v>
      </c>
      <c r="T324" s="5" t="n">
        <v>0</v>
      </c>
      <c r="U324" s="5" t="n">
        <v>0</v>
      </c>
      <c r="V324" s="5" t="n">
        <v>0</v>
      </c>
      <c r="W324" s="5" t="n">
        <f aca="false">SUM(C324:V324)</f>
        <v>4</v>
      </c>
    </row>
    <row r="325" customFormat="false" ht="17.9" hidden="false" customHeight="false" outlineLevel="0" collapsed="false">
      <c r="A325" s="5" t="s">
        <v>359</v>
      </c>
      <c r="B325" s="5" t="s">
        <v>336</v>
      </c>
      <c r="C325" s="5" t="n">
        <v>0</v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  <c r="U325" s="5" t="n">
        <v>0</v>
      </c>
      <c r="V325" s="5" t="n">
        <v>0</v>
      </c>
      <c r="W325" s="5" t="n">
        <f aca="false">SUM(C325:V325)</f>
        <v>4</v>
      </c>
    </row>
    <row r="326" customFormat="false" ht="17.9" hidden="false" customHeight="false" outlineLevel="0" collapsed="false">
      <c r="A326" s="5" t="s">
        <v>360</v>
      </c>
      <c r="B326" s="5" t="s">
        <v>336</v>
      </c>
      <c r="C326" s="5" t="n">
        <v>1</v>
      </c>
      <c r="D326" s="5" t="n">
        <v>0</v>
      </c>
      <c r="E326" s="5" t="n">
        <v>1</v>
      </c>
      <c r="F326" s="5" t="n">
        <v>0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1</v>
      </c>
      <c r="L326" s="5" t="n">
        <v>0</v>
      </c>
      <c r="M326" s="5" t="n">
        <v>0</v>
      </c>
      <c r="N326" s="5" t="n">
        <v>1</v>
      </c>
      <c r="O326" s="5" t="n">
        <v>1</v>
      </c>
      <c r="P326" s="5" t="n">
        <v>0</v>
      </c>
      <c r="Q326" s="5" t="n">
        <v>1</v>
      </c>
      <c r="R326" s="5" t="n">
        <v>1</v>
      </c>
      <c r="S326" s="5" t="n">
        <v>1</v>
      </c>
      <c r="T326" s="5" t="n">
        <v>1</v>
      </c>
      <c r="U326" s="5" t="n">
        <v>0</v>
      </c>
      <c r="V326" s="5" t="n">
        <v>0</v>
      </c>
      <c r="W326" s="5" t="n">
        <f aca="false">SUM(C326:V326)</f>
        <v>10</v>
      </c>
    </row>
    <row r="327" customFormat="false" ht="17.9" hidden="false" customHeight="false" outlineLevel="0" collapsed="false">
      <c r="A327" s="5" t="s">
        <v>361</v>
      </c>
      <c r="B327" s="5" t="s">
        <v>336</v>
      </c>
      <c r="C327" s="5" t="n">
        <v>0</v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1</v>
      </c>
      <c r="L327" s="5" t="n">
        <v>0</v>
      </c>
      <c r="M327" s="5" t="n">
        <v>0</v>
      </c>
      <c r="N327" s="5" t="n">
        <v>1</v>
      </c>
      <c r="O327" s="5" t="n">
        <v>1</v>
      </c>
      <c r="P327" s="5" t="n">
        <v>0</v>
      </c>
      <c r="Q327" s="5" t="n">
        <v>1</v>
      </c>
      <c r="R327" s="5" t="n">
        <v>1</v>
      </c>
      <c r="S327" s="5" t="n">
        <v>0</v>
      </c>
      <c r="T327" s="5" t="n">
        <v>1</v>
      </c>
      <c r="U327" s="5" t="n">
        <v>1</v>
      </c>
      <c r="V327" s="5" t="n">
        <v>0</v>
      </c>
      <c r="W327" s="5" t="n">
        <f aca="false">SUM(C327:V327)</f>
        <v>7</v>
      </c>
    </row>
    <row r="328" customFormat="false" ht="17.9" hidden="false" customHeight="false" outlineLevel="0" collapsed="false">
      <c r="A328" s="5" t="s">
        <v>362</v>
      </c>
      <c r="B328" s="5" t="s">
        <v>336</v>
      </c>
      <c r="C328" s="5" t="n">
        <v>0</v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f aca="false">SUM(C328:V328)</f>
        <v>0</v>
      </c>
    </row>
    <row r="329" customFormat="false" ht="17.9" hidden="false" customHeight="false" outlineLevel="0" collapsed="false">
      <c r="A329" s="5" t="s">
        <v>363</v>
      </c>
      <c r="B329" s="5" t="s">
        <v>336</v>
      </c>
      <c r="C329" s="5" t="n">
        <v>1</v>
      </c>
      <c r="D329" s="5" t="n">
        <v>0</v>
      </c>
      <c r="E329" s="5" t="n">
        <v>1</v>
      </c>
      <c r="F329" s="5" t="n">
        <v>0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1</v>
      </c>
      <c r="M329" s="5" t="n">
        <v>0</v>
      </c>
      <c r="N329" s="5" t="n">
        <v>1</v>
      </c>
      <c r="O329" s="5" t="n">
        <v>1</v>
      </c>
      <c r="P329" s="5" t="n">
        <v>0</v>
      </c>
      <c r="Q329" s="5" t="n">
        <v>1</v>
      </c>
      <c r="R329" s="5" t="n">
        <v>1</v>
      </c>
      <c r="S329" s="5" t="n">
        <v>1</v>
      </c>
      <c r="T329" s="5" t="n">
        <v>1</v>
      </c>
      <c r="U329" s="5" t="n">
        <v>0</v>
      </c>
      <c r="V329" s="5" t="n">
        <v>0</v>
      </c>
      <c r="W329" s="5" t="n">
        <f aca="false">SUM(C329:V329)</f>
        <v>11</v>
      </c>
    </row>
    <row r="330" customFormat="false" ht="17.9" hidden="false" customHeight="false" outlineLevel="0" collapsed="false">
      <c r="A330" s="5" t="s">
        <v>364</v>
      </c>
      <c r="B330" s="5" t="s">
        <v>336</v>
      </c>
      <c r="C330" s="5" t="n">
        <v>1</v>
      </c>
      <c r="D330" s="5" t="n">
        <v>1</v>
      </c>
      <c r="E330" s="5" t="n">
        <v>1</v>
      </c>
      <c r="F330" s="5" t="n">
        <v>0</v>
      </c>
      <c r="G330" s="5" t="n">
        <v>1</v>
      </c>
      <c r="H330" s="5" t="n">
        <v>1</v>
      </c>
      <c r="I330" s="5" t="n">
        <v>1</v>
      </c>
      <c r="J330" s="5" t="n">
        <v>0</v>
      </c>
      <c r="K330" s="5" t="n">
        <v>1</v>
      </c>
      <c r="L330" s="5" t="n">
        <v>1</v>
      </c>
      <c r="M330" s="5" t="n">
        <v>0</v>
      </c>
      <c r="N330" s="5" t="n">
        <v>1</v>
      </c>
      <c r="O330" s="5" t="n">
        <v>1</v>
      </c>
      <c r="P330" s="5" t="n">
        <v>0</v>
      </c>
      <c r="Q330" s="5" t="n">
        <v>1</v>
      </c>
      <c r="R330" s="5" t="n">
        <v>1</v>
      </c>
      <c r="S330" s="5" t="n">
        <v>1</v>
      </c>
      <c r="T330" s="5" t="n">
        <v>1</v>
      </c>
      <c r="U330" s="5" t="n">
        <v>1</v>
      </c>
      <c r="V330" s="5" t="n">
        <v>1</v>
      </c>
      <c r="W330" s="5" t="n">
        <f aca="false">SUM(C330:V330)</f>
        <v>16</v>
      </c>
    </row>
    <row r="331" customFormat="false" ht="17.9" hidden="false" customHeight="false" outlineLevel="0" collapsed="false">
      <c r="A331" s="5" t="s">
        <v>365</v>
      </c>
      <c r="B331" s="5" t="s">
        <v>336</v>
      </c>
      <c r="C331" s="5" t="n">
        <v>1</v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0</v>
      </c>
      <c r="M331" s="5" t="n">
        <v>1</v>
      </c>
      <c r="N331" s="5" t="n">
        <v>1</v>
      </c>
      <c r="O331" s="5" t="n">
        <v>1</v>
      </c>
      <c r="P331" s="5" t="n">
        <v>0</v>
      </c>
      <c r="Q331" s="5" t="n">
        <v>1</v>
      </c>
      <c r="R331" s="5" t="n">
        <v>0</v>
      </c>
      <c r="S331" s="5" t="n">
        <v>1</v>
      </c>
      <c r="T331" s="5" t="n">
        <v>1</v>
      </c>
      <c r="U331" s="5" t="n">
        <v>0</v>
      </c>
      <c r="V331" s="5" t="n">
        <v>0</v>
      </c>
      <c r="W331" s="5" t="n">
        <f aca="false">SUM(C331:V331)</f>
        <v>8</v>
      </c>
    </row>
    <row r="332" customFormat="false" ht="17.9" hidden="false" customHeight="false" outlineLevel="0" collapsed="false">
      <c r="A332" s="5" t="s">
        <v>366</v>
      </c>
      <c r="B332" s="5" t="s">
        <v>336</v>
      </c>
      <c r="C332" s="5" t="n">
        <v>0</v>
      </c>
      <c r="D332" s="5" t="n">
        <v>1</v>
      </c>
      <c r="E332" s="5" t="n">
        <v>0</v>
      </c>
      <c r="F332" s="5" t="n">
        <v>0</v>
      </c>
      <c r="G332" s="5" t="n">
        <v>1</v>
      </c>
      <c r="H332" s="5" t="n">
        <v>1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1</v>
      </c>
      <c r="R332" s="5" t="n">
        <v>1</v>
      </c>
      <c r="S332" s="5" t="n">
        <v>1</v>
      </c>
      <c r="T332" s="5" t="n">
        <v>0</v>
      </c>
      <c r="U332" s="5" t="n">
        <v>0</v>
      </c>
      <c r="V332" s="5" t="n">
        <v>0</v>
      </c>
      <c r="W332" s="5" t="n">
        <f aca="false">SUM(C332:V332)</f>
        <v>8</v>
      </c>
    </row>
    <row r="333" customFormat="false" ht="17.9" hidden="false" customHeight="false" outlineLevel="0" collapsed="false">
      <c r="A333" s="5" t="s">
        <v>367</v>
      </c>
      <c r="B333" s="5" t="s">
        <v>336</v>
      </c>
      <c r="C333" s="5" t="n">
        <v>0</v>
      </c>
      <c r="D333" s="5" t="n">
        <v>1</v>
      </c>
      <c r="E333" s="5" t="n">
        <v>1</v>
      </c>
      <c r="F333" s="5" t="n">
        <v>0</v>
      </c>
      <c r="G333" s="5" t="n">
        <v>1</v>
      </c>
      <c r="H333" s="5" t="n">
        <v>1</v>
      </c>
      <c r="I333" s="5" t="n">
        <v>0</v>
      </c>
      <c r="J333" s="5" t="n">
        <v>1</v>
      </c>
      <c r="K333" s="5" t="n">
        <v>1</v>
      </c>
      <c r="L333" s="5" t="n">
        <v>1</v>
      </c>
      <c r="M333" s="5" t="n">
        <v>1</v>
      </c>
      <c r="N333" s="5" t="n">
        <v>1</v>
      </c>
      <c r="O333" s="5" t="n">
        <v>1</v>
      </c>
      <c r="P333" s="5" t="n">
        <v>1</v>
      </c>
      <c r="Q333" s="5" t="n">
        <v>1</v>
      </c>
      <c r="R333" s="5" t="n">
        <v>1</v>
      </c>
      <c r="S333" s="5" t="n">
        <v>1</v>
      </c>
      <c r="T333" s="5" t="n">
        <v>1</v>
      </c>
      <c r="U333" s="5" t="n">
        <v>0</v>
      </c>
      <c r="V333" s="5" t="n">
        <v>1</v>
      </c>
      <c r="W333" s="5" t="n">
        <f aca="false">SUM(C333:V333)</f>
        <v>16</v>
      </c>
    </row>
    <row r="334" customFormat="false" ht="17.9" hidden="false" customHeight="false" outlineLevel="0" collapsed="false">
      <c r="A334" s="5" t="s">
        <v>368</v>
      </c>
      <c r="B334" s="5" t="s">
        <v>336</v>
      </c>
      <c r="C334" s="5" t="n">
        <v>1</v>
      </c>
      <c r="D334" s="5" t="n">
        <v>1</v>
      </c>
      <c r="E334" s="5" t="n">
        <v>1</v>
      </c>
      <c r="F334" s="5" t="n">
        <v>1</v>
      </c>
      <c r="G334" s="5" t="n">
        <v>1</v>
      </c>
      <c r="H334" s="5" t="n">
        <v>1</v>
      </c>
      <c r="I334" s="5" t="n">
        <v>1</v>
      </c>
      <c r="J334" s="5" t="n">
        <v>1</v>
      </c>
      <c r="K334" s="5" t="n">
        <v>1</v>
      </c>
      <c r="L334" s="5" t="n">
        <v>0</v>
      </c>
      <c r="M334" s="5" t="n">
        <v>1</v>
      </c>
      <c r="N334" s="5" t="n">
        <v>1</v>
      </c>
      <c r="O334" s="5" t="n">
        <v>1</v>
      </c>
      <c r="P334" s="5" t="n">
        <v>1</v>
      </c>
      <c r="Q334" s="5" t="n">
        <v>1</v>
      </c>
      <c r="R334" s="5" t="n">
        <v>1</v>
      </c>
      <c r="S334" s="5" t="n">
        <v>1</v>
      </c>
      <c r="T334" s="5" t="n">
        <v>1</v>
      </c>
      <c r="U334" s="5" t="n">
        <v>1</v>
      </c>
      <c r="V334" s="5" t="n">
        <v>1</v>
      </c>
      <c r="W334" s="5" t="n">
        <f aca="false">SUM(C334:V334)</f>
        <v>19</v>
      </c>
    </row>
    <row r="335" customFormat="false" ht="17.9" hidden="false" customHeight="false" outlineLevel="0" collapsed="false">
      <c r="A335" s="5" t="s">
        <v>369</v>
      </c>
      <c r="B335" s="5" t="s">
        <v>336</v>
      </c>
      <c r="C335" s="5" t="n">
        <v>0</v>
      </c>
      <c r="D335" s="5" t="n">
        <v>0</v>
      </c>
      <c r="E335" s="5" t="n">
        <v>1</v>
      </c>
      <c r="F335" s="5" t="n">
        <v>0</v>
      </c>
      <c r="G335" s="5" t="n">
        <v>1</v>
      </c>
      <c r="H335" s="5" t="n">
        <v>1</v>
      </c>
      <c r="I335" s="5" t="n">
        <v>1</v>
      </c>
      <c r="J335" s="5" t="n">
        <v>0</v>
      </c>
      <c r="K335" s="5" t="n">
        <v>1</v>
      </c>
      <c r="L335" s="5" t="n">
        <v>0</v>
      </c>
      <c r="M335" s="5" t="n">
        <v>1</v>
      </c>
      <c r="N335" s="5" t="n">
        <v>1</v>
      </c>
      <c r="O335" s="5" t="n">
        <v>1</v>
      </c>
      <c r="P335" s="5" t="n">
        <v>1</v>
      </c>
      <c r="Q335" s="5" t="n">
        <v>1</v>
      </c>
      <c r="R335" s="5" t="n">
        <v>1</v>
      </c>
      <c r="S335" s="5" t="n">
        <v>1</v>
      </c>
      <c r="T335" s="5" t="n">
        <v>1</v>
      </c>
      <c r="U335" s="5" t="n">
        <v>0</v>
      </c>
      <c r="V335" s="5" t="n">
        <v>0</v>
      </c>
      <c r="W335" s="5" t="n">
        <f aca="false">SUM(C335:V335)</f>
        <v>13</v>
      </c>
    </row>
    <row r="336" customFormat="false" ht="17.9" hidden="false" customHeight="false" outlineLevel="0" collapsed="false">
      <c r="A336" s="5" t="s">
        <v>370</v>
      </c>
      <c r="B336" s="5" t="s">
        <v>336</v>
      </c>
      <c r="C336" s="5" t="n">
        <v>1</v>
      </c>
      <c r="D336" s="5" t="n">
        <v>0</v>
      </c>
      <c r="E336" s="5" t="n">
        <v>1</v>
      </c>
      <c r="F336" s="5" t="n">
        <v>0</v>
      </c>
      <c r="G336" s="5" t="n">
        <v>1</v>
      </c>
      <c r="H336" s="5" t="n">
        <v>1</v>
      </c>
      <c r="I336" s="5" t="n">
        <v>1</v>
      </c>
      <c r="J336" s="5" t="n">
        <v>1</v>
      </c>
      <c r="K336" s="5" t="n">
        <v>1</v>
      </c>
      <c r="L336" s="5" t="n">
        <v>1</v>
      </c>
      <c r="M336" s="5" t="n">
        <v>1</v>
      </c>
      <c r="N336" s="5" t="n">
        <v>1</v>
      </c>
      <c r="O336" s="5" t="n">
        <v>1</v>
      </c>
      <c r="P336" s="5" t="n">
        <v>1</v>
      </c>
      <c r="Q336" s="5" t="n">
        <v>1</v>
      </c>
      <c r="R336" s="5" t="n">
        <v>1</v>
      </c>
      <c r="S336" s="5" t="n">
        <v>1</v>
      </c>
      <c r="T336" s="5" t="n">
        <v>1</v>
      </c>
      <c r="U336" s="5" t="n">
        <v>1</v>
      </c>
      <c r="V336" s="5" t="n">
        <v>0</v>
      </c>
      <c r="W336" s="5" t="n">
        <f aca="false">SUM(C336:V336)</f>
        <v>17</v>
      </c>
    </row>
    <row r="337" customFormat="false" ht="17.9" hidden="false" customHeight="false" outlineLevel="0" collapsed="false">
      <c r="A337" s="5" t="s">
        <v>371</v>
      </c>
      <c r="B337" s="5" t="s">
        <v>336</v>
      </c>
      <c r="C337" s="5" t="n">
        <v>0</v>
      </c>
      <c r="D337" s="5" t="n">
        <v>1</v>
      </c>
      <c r="E337" s="5" t="n">
        <v>1</v>
      </c>
      <c r="F337" s="5" t="n">
        <v>0</v>
      </c>
      <c r="G337" s="5" t="n">
        <v>0</v>
      </c>
      <c r="H337" s="5" t="n">
        <v>1</v>
      </c>
      <c r="I337" s="5" t="n">
        <v>0</v>
      </c>
      <c r="J337" s="5" t="n">
        <v>0</v>
      </c>
      <c r="K337" s="5" t="n">
        <v>1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1</v>
      </c>
      <c r="R337" s="5" t="n">
        <v>1</v>
      </c>
      <c r="S337" s="5" t="n">
        <v>1</v>
      </c>
      <c r="T337" s="5" t="n">
        <v>0</v>
      </c>
      <c r="U337" s="5" t="n">
        <v>0</v>
      </c>
      <c r="V337" s="5" t="n">
        <v>0</v>
      </c>
      <c r="W337" s="5" t="n">
        <f aca="false">SUM(C337:V337)</f>
        <v>7</v>
      </c>
    </row>
    <row r="338" customFormat="false" ht="17.9" hidden="false" customHeight="false" outlineLevel="0" collapsed="false">
      <c r="A338" s="5" t="s">
        <v>372</v>
      </c>
      <c r="B338" s="5" t="s">
        <v>336</v>
      </c>
      <c r="C338" s="5" t="n">
        <v>0</v>
      </c>
      <c r="D338" s="5" t="n">
        <v>1</v>
      </c>
      <c r="E338" s="5" t="n">
        <v>1</v>
      </c>
      <c r="F338" s="5" t="n">
        <v>0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1</v>
      </c>
      <c r="M338" s="5" t="n">
        <v>1</v>
      </c>
      <c r="N338" s="5" t="n">
        <v>1</v>
      </c>
      <c r="O338" s="5" t="n">
        <v>1</v>
      </c>
      <c r="P338" s="5" t="n">
        <v>0</v>
      </c>
      <c r="Q338" s="5" t="n">
        <v>1</v>
      </c>
      <c r="R338" s="5" t="n">
        <v>1</v>
      </c>
      <c r="S338" s="5" t="n">
        <v>1</v>
      </c>
      <c r="T338" s="5" t="n">
        <v>1</v>
      </c>
      <c r="U338" s="5" t="n">
        <v>0</v>
      </c>
      <c r="V338" s="5" t="n">
        <v>0</v>
      </c>
      <c r="W338" s="5" t="n">
        <f aca="false">SUM(C338:V338)</f>
        <v>12</v>
      </c>
    </row>
    <row r="339" customFormat="false" ht="17.9" hidden="false" customHeight="false" outlineLevel="0" collapsed="false">
      <c r="A339" s="5" t="s">
        <v>373</v>
      </c>
      <c r="B339" s="5" t="s">
        <v>336</v>
      </c>
      <c r="C339" s="5" t="n">
        <v>0</v>
      </c>
      <c r="D339" s="5" t="n">
        <v>0</v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1</v>
      </c>
      <c r="S339" s="5" t="n">
        <v>0</v>
      </c>
      <c r="T339" s="5" t="n">
        <v>0</v>
      </c>
      <c r="U339" s="5" t="n">
        <v>0</v>
      </c>
      <c r="V339" s="5" t="n">
        <v>0</v>
      </c>
      <c r="W339" s="5" t="n">
        <f aca="false">SUM(C339:V339)</f>
        <v>1</v>
      </c>
    </row>
    <row r="340" customFormat="false" ht="17.9" hidden="false" customHeight="false" outlineLevel="0" collapsed="false">
      <c r="A340" s="5" t="s">
        <v>374</v>
      </c>
      <c r="B340" s="5" t="s">
        <v>336</v>
      </c>
      <c r="C340" s="5" t="n">
        <v>1</v>
      </c>
      <c r="D340" s="5" t="n">
        <v>1</v>
      </c>
      <c r="E340" s="5" t="n">
        <v>1</v>
      </c>
      <c r="F340" s="5" t="n">
        <v>0</v>
      </c>
      <c r="G340" s="5" t="n">
        <v>1</v>
      </c>
      <c r="H340" s="5" t="n">
        <v>1</v>
      </c>
      <c r="I340" s="5" t="n">
        <v>1</v>
      </c>
      <c r="J340" s="5" t="n">
        <v>1</v>
      </c>
      <c r="K340" s="5" t="n">
        <v>1</v>
      </c>
      <c r="L340" s="5" t="n">
        <v>1</v>
      </c>
      <c r="M340" s="5" t="n">
        <v>1</v>
      </c>
      <c r="N340" s="5" t="n">
        <v>1</v>
      </c>
      <c r="O340" s="5" t="n">
        <v>1</v>
      </c>
      <c r="P340" s="5" t="n">
        <v>1</v>
      </c>
      <c r="Q340" s="5" t="n">
        <v>1</v>
      </c>
      <c r="R340" s="5" t="n">
        <v>1</v>
      </c>
      <c r="S340" s="5" t="n">
        <v>1</v>
      </c>
      <c r="T340" s="5" t="n">
        <v>1</v>
      </c>
      <c r="U340" s="5" t="n">
        <v>1</v>
      </c>
      <c r="V340" s="5" t="n">
        <v>1</v>
      </c>
      <c r="W340" s="5" t="n">
        <f aca="false">SUM(C340:V340)</f>
        <v>19</v>
      </c>
    </row>
    <row r="341" customFormat="false" ht="17.9" hidden="false" customHeight="false" outlineLevel="0" collapsed="false">
      <c r="A341" s="5" t="s">
        <v>375</v>
      </c>
      <c r="B341" s="5" t="s">
        <v>336</v>
      </c>
      <c r="C341" s="5" t="n">
        <v>1</v>
      </c>
      <c r="D341" s="5" t="n">
        <v>1</v>
      </c>
      <c r="E341" s="5" t="n">
        <v>1</v>
      </c>
      <c r="F341" s="5" t="n">
        <v>0</v>
      </c>
      <c r="G341" s="5" t="n">
        <v>1</v>
      </c>
      <c r="H341" s="5" t="n">
        <v>1</v>
      </c>
      <c r="I341" s="5" t="n">
        <v>0</v>
      </c>
      <c r="J341" s="5" t="n">
        <v>0</v>
      </c>
      <c r="K341" s="5" t="n">
        <v>1</v>
      </c>
      <c r="L341" s="5" t="n">
        <v>1</v>
      </c>
      <c r="M341" s="5" t="n">
        <v>1</v>
      </c>
      <c r="N341" s="5" t="n">
        <v>1</v>
      </c>
      <c r="O341" s="5" t="n">
        <v>0</v>
      </c>
      <c r="P341" s="5" t="n">
        <v>1</v>
      </c>
      <c r="Q341" s="5" t="n">
        <v>1</v>
      </c>
      <c r="R341" s="5" t="n">
        <v>1</v>
      </c>
      <c r="S341" s="5" t="n">
        <v>1</v>
      </c>
      <c r="T341" s="5" t="n">
        <v>1</v>
      </c>
      <c r="U341" s="5" t="n">
        <v>1</v>
      </c>
      <c r="V341" s="5" t="n">
        <v>0</v>
      </c>
      <c r="W341" s="5" t="n">
        <f aca="false">SUM(C341:V341)</f>
        <v>15</v>
      </c>
    </row>
    <row r="342" customFormat="false" ht="17.9" hidden="false" customHeight="false" outlineLevel="0" collapsed="false">
      <c r="A342" s="5" t="s">
        <v>376</v>
      </c>
      <c r="B342" s="5" t="s">
        <v>336</v>
      </c>
      <c r="C342" s="5" t="n">
        <v>1</v>
      </c>
      <c r="D342" s="5" t="n">
        <v>1</v>
      </c>
      <c r="E342" s="5" t="n">
        <v>1</v>
      </c>
      <c r="F342" s="5" t="n">
        <v>1</v>
      </c>
      <c r="G342" s="5" t="n">
        <v>1</v>
      </c>
      <c r="H342" s="5" t="n">
        <v>1</v>
      </c>
      <c r="I342" s="5" t="n">
        <v>1</v>
      </c>
      <c r="J342" s="5" t="n">
        <v>0</v>
      </c>
      <c r="K342" s="5" t="n">
        <v>1</v>
      </c>
      <c r="L342" s="5" t="n">
        <v>1</v>
      </c>
      <c r="M342" s="5" t="n">
        <v>1</v>
      </c>
      <c r="N342" s="5" t="n">
        <v>1</v>
      </c>
      <c r="O342" s="5" t="n">
        <v>1</v>
      </c>
      <c r="P342" s="5" t="n">
        <v>1</v>
      </c>
      <c r="Q342" s="5" t="n">
        <v>1</v>
      </c>
      <c r="R342" s="5" t="n">
        <v>1</v>
      </c>
      <c r="S342" s="5" t="n">
        <v>1</v>
      </c>
      <c r="T342" s="5" t="n">
        <v>1</v>
      </c>
      <c r="U342" s="5" t="n">
        <v>1</v>
      </c>
      <c r="V342" s="5" t="n">
        <v>1</v>
      </c>
      <c r="W342" s="5" t="n">
        <f aca="false">SUM(C342:V342)</f>
        <v>19</v>
      </c>
    </row>
    <row r="343" customFormat="false" ht="17.9" hidden="false" customHeight="false" outlineLevel="0" collapsed="false">
      <c r="A343" s="5" t="s">
        <v>377</v>
      </c>
      <c r="B343" s="5" t="s">
        <v>336</v>
      </c>
      <c r="C343" s="5" t="n">
        <v>1</v>
      </c>
      <c r="D343" s="5" t="n">
        <v>1</v>
      </c>
      <c r="E343" s="5" t="n">
        <v>1</v>
      </c>
      <c r="F343" s="5" t="n">
        <v>1</v>
      </c>
      <c r="G343" s="5" t="n">
        <v>1</v>
      </c>
      <c r="H343" s="5" t="n">
        <v>0</v>
      </c>
      <c r="I343" s="5" t="n">
        <v>0</v>
      </c>
      <c r="J343" s="5" t="n">
        <v>1</v>
      </c>
      <c r="K343" s="5" t="n">
        <v>1</v>
      </c>
      <c r="L343" s="5" t="n">
        <v>1</v>
      </c>
      <c r="M343" s="5" t="n">
        <v>1</v>
      </c>
      <c r="N343" s="5" t="n">
        <v>1</v>
      </c>
      <c r="O343" s="5" t="n">
        <v>1</v>
      </c>
      <c r="P343" s="5" t="n">
        <v>0</v>
      </c>
      <c r="Q343" s="5" t="n">
        <v>1</v>
      </c>
      <c r="R343" s="5" t="n">
        <v>1</v>
      </c>
      <c r="S343" s="5" t="n">
        <v>1</v>
      </c>
      <c r="T343" s="5" t="n">
        <v>1</v>
      </c>
      <c r="U343" s="5" t="n">
        <v>1</v>
      </c>
      <c r="V343" s="5" t="n">
        <v>1</v>
      </c>
      <c r="W343" s="5" t="n">
        <f aca="false">SUM(C343:V343)</f>
        <v>17</v>
      </c>
    </row>
    <row r="344" customFormat="false" ht="17.9" hidden="false" customHeight="false" outlineLevel="0" collapsed="false">
      <c r="A344" s="5" t="s">
        <v>378</v>
      </c>
      <c r="B344" s="5" t="s">
        <v>336</v>
      </c>
      <c r="C344" s="5" t="n">
        <v>1</v>
      </c>
      <c r="D344" s="5" t="n">
        <v>1</v>
      </c>
      <c r="E344" s="5" t="n">
        <v>1</v>
      </c>
      <c r="F344" s="5" t="n">
        <v>0</v>
      </c>
      <c r="G344" s="5" t="n">
        <v>1</v>
      </c>
      <c r="H344" s="5" t="n">
        <v>0</v>
      </c>
      <c r="I344" s="5" t="n">
        <v>0</v>
      </c>
      <c r="J344" s="5" t="n">
        <v>1</v>
      </c>
      <c r="K344" s="5" t="n">
        <v>1</v>
      </c>
      <c r="L344" s="5" t="n">
        <v>1</v>
      </c>
      <c r="M344" s="5" t="n">
        <v>1</v>
      </c>
      <c r="N344" s="5" t="n">
        <v>1</v>
      </c>
      <c r="O344" s="5" t="n">
        <v>0</v>
      </c>
      <c r="P344" s="5" t="n">
        <v>0</v>
      </c>
      <c r="Q344" s="5" t="n">
        <v>1</v>
      </c>
      <c r="R344" s="5" t="n">
        <v>1</v>
      </c>
      <c r="S344" s="5" t="n">
        <v>1</v>
      </c>
      <c r="T344" s="5" t="n">
        <v>1</v>
      </c>
      <c r="U344" s="5" t="n">
        <v>1</v>
      </c>
      <c r="V344" s="5" t="n">
        <v>1</v>
      </c>
      <c r="W344" s="5" t="n">
        <f aca="false">SUM(C344:V344)</f>
        <v>15</v>
      </c>
    </row>
    <row r="345" customFormat="false" ht="17.9" hidden="false" customHeight="false" outlineLevel="0" collapsed="false">
      <c r="A345" s="5" t="s">
        <v>379</v>
      </c>
      <c r="B345" s="5" t="s">
        <v>336</v>
      </c>
      <c r="C345" s="5" t="n">
        <v>1</v>
      </c>
      <c r="D345" s="5" t="n">
        <v>0</v>
      </c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0</v>
      </c>
      <c r="L345" s="5" t="n">
        <v>0</v>
      </c>
      <c r="M345" s="5" t="n">
        <v>0</v>
      </c>
      <c r="N345" s="5" t="n">
        <v>1</v>
      </c>
      <c r="O345" s="5" t="n">
        <v>0</v>
      </c>
      <c r="P345" s="5" t="n">
        <v>0</v>
      </c>
      <c r="Q345" s="5" t="n">
        <v>1</v>
      </c>
      <c r="R345" s="5" t="n">
        <v>0</v>
      </c>
      <c r="S345" s="5" t="n">
        <v>1</v>
      </c>
      <c r="T345" s="5" t="n">
        <v>0</v>
      </c>
      <c r="U345" s="5" t="n">
        <v>0</v>
      </c>
      <c r="V345" s="5" t="n">
        <v>0</v>
      </c>
      <c r="W345" s="5" t="n">
        <f aca="false">SUM(C345:V345)</f>
        <v>4</v>
      </c>
    </row>
    <row r="346" customFormat="false" ht="17.9" hidden="false" customHeight="false" outlineLevel="0" collapsed="false">
      <c r="A346" s="5" t="s">
        <v>380</v>
      </c>
      <c r="B346" s="5" t="s">
        <v>336</v>
      </c>
      <c r="C346" s="5" t="n">
        <v>1</v>
      </c>
      <c r="D346" s="5" t="n">
        <v>1</v>
      </c>
      <c r="E346" s="5" t="n">
        <v>1</v>
      </c>
      <c r="F346" s="5" t="n">
        <v>0</v>
      </c>
      <c r="G346" s="5" t="n">
        <v>0</v>
      </c>
      <c r="H346" s="5" t="n">
        <v>1</v>
      </c>
      <c r="I346" s="5" t="n">
        <v>0</v>
      </c>
      <c r="J346" s="5" t="n">
        <v>0</v>
      </c>
      <c r="K346" s="5" t="n">
        <v>1</v>
      </c>
      <c r="L346" s="5" t="n">
        <v>1</v>
      </c>
      <c r="M346" s="5" t="n">
        <v>1</v>
      </c>
      <c r="N346" s="5" t="n">
        <v>1</v>
      </c>
      <c r="O346" s="5" t="n">
        <v>1</v>
      </c>
      <c r="P346" s="5" t="n">
        <v>0</v>
      </c>
      <c r="Q346" s="5" t="n">
        <v>1</v>
      </c>
      <c r="R346" s="5" t="n">
        <v>1</v>
      </c>
      <c r="S346" s="5" t="n">
        <v>1</v>
      </c>
      <c r="T346" s="5" t="n">
        <v>1</v>
      </c>
      <c r="U346" s="5" t="n">
        <v>1</v>
      </c>
      <c r="V346" s="5" t="n">
        <v>1</v>
      </c>
      <c r="W346" s="5" t="n">
        <f aca="false">SUM(C346:V346)</f>
        <v>15</v>
      </c>
    </row>
    <row r="347" customFormat="false" ht="17.9" hidden="false" customHeight="false" outlineLevel="0" collapsed="false">
      <c r="A347" s="5" t="s">
        <v>381</v>
      </c>
      <c r="B347" s="5" t="s">
        <v>336</v>
      </c>
      <c r="C347" s="5" t="n">
        <v>1</v>
      </c>
      <c r="D347" s="5" t="n">
        <v>0</v>
      </c>
      <c r="E347" s="5" t="n">
        <v>1</v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1</v>
      </c>
      <c r="L347" s="5" t="n">
        <v>0</v>
      </c>
      <c r="M347" s="5" t="n">
        <v>0</v>
      </c>
      <c r="N347" s="5" t="n">
        <v>1</v>
      </c>
      <c r="O347" s="5" t="n">
        <v>0</v>
      </c>
      <c r="P347" s="5" t="n">
        <v>1</v>
      </c>
      <c r="Q347" s="5" t="n">
        <v>1</v>
      </c>
      <c r="R347" s="5" t="n">
        <v>1</v>
      </c>
      <c r="S347" s="5" t="n">
        <v>1</v>
      </c>
      <c r="T347" s="5" t="n">
        <v>0</v>
      </c>
      <c r="U347" s="5" t="n">
        <v>0</v>
      </c>
      <c r="V347" s="5" t="n">
        <v>0</v>
      </c>
      <c r="W347" s="5" t="n">
        <f aca="false">SUM(C347:V347)</f>
        <v>8</v>
      </c>
    </row>
    <row r="348" customFormat="false" ht="17.9" hidden="false" customHeight="false" outlineLevel="0" collapsed="false">
      <c r="A348" s="5" t="s">
        <v>382</v>
      </c>
      <c r="B348" s="5" t="s">
        <v>336</v>
      </c>
      <c r="C348" s="5" t="n">
        <v>1</v>
      </c>
      <c r="D348" s="5" t="n">
        <v>1</v>
      </c>
      <c r="E348" s="5" t="n">
        <v>1</v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0</v>
      </c>
      <c r="K348" s="5" t="n">
        <v>1</v>
      </c>
      <c r="L348" s="5" t="n">
        <v>0</v>
      </c>
      <c r="M348" s="5" t="n">
        <v>1</v>
      </c>
      <c r="N348" s="5" t="n">
        <v>1</v>
      </c>
      <c r="O348" s="5" t="n">
        <v>1</v>
      </c>
      <c r="P348" s="5" t="n">
        <v>0</v>
      </c>
      <c r="Q348" s="5" t="n">
        <v>1</v>
      </c>
      <c r="R348" s="5" t="n">
        <v>0</v>
      </c>
      <c r="S348" s="5" t="n">
        <v>1</v>
      </c>
      <c r="T348" s="5" t="n">
        <v>1</v>
      </c>
      <c r="U348" s="5" t="n">
        <v>0</v>
      </c>
      <c r="V348" s="5" t="n">
        <v>0</v>
      </c>
      <c r="W348" s="5" t="n">
        <f aca="false">SUM(C348:V348)</f>
        <v>10</v>
      </c>
    </row>
    <row r="349" customFormat="false" ht="17.9" hidden="false" customHeight="false" outlineLevel="0" collapsed="false">
      <c r="A349" s="5" t="s">
        <v>383</v>
      </c>
      <c r="B349" s="5" t="s">
        <v>336</v>
      </c>
      <c r="C349" s="5" t="n">
        <v>0</v>
      </c>
      <c r="D349" s="5" t="n">
        <v>0</v>
      </c>
      <c r="E349" s="5" t="n">
        <v>1</v>
      </c>
      <c r="F349" s="5" t="n">
        <v>0</v>
      </c>
      <c r="G349" s="5" t="n">
        <v>0</v>
      </c>
      <c r="H349" s="5" t="n">
        <v>1</v>
      </c>
      <c r="I349" s="5" t="n">
        <v>0</v>
      </c>
      <c r="J349" s="5" t="n">
        <v>0</v>
      </c>
      <c r="K349" s="5" t="n">
        <v>1</v>
      </c>
      <c r="L349" s="5" t="n">
        <v>0</v>
      </c>
      <c r="M349" s="5" t="n">
        <v>1</v>
      </c>
      <c r="N349" s="5" t="n">
        <v>1</v>
      </c>
      <c r="O349" s="5" t="n">
        <v>1</v>
      </c>
      <c r="P349" s="5" t="n">
        <v>0</v>
      </c>
      <c r="Q349" s="5" t="n">
        <v>1</v>
      </c>
      <c r="R349" s="5" t="n">
        <v>1</v>
      </c>
      <c r="S349" s="5" t="n">
        <v>1</v>
      </c>
      <c r="T349" s="5" t="n">
        <v>0</v>
      </c>
      <c r="U349" s="5" t="n">
        <v>0</v>
      </c>
      <c r="V349" s="5" t="n">
        <v>0</v>
      </c>
      <c r="W349" s="5" t="n">
        <f aca="false">SUM(C349:V349)</f>
        <v>9</v>
      </c>
    </row>
    <row r="350" customFormat="false" ht="17.9" hidden="false" customHeight="false" outlineLevel="0" collapsed="false">
      <c r="A350" s="5" t="s">
        <v>384</v>
      </c>
      <c r="B350" s="5" t="s">
        <v>336</v>
      </c>
      <c r="C350" s="5" t="n">
        <v>1</v>
      </c>
      <c r="D350" s="5" t="n">
        <v>1</v>
      </c>
      <c r="E350" s="5" t="n">
        <v>1</v>
      </c>
      <c r="F350" s="5" t="n">
        <v>0</v>
      </c>
      <c r="G350" s="5" t="n">
        <v>0</v>
      </c>
      <c r="H350" s="5" t="n">
        <v>1</v>
      </c>
      <c r="I350" s="5" t="n">
        <v>1</v>
      </c>
      <c r="J350" s="5" t="n">
        <v>0</v>
      </c>
      <c r="K350" s="5" t="n">
        <v>1</v>
      </c>
      <c r="L350" s="5" t="n">
        <v>0</v>
      </c>
      <c r="M350" s="5" t="n">
        <v>1</v>
      </c>
      <c r="N350" s="5" t="n">
        <v>1</v>
      </c>
      <c r="O350" s="5" t="n">
        <v>1</v>
      </c>
      <c r="P350" s="5" t="n">
        <v>0</v>
      </c>
      <c r="Q350" s="5" t="n">
        <v>1</v>
      </c>
      <c r="R350" s="5" t="n">
        <v>1</v>
      </c>
      <c r="S350" s="5" t="n">
        <v>1</v>
      </c>
      <c r="T350" s="5" t="n">
        <v>1</v>
      </c>
      <c r="U350" s="5" t="n">
        <v>1</v>
      </c>
      <c r="V350" s="5" t="n">
        <v>0</v>
      </c>
      <c r="W350" s="5" t="n">
        <f aca="false">SUM(C350:V350)</f>
        <v>14</v>
      </c>
    </row>
    <row r="351" customFormat="false" ht="17.9" hidden="false" customHeight="false" outlineLevel="0" collapsed="false">
      <c r="A351" s="5" t="s">
        <v>385</v>
      </c>
      <c r="B351" s="5" t="s">
        <v>336</v>
      </c>
      <c r="C351" s="5" t="n">
        <v>1</v>
      </c>
      <c r="D351" s="5" t="n">
        <v>1</v>
      </c>
      <c r="E351" s="5" t="n">
        <v>1</v>
      </c>
      <c r="F351" s="5" t="n">
        <v>0</v>
      </c>
      <c r="G351" s="5" t="n">
        <v>0</v>
      </c>
      <c r="H351" s="5" t="n">
        <v>1</v>
      </c>
      <c r="I351" s="5" t="n">
        <v>0</v>
      </c>
      <c r="J351" s="5" t="n">
        <v>0</v>
      </c>
      <c r="K351" s="5" t="n">
        <v>1</v>
      </c>
      <c r="L351" s="5" t="n">
        <v>0</v>
      </c>
      <c r="M351" s="5" t="n">
        <v>1</v>
      </c>
      <c r="N351" s="5" t="n">
        <v>1</v>
      </c>
      <c r="O351" s="5" t="n">
        <v>1</v>
      </c>
      <c r="P351" s="5" t="n">
        <v>0</v>
      </c>
      <c r="Q351" s="5" t="n">
        <v>1</v>
      </c>
      <c r="R351" s="5" t="n">
        <v>1</v>
      </c>
      <c r="S351" s="5" t="n">
        <v>1</v>
      </c>
      <c r="T351" s="5" t="n">
        <v>0</v>
      </c>
      <c r="U351" s="5" t="n">
        <v>0</v>
      </c>
      <c r="V351" s="5" t="n">
        <v>1</v>
      </c>
      <c r="W351" s="5" t="n">
        <f aca="false">SUM(C351:V351)</f>
        <v>12</v>
      </c>
    </row>
    <row r="352" customFormat="false" ht="17.9" hidden="false" customHeight="false" outlineLevel="0" collapsed="false">
      <c r="A352" s="5" t="s">
        <v>386</v>
      </c>
      <c r="B352" s="5" t="s">
        <v>336</v>
      </c>
      <c r="C352" s="5" t="n">
        <v>1</v>
      </c>
      <c r="D352" s="5" t="n">
        <v>1</v>
      </c>
      <c r="E352" s="5" t="n">
        <v>1</v>
      </c>
      <c r="F352" s="5" t="n">
        <v>0</v>
      </c>
      <c r="G352" s="5" t="n">
        <v>0</v>
      </c>
      <c r="H352" s="5" t="n">
        <v>0</v>
      </c>
      <c r="I352" s="5" t="n">
        <v>0</v>
      </c>
      <c r="J352" s="5" t="n">
        <v>0</v>
      </c>
      <c r="K352" s="5" t="n">
        <v>0</v>
      </c>
      <c r="L352" s="5" t="n">
        <v>0</v>
      </c>
      <c r="M352" s="5" t="n">
        <v>0</v>
      </c>
      <c r="N352" s="5" t="n">
        <v>1</v>
      </c>
      <c r="O352" s="5" t="n">
        <v>1</v>
      </c>
      <c r="P352" s="5" t="n">
        <v>0</v>
      </c>
      <c r="Q352" s="5" t="n">
        <v>1</v>
      </c>
      <c r="R352" s="5" t="n">
        <v>0</v>
      </c>
      <c r="S352" s="5" t="n">
        <v>1</v>
      </c>
      <c r="T352" s="5" t="n">
        <v>0</v>
      </c>
      <c r="U352" s="5" t="n">
        <v>0</v>
      </c>
      <c r="V352" s="5" t="n">
        <v>0</v>
      </c>
      <c r="W352" s="5" t="n">
        <f aca="false">SUM(C352:V352)</f>
        <v>7</v>
      </c>
    </row>
    <row r="353" customFormat="false" ht="17.9" hidden="false" customHeight="false" outlineLevel="0" collapsed="false">
      <c r="A353" s="5" t="s">
        <v>387</v>
      </c>
      <c r="B353" s="5" t="s">
        <v>336</v>
      </c>
      <c r="C353" s="5" t="n">
        <v>1</v>
      </c>
      <c r="D353" s="5" t="n">
        <v>1</v>
      </c>
      <c r="E353" s="5" t="n">
        <v>1</v>
      </c>
      <c r="F353" s="5" t="n">
        <v>0</v>
      </c>
      <c r="G353" s="5" t="n">
        <v>1</v>
      </c>
      <c r="H353" s="5" t="n">
        <v>1</v>
      </c>
      <c r="I353" s="5" t="n">
        <v>0</v>
      </c>
      <c r="J353" s="5" t="n">
        <v>1</v>
      </c>
      <c r="K353" s="5" t="n">
        <v>1</v>
      </c>
      <c r="L353" s="5" t="n">
        <v>1</v>
      </c>
      <c r="M353" s="5" t="n">
        <v>1</v>
      </c>
      <c r="N353" s="5" t="n">
        <v>1</v>
      </c>
      <c r="O353" s="5" t="n">
        <v>1</v>
      </c>
      <c r="P353" s="5" t="n">
        <v>0</v>
      </c>
      <c r="Q353" s="5" t="n">
        <v>1</v>
      </c>
      <c r="R353" s="5" t="n">
        <v>1</v>
      </c>
      <c r="S353" s="5" t="n">
        <v>1</v>
      </c>
      <c r="T353" s="5" t="n">
        <v>1</v>
      </c>
      <c r="U353" s="5" t="n">
        <v>0</v>
      </c>
      <c r="V353" s="5" t="n">
        <v>0</v>
      </c>
      <c r="W353" s="5" t="n">
        <f aca="false">SUM(C353:V353)</f>
        <v>15</v>
      </c>
    </row>
    <row r="354" customFormat="false" ht="17.9" hidden="false" customHeight="false" outlineLevel="0" collapsed="false">
      <c r="A354" s="5" t="s">
        <v>388</v>
      </c>
      <c r="B354" s="5" t="s">
        <v>336</v>
      </c>
      <c r="C354" s="5" t="n">
        <v>1</v>
      </c>
      <c r="D354" s="5" t="n">
        <v>1</v>
      </c>
      <c r="E354" s="5" t="n">
        <v>1</v>
      </c>
      <c r="F354" s="5" t="n">
        <v>1</v>
      </c>
      <c r="G354" s="5" t="n">
        <v>1</v>
      </c>
      <c r="H354" s="5" t="n">
        <v>1</v>
      </c>
      <c r="I354" s="5" t="n">
        <v>1</v>
      </c>
      <c r="J354" s="5" t="n">
        <v>1</v>
      </c>
      <c r="K354" s="5" t="n">
        <v>1</v>
      </c>
      <c r="L354" s="5" t="n">
        <v>1</v>
      </c>
      <c r="M354" s="5" t="n">
        <v>1</v>
      </c>
      <c r="N354" s="5" t="n">
        <v>1</v>
      </c>
      <c r="O354" s="5" t="n">
        <v>1</v>
      </c>
      <c r="P354" s="5" t="n">
        <v>0</v>
      </c>
      <c r="Q354" s="5" t="n">
        <v>1</v>
      </c>
      <c r="R354" s="5" t="n">
        <v>1</v>
      </c>
      <c r="S354" s="5" t="n">
        <v>1</v>
      </c>
      <c r="T354" s="5" t="n">
        <v>1</v>
      </c>
      <c r="U354" s="5" t="n">
        <v>1</v>
      </c>
      <c r="V354" s="5" t="n">
        <v>1</v>
      </c>
      <c r="W354" s="5" t="n">
        <f aca="false">SUM(C354:V354)</f>
        <v>19</v>
      </c>
    </row>
    <row r="355" customFormat="false" ht="17.9" hidden="false" customHeight="false" outlineLevel="0" collapsed="false">
      <c r="A355" s="5" t="s">
        <v>389</v>
      </c>
      <c r="B355" s="5" t="s">
        <v>336</v>
      </c>
      <c r="C355" s="5" t="n">
        <v>0</v>
      </c>
      <c r="D355" s="5" t="n">
        <v>1</v>
      </c>
      <c r="E355" s="5" t="n">
        <v>1</v>
      </c>
      <c r="F355" s="5" t="n">
        <v>0</v>
      </c>
      <c r="G355" s="5" t="n">
        <v>1</v>
      </c>
      <c r="H355" s="5" t="n">
        <v>1</v>
      </c>
      <c r="I355" s="5" t="n">
        <v>0</v>
      </c>
      <c r="J355" s="5" t="n">
        <v>0</v>
      </c>
      <c r="K355" s="5" t="n">
        <v>1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1</v>
      </c>
      <c r="R355" s="5" t="n">
        <v>1</v>
      </c>
      <c r="S355" s="5" t="n">
        <v>1</v>
      </c>
      <c r="T355" s="5" t="n">
        <v>0</v>
      </c>
      <c r="U355" s="5" t="n">
        <v>0</v>
      </c>
      <c r="V355" s="5" t="n">
        <v>1</v>
      </c>
      <c r="W355" s="5" t="n">
        <f aca="false">SUM(C355:V355)</f>
        <v>9</v>
      </c>
    </row>
    <row r="356" customFormat="false" ht="17.9" hidden="false" customHeight="false" outlineLevel="0" collapsed="false">
      <c r="A356" s="5" t="s">
        <v>390</v>
      </c>
      <c r="B356" s="5" t="s">
        <v>336</v>
      </c>
      <c r="C356" s="5" t="n">
        <v>1</v>
      </c>
      <c r="D356" s="5" t="n">
        <v>0</v>
      </c>
      <c r="E356" s="5" t="n">
        <v>1</v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1</v>
      </c>
      <c r="K356" s="5" t="n">
        <v>1</v>
      </c>
      <c r="L356" s="5" t="n">
        <v>0</v>
      </c>
      <c r="M356" s="5" t="n">
        <v>1</v>
      </c>
      <c r="N356" s="5" t="n">
        <v>1</v>
      </c>
      <c r="O356" s="5" t="n">
        <v>0</v>
      </c>
      <c r="P356" s="5" t="n">
        <v>0</v>
      </c>
      <c r="Q356" s="5" t="n">
        <v>1</v>
      </c>
      <c r="R356" s="5" t="n">
        <v>0</v>
      </c>
      <c r="S356" s="5" t="n">
        <v>1</v>
      </c>
      <c r="T356" s="5" t="n">
        <v>0</v>
      </c>
      <c r="U356" s="5" t="n">
        <v>0</v>
      </c>
      <c r="V356" s="5" t="n">
        <v>0</v>
      </c>
      <c r="W356" s="5" t="n">
        <f aca="false">SUM(C356:V356)</f>
        <v>8</v>
      </c>
    </row>
    <row r="357" customFormat="false" ht="17.9" hidden="false" customHeight="false" outlineLevel="0" collapsed="false">
      <c r="A357" s="5" t="s">
        <v>391</v>
      </c>
      <c r="B357" s="5" t="s">
        <v>336</v>
      </c>
      <c r="C357" s="5" t="n">
        <v>0</v>
      </c>
      <c r="D357" s="5" t="n">
        <v>0</v>
      </c>
      <c r="E357" s="5" t="n">
        <v>1</v>
      </c>
      <c r="F357" s="5" t="n">
        <v>0</v>
      </c>
      <c r="G357" s="5" t="n">
        <v>0</v>
      </c>
      <c r="H357" s="5" t="n">
        <v>0</v>
      </c>
      <c r="I357" s="5" t="n">
        <v>0</v>
      </c>
      <c r="J357" s="5" t="n">
        <v>0</v>
      </c>
      <c r="K357" s="5" t="n">
        <v>0</v>
      </c>
      <c r="L357" s="5" t="n">
        <v>0</v>
      </c>
      <c r="M357" s="5" t="n">
        <v>0</v>
      </c>
      <c r="N357" s="5" t="n">
        <v>1</v>
      </c>
      <c r="O357" s="5" t="n">
        <v>1</v>
      </c>
      <c r="P357" s="5" t="n">
        <v>1</v>
      </c>
      <c r="Q357" s="5" t="n">
        <v>1</v>
      </c>
      <c r="R357" s="5" t="n">
        <v>1</v>
      </c>
      <c r="S357" s="5" t="n">
        <v>1</v>
      </c>
      <c r="T357" s="5" t="n">
        <v>1</v>
      </c>
      <c r="U357" s="5" t="n">
        <v>0</v>
      </c>
      <c r="V357" s="5" t="n">
        <v>0</v>
      </c>
      <c r="W357" s="5" t="n">
        <f aca="false">SUM(C357:V357)</f>
        <v>8</v>
      </c>
    </row>
    <row r="358" customFormat="false" ht="17.9" hidden="false" customHeight="false" outlineLevel="0" collapsed="false">
      <c r="A358" s="5" t="s">
        <v>392</v>
      </c>
      <c r="B358" s="5" t="s">
        <v>336</v>
      </c>
      <c r="C358" s="5" t="n">
        <v>0</v>
      </c>
      <c r="D358" s="5" t="n">
        <v>1</v>
      </c>
      <c r="E358" s="5" t="n">
        <v>1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0</v>
      </c>
      <c r="K358" s="5" t="n">
        <v>1</v>
      </c>
      <c r="L358" s="5" t="n">
        <v>0</v>
      </c>
      <c r="M358" s="5" t="n">
        <v>0</v>
      </c>
      <c r="N358" s="5" t="n">
        <v>1</v>
      </c>
      <c r="O358" s="5" t="n">
        <v>1</v>
      </c>
      <c r="P358" s="5" t="n">
        <v>0</v>
      </c>
      <c r="Q358" s="5" t="n">
        <v>1</v>
      </c>
      <c r="R358" s="5" t="n">
        <v>1</v>
      </c>
      <c r="S358" s="5" t="n">
        <v>1</v>
      </c>
      <c r="T358" s="5" t="n">
        <v>0</v>
      </c>
      <c r="U358" s="5" t="n">
        <v>0</v>
      </c>
      <c r="V358" s="5" t="n">
        <v>0</v>
      </c>
      <c r="W358" s="5" t="n">
        <f aca="false">SUM(C358:V358)</f>
        <v>8</v>
      </c>
    </row>
    <row r="359" customFormat="false" ht="17.9" hidden="false" customHeight="false" outlineLevel="0" collapsed="false">
      <c r="A359" s="5" t="s">
        <v>393</v>
      </c>
      <c r="B359" s="5" t="s">
        <v>336</v>
      </c>
      <c r="C359" s="5" t="n">
        <v>0</v>
      </c>
      <c r="D359" s="5" t="n">
        <v>0</v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1</v>
      </c>
      <c r="T359" s="5" t="n">
        <v>0</v>
      </c>
      <c r="U359" s="5" t="n">
        <v>0</v>
      </c>
      <c r="V359" s="5" t="n">
        <v>0</v>
      </c>
      <c r="W359" s="5" t="n">
        <f aca="false">SUM(C359:V359)</f>
        <v>1</v>
      </c>
    </row>
    <row r="360" customFormat="false" ht="17.9" hidden="false" customHeight="false" outlineLevel="0" collapsed="false">
      <c r="A360" s="5" t="s">
        <v>394</v>
      </c>
      <c r="B360" s="5" t="s">
        <v>336</v>
      </c>
      <c r="C360" s="5" t="n">
        <v>0</v>
      </c>
      <c r="D360" s="5" t="n">
        <v>0</v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0</v>
      </c>
      <c r="L360" s="5" t="n">
        <v>0</v>
      </c>
      <c r="M360" s="5" t="n">
        <v>0</v>
      </c>
      <c r="N360" s="5" t="n">
        <v>1</v>
      </c>
      <c r="O360" s="5" t="n">
        <v>0</v>
      </c>
      <c r="P360" s="5" t="n">
        <v>0</v>
      </c>
      <c r="Q360" s="5" t="n">
        <v>1</v>
      </c>
      <c r="R360" s="5" t="n">
        <v>0</v>
      </c>
      <c r="S360" s="5" t="n">
        <v>0</v>
      </c>
      <c r="T360" s="5" t="n">
        <v>1</v>
      </c>
      <c r="U360" s="5" t="n">
        <v>0</v>
      </c>
      <c r="V360" s="5" t="n">
        <v>0</v>
      </c>
      <c r="W360" s="5" t="n">
        <f aca="false">SUM(C360:V360)</f>
        <v>3</v>
      </c>
    </row>
    <row r="361" customFormat="false" ht="17.9" hidden="false" customHeight="false" outlineLevel="0" collapsed="false">
      <c r="A361" s="5" t="s">
        <v>395</v>
      </c>
      <c r="B361" s="5" t="s">
        <v>336</v>
      </c>
      <c r="C361" s="5" t="n">
        <v>0</v>
      </c>
      <c r="D361" s="5" t="n">
        <v>1</v>
      </c>
      <c r="E361" s="5" t="n">
        <v>1</v>
      </c>
      <c r="F361" s="5" t="n">
        <v>0</v>
      </c>
      <c r="G361" s="5" t="n">
        <v>0</v>
      </c>
      <c r="H361" s="5" t="n">
        <v>1</v>
      </c>
      <c r="I361" s="5" t="n">
        <v>0</v>
      </c>
      <c r="J361" s="5" t="n">
        <v>0</v>
      </c>
      <c r="K361" s="5" t="n">
        <v>1</v>
      </c>
      <c r="L361" s="5" t="n">
        <v>0</v>
      </c>
      <c r="M361" s="5" t="n">
        <v>0</v>
      </c>
      <c r="N361" s="5" t="n">
        <v>1</v>
      </c>
      <c r="O361" s="5" t="n">
        <v>1</v>
      </c>
      <c r="P361" s="5" t="n">
        <v>1</v>
      </c>
      <c r="Q361" s="5" t="n">
        <v>1</v>
      </c>
      <c r="R361" s="5" t="n">
        <v>0</v>
      </c>
      <c r="S361" s="5" t="n">
        <v>1</v>
      </c>
      <c r="T361" s="5" t="n">
        <v>0</v>
      </c>
      <c r="U361" s="5" t="n">
        <v>0</v>
      </c>
      <c r="V361" s="5" t="n">
        <v>0</v>
      </c>
      <c r="W361" s="5" t="n">
        <f aca="false">SUM(C361:V361)</f>
        <v>9</v>
      </c>
    </row>
    <row r="362" customFormat="false" ht="17.9" hidden="false" customHeight="false" outlineLevel="0" collapsed="false">
      <c r="A362" s="5" t="s">
        <v>396</v>
      </c>
      <c r="B362" s="5" t="s">
        <v>336</v>
      </c>
      <c r="C362" s="5" t="n">
        <v>0</v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0</v>
      </c>
      <c r="L362" s="5" t="n">
        <v>0</v>
      </c>
      <c r="M362" s="5" t="n">
        <v>0</v>
      </c>
      <c r="N362" s="5" t="n">
        <v>1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  <c r="U362" s="5" t="n">
        <v>0</v>
      </c>
      <c r="V362" s="5" t="n">
        <v>0</v>
      </c>
      <c r="W362" s="5" t="n">
        <f aca="false">SUM(C362:V362)</f>
        <v>1</v>
      </c>
    </row>
    <row r="363" customFormat="false" ht="17.9" hidden="false" customHeight="false" outlineLevel="0" collapsed="false">
      <c r="A363" s="5" t="s">
        <v>397</v>
      </c>
      <c r="B363" s="5" t="s">
        <v>336</v>
      </c>
      <c r="C363" s="5" t="n">
        <v>0</v>
      </c>
      <c r="D363" s="5" t="n">
        <v>0</v>
      </c>
      <c r="E363" s="5" t="n">
        <v>1</v>
      </c>
      <c r="F363" s="5" t="n">
        <v>0</v>
      </c>
      <c r="G363" s="5" t="n">
        <v>0</v>
      </c>
      <c r="H363" s="5" t="n">
        <v>1</v>
      </c>
      <c r="I363" s="5" t="n">
        <v>0</v>
      </c>
      <c r="J363" s="5" t="n">
        <v>0</v>
      </c>
      <c r="K363" s="5" t="n">
        <v>1</v>
      </c>
      <c r="L363" s="5" t="n">
        <v>0</v>
      </c>
      <c r="M363" s="5" t="n">
        <v>1</v>
      </c>
      <c r="N363" s="5" t="n">
        <v>1</v>
      </c>
      <c r="O363" s="5" t="n">
        <v>0</v>
      </c>
      <c r="P363" s="5" t="n">
        <v>0</v>
      </c>
      <c r="Q363" s="5" t="n">
        <v>1</v>
      </c>
      <c r="R363" s="5" t="n">
        <v>1</v>
      </c>
      <c r="S363" s="5" t="n">
        <v>1</v>
      </c>
      <c r="T363" s="5" t="n">
        <v>0</v>
      </c>
      <c r="U363" s="5" t="n">
        <v>1</v>
      </c>
      <c r="V363" s="5" t="n">
        <v>0</v>
      </c>
      <c r="W363" s="5" t="n">
        <f aca="false">SUM(C363:V363)</f>
        <v>9</v>
      </c>
    </row>
    <row r="364" customFormat="false" ht="17.9" hidden="false" customHeight="false" outlineLevel="0" collapsed="false">
      <c r="A364" s="5" t="s">
        <v>398</v>
      </c>
      <c r="B364" s="5" t="s">
        <v>336</v>
      </c>
      <c r="C364" s="5" t="n">
        <v>0</v>
      </c>
      <c r="D364" s="5" t="n">
        <v>0</v>
      </c>
      <c r="E364" s="5" t="n">
        <v>0</v>
      </c>
      <c r="F364" s="5" t="n">
        <v>0</v>
      </c>
      <c r="G364" s="5" t="n">
        <v>1</v>
      </c>
      <c r="H364" s="5" t="n">
        <v>0</v>
      </c>
      <c r="I364" s="5" t="n">
        <v>0</v>
      </c>
      <c r="J364" s="5" t="n">
        <v>0</v>
      </c>
      <c r="K364" s="5" t="n">
        <v>1</v>
      </c>
      <c r="L364" s="5" t="n">
        <v>0</v>
      </c>
      <c r="M364" s="5" t="n">
        <v>1</v>
      </c>
      <c r="N364" s="5" t="n">
        <v>1</v>
      </c>
      <c r="O364" s="5" t="n">
        <v>1</v>
      </c>
      <c r="P364" s="5" t="n">
        <v>0</v>
      </c>
      <c r="Q364" s="5" t="n">
        <v>1</v>
      </c>
      <c r="R364" s="5" t="n">
        <v>1</v>
      </c>
      <c r="S364" s="5" t="n">
        <v>1</v>
      </c>
      <c r="T364" s="5" t="n">
        <v>1</v>
      </c>
      <c r="U364" s="5" t="n">
        <v>0</v>
      </c>
      <c r="V364" s="5" t="n">
        <v>0</v>
      </c>
      <c r="W364" s="5" t="n">
        <f aca="false">SUM(C364:V364)</f>
        <v>9</v>
      </c>
    </row>
    <row r="365" customFormat="false" ht="17.9" hidden="false" customHeight="false" outlineLevel="0" collapsed="false">
      <c r="A365" s="5" t="s">
        <v>399</v>
      </c>
      <c r="B365" s="5" t="s">
        <v>336</v>
      </c>
      <c r="C365" s="5" t="n">
        <v>1</v>
      </c>
      <c r="D365" s="5" t="n">
        <v>1</v>
      </c>
      <c r="E365" s="5" t="n">
        <v>1</v>
      </c>
      <c r="F365" s="5" t="n">
        <v>0</v>
      </c>
      <c r="G365" s="5" t="n">
        <v>1</v>
      </c>
      <c r="H365" s="5" t="n">
        <v>1</v>
      </c>
      <c r="I365" s="5" t="n">
        <v>1</v>
      </c>
      <c r="J365" s="5" t="n">
        <v>1</v>
      </c>
      <c r="K365" s="5" t="n">
        <v>1</v>
      </c>
      <c r="L365" s="5" t="n">
        <v>1</v>
      </c>
      <c r="M365" s="5" t="n">
        <v>1</v>
      </c>
      <c r="N365" s="5" t="n">
        <v>1</v>
      </c>
      <c r="O365" s="5" t="n">
        <v>1</v>
      </c>
      <c r="P365" s="5" t="n">
        <v>0</v>
      </c>
      <c r="Q365" s="5" t="n">
        <v>1</v>
      </c>
      <c r="R365" s="5" t="n">
        <v>1</v>
      </c>
      <c r="S365" s="5" t="n">
        <v>1</v>
      </c>
      <c r="T365" s="5" t="n">
        <v>1</v>
      </c>
      <c r="U365" s="5" t="n">
        <v>1</v>
      </c>
      <c r="V365" s="5" t="n">
        <v>0</v>
      </c>
      <c r="W365" s="5" t="n">
        <f aca="false">SUM(C365:V365)</f>
        <v>17</v>
      </c>
    </row>
    <row r="366" customFormat="false" ht="17.9" hidden="false" customHeight="false" outlineLevel="0" collapsed="false">
      <c r="A366" s="5" t="s">
        <v>400</v>
      </c>
      <c r="B366" s="5" t="s">
        <v>336</v>
      </c>
      <c r="C366" s="5" t="n">
        <v>1</v>
      </c>
      <c r="D366" s="5" t="n">
        <v>1</v>
      </c>
      <c r="E366" s="5" t="n">
        <v>1</v>
      </c>
      <c r="F366" s="5" t="n">
        <v>1</v>
      </c>
      <c r="G366" s="5" t="n">
        <v>1</v>
      </c>
      <c r="H366" s="5" t="n">
        <v>1</v>
      </c>
      <c r="I366" s="5" t="n">
        <v>1</v>
      </c>
      <c r="J366" s="5" t="n">
        <v>1</v>
      </c>
      <c r="K366" s="5" t="n">
        <v>1</v>
      </c>
      <c r="L366" s="5" t="n">
        <v>1</v>
      </c>
      <c r="M366" s="5" t="n">
        <v>1</v>
      </c>
      <c r="N366" s="5" t="n">
        <v>1</v>
      </c>
      <c r="O366" s="5" t="n">
        <v>1</v>
      </c>
      <c r="P366" s="5" t="n">
        <v>0</v>
      </c>
      <c r="Q366" s="5" t="n">
        <v>1</v>
      </c>
      <c r="R366" s="5" t="n">
        <v>1</v>
      </c>
      <c r="S366" s="5" t="n">
        <v>1</v>
      </c>
      <c r="T366" s="5" t="n">
        <v>1</v>
      </c>
      <c r="U366" s="5" t="n">
        <v>1</v>
      </c>
      <c r="V366" s="5" t="n">
        <v>1</v>
      </c>
      <c r="W366" s="5" t="n">
        <f aca="false">SUM(C366:V366)</f>
        <v>19</v>
      </c>
    </row>
    <row r="367" customFormat="false" ht="17.9" hidden="false" customHeight="false" outlineLevel="0" collapsed="false">
      <c r="A367" s="5" t="s">
        <v>401</v>
      </c>
      <c r="B367" s="5" t="s">
        <v>336</v>
      </c>
      <c r="C367" s="5" t="n">
        <v>0</v>
      </c>
      <c r="D367" s="5" t="n">
        <v>0</v>
      </c>
      <c r="E367" s="5" t="n">
        <v>1</v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>0</v>
      </c>
      <c r="K367" s="5" t="n">
        <v>1</v>
      </c>
      <c r="L367" s="5" t="n">
        <v>0</v>
      </c>
      <c r="M367" s="5" t="n">
        <v>0</v>
      </c>
      <c r="N367" s="5" t="n">
        <v>1</v>
      </c>
      <c r="O367" s="5" t="n">
        <v>0</v>
      </c>
      <c r="P367" s="5" t="n">
        <v>0</v>
      </c>
      <c r="Q367" s="5" t="n">
        <v>1</v>
      </c>
      <c r="R367" s="5" t="n">
        <v>0</v>
      </c>
      <c r="S367" s="5" t="n">
        <v>1</v>
      </c>
      <c r="T367" s="5" t="n">
        <v>0</v>
      </c>
      <c r="U367" s="5" t="n">
        <v>1</v>
      </c>
      <c r="V367" s="5" t="n">
        <v>0</v>
      </c>
      <c r="W367" s="5" t="n">
        <f aca="false">SUM(C367:V367)</f>
        <v>6</v>
      </c>
    </row>
    <row r="368" customFormat="false" ht="17.9" hidden="false" customHeight="false" outlineLevel="0" collapsed="false">
      <c r="A368" s="5" t="s">
        <v>402</v>
      </c>
      <c r="B368" s="5" t="s">
        <v>336</v>
      </c>
      <c r="C368" s="5" t="n">
        <v>0</v>
      </c>
      <c r="D368" s="5" t="n">
        <v>0</v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0</v>
      </c>
      <c r="K368" s="5" t="n">
        <v>0</v>
      </c>
      <c r="L368" s="5" t="n">
        <v>0</v>
      </c>
      <c r="M368" s="5" t="n">
        <v>0</v>
      </c>
      <c r="N368" s="5" t="n">
        <v>0</v>
      </c>
      <c r="O368" s="5" t="n">
        <v>0</v>
      </c>
      <c r="P368" s="5" t="n">
        <v>0</v>
      </c>
      <c r="Q368" s="5" t="n">
        <v>1</v>
      </c>
      <c r="R368" s="5" t="n">
        <v>0</v>
      </c>
      <c r="S368" s="5" t="n">
        <v>0</v>
      </c>
      <c r="T368" s="5" t="n">
        <v>0</v>
      </c>
      <c r="U368" s="5" t="n">
        <v>0</v>
      </c>
      <c r="V368" s="5" t="n">
        <v>0</v>
      </c>
      <c r="W368" s="5" t="n">
        <f aca="false">SUM(C368:V368)</f>
        <v>1</v>
      </c>
    </row>
    <row r="369" customFormat="false" ht="17.9" hidden="false" customHeight="false" outlineLevel="0" collapsed="false">
      <c r="A369" s="5" t="s">
        <v>403</v>
      </c>
      <c r="B369" s="5" t="s">
        <v>336</v>
      </c>
      <c r="C369" s="5" t="n">
        <v>1</v>
      </c>
      <c r="D369" s="5" t="n">
        <v>1</v>
      </c>
      <c r="E369" s="5" t="n">
        <v>1</v>
      </c>
      <c r="F369" s="5" t="n">
        <v>0</v>
      </c>
      <c r="G369" s="5" t="n">
        <v>1</v>
      </c>
      <c r="H369" s="5" t="n">
        <v>1</v>
      </c>
      <c r="I369" s="5" t="n">
        <v>1</v>
      </c>
      <c r="J369" s="5" t="n">
        <v>1</v>
      </c>
      <c r="K369" s="5" t="n">
        <v>1</v>
      </c>
      <c r="L369" s="5" t="n">
        <v>1</v>
      </c>
      <c r="M369" s="5" t="n">
        <v>1</v>
      </c>
      <c r="N369" s="5" t="n">
        <v>1</v>
      </c>
      <c r="O369" s="5" t="n">
        <v>1</v>
      </c>
      <c r="P369" s="5" t="n">
        <v>0</v>
      </c>
      <c r="Q369" s="5" t="n">
        <v>1</v>
      </c>
      <c r="R369" s="5" t="n">
        <v>1</v>
      </c>
      <c r="S369" s="5" t="n">
        <v>1</v>
      </c>
      <c r="T369" s="5" t="n">
        <v>1</v>
      </c>
      <c r="U369" s="5" t="n">
        <v>1</v>
      </c>
      <c r="V369" s="5" t="n">
        <v>1</v>
      </c>
      <c r="W369" s="5" t="n">
        <f aca="false">SUM(C369:V369)</f>
        <v>18</v>
      </c>
    </row>
    <row r="370" customFormat="false" ht="17.9" hidden="false" customHeight="false" outlineLevel="0" collapsed="false">
      <c r="A370" s="5" t="s">
        <v>404</v>
      </c>
      <c r="B370" s="5" t="s">
        <v>336</v>
      </c>
      <c r="C370" s="5" t="n">
        <v>1</v>
      </c>
      <c r="D370" s="5" t="n">
        <v>1</v>
      </c>
      <c r="E370" s="5" t="n">
        <v>1</v>
      </c>
      <c r="F370" s="5" t="n">
        <v>0</v>
      </c>
      <c r="G370" s="5" t="n">
        <v>1</v>
      </c>
      <c r="H370" s="5" t="n">
        <v>0</v>
      </c>
      <c r="I370" s="5" t="n">
        <v>1</v>
      </c>
      <c r="J370" s="5" t="n">
        <v>0</v>
      </c>
      <c r="K370" s="5" t="n">
        <v>1</v>
      </c>
      <c r="L370" s="5" t="n">
        <v>1</v>
      </c>
      <c r="M370" s="5" t="n">
        <v>1</v>
      </c>
      <c r="N370" s="5" t="n">
        <v>1</v>
      </c>
      <c r="O370" s="5" t="n">
        <v>1</v>
      </c>
      <c r="P370" s="5" t="n">
        <v>0</v>
      </c>
      <c r="Q370" s="5" t="n">
        <v>1</v>
      </c>
      <c r="R370" s="5" t="n">
        <v>1</v>
      </c>
      <c r="S370" s="5" t="n">
        <v>1</v>
      </c>
      <c r="T370" s="5" t="n">
        <v>1</v>
      </c>
      <c r="U370" s="5" t="n">
        <v>1</v>
      </c>
      <c r="V370" s="5" t="n">
        <v>1</v>
      </c>
      <c r="W370" s="5" t="n">
        <f aca="false">SUM(C370:V370)</f>
        <v>16</v>
      </c>
    </row>
    <row r="371" customFormat="false" ht="17.9" hidden="false" customHeight="false" outlineLevel="0" collapsed="false">
      <c r="A371" s="5" t="s">
        <v>405</v>
      </c>
      <c r="B371" s="5" t="s">
        <v>336</v>
      </c>
      <c r="C371" s="5" t="n">
        <v>1</v>
      </c>
      <c r="D371" s="5" t="n">
        <v>1</v>
      </c>
      <c r="E371" s="5" t="n">
        <v>1</v>
      </c>
      <c r="F371" s="5" t="n">
        <v>1</v>
      </c>
      <c r="G371" s="5" t="n">
        <v>1</v>
      </c>
      <c r="H371" s="5" t="n">
        <v>1</v>
      </c>
      <c r="I371" s="5" t="n">
        <v>1</v>
      </c>
      <c r="J371" s="5" t="n">
        <v>1</v>
      </c>
      <c r="K371" s="5" t="n">
        <v>1</v>
      </c>
      <c r="L371" s="5" t="n">
        <v>1</v>
      </c>
      <c r="M371" s="5" t="n">
        <v>1</v>
      </c>
      <c r="N371" s="5" t="n">
        <v>1</v>
      </c>
      <c r="O371" s="5" t="n">
        <v>1</v>
      </c>
      <c r="P371" s="5" t="n">
        <v>1</v>
      </c>
      <c r="Q371" s="5" t="n">
        <v>1</v>
      </c>
      <c r="R371" s="5" t="n">
        <v>1</v>
      </c>
      <c r="S371" s="5" t="n">
        <v>1</v>
      </c>
      <c r="T371" s="5" t="n">
        <v>1</v>
      </c>
      <c r="U371" s="5" t="n">
        <v>1</v>
      </c>
      <c r="V371" s="5" t="n">
        <v>1</v>
      </c>
      <c r="W371" s="5" t="n">
        <f aca="false">SUM(C371:V371)</f>
        <v>20</v>
      </c>
    </row>
    <row r="372" customFormat="false" ht="17.9" hidden="false" customHeight="false" outlineLevel="0" collapsed="false">
      <c r="A372" s="5" t="s">
        <v>406</v>
      </c>
      <c r="B372" s="5" t="s">
        <v>336</v>
      </c>
      <c r="C372" s="5" t="n">
        <v>1</v>
      </c>
      <c r="D372" s="5" t="n">
        <v>1</v>
      </c>
      <c r="E372" s="5" t="n">
        <v>1</v>
      </c>
      <c r="F372" s="5" t="n">
        <v>1</v>
      </c>
      <c r="G372" s="5" t="n">
        <v>1</v>
      </c>
      <c r="H372" s="5" t="n">
        <v>1</v>
      </c>
      <c r="I372" s="5" t="n">
        <v>1</v>
      </c>
      <c r="J372" s="5" t="n">
        <v>1</v>
      </c>
      <c r="K372" s="5" t="n">
        <v>1</v>
      </c>
      <c r="L372" s="5" t="n">
        <v>1</v>
      </c>
      <c r="M372" s="5" t="n">
        <v>1</v>
      </c>
      <c r="N372" s="5" t="n">
        <v>1</v>
      </c>
      <c r="O372" s="5" t="n">
        <v>1</v>
      </c>
      <c r="P372" s="5" t="n">
        <v>1</v>
      </c>
      <c r="Q372" s="5" t="n">
        <v>1</v>
      </c>
      <c r="R372" s="5" t="n">
        <v>1</v>
      </c>
      <c r="S372" s="5" t="n">
        <v>1</v>
      </c>
      <c r="T372" s="5" t="n">
        <v>1</v>
      </c>
      <c r="U372" s="5" t="n">
        <v>1</v>
      </c>
      <c r="V372" s="5" t="n">
        <v>1</v>
      </c>
      <c r="W372" s="5" t="n">
        <f aca="false">SUM(C372:V372)</f>
        <v>20</v>
      </c>
    </row>
    <row r="373" customFormat="false" ht="17.9" hidden="false" customHeight="false" outlineLevel="0" collapsed="false">
      <c r="A373" s="5" t="s">
        <v>407</v>
      </c>
      <c r="B373" s="5" t="s">
        <v>336</v>
      </c>
      <c r="C373" s="5" t="n">
        <v>1</v>
      </c>
      <c r="D373" s="5" t="n">
        <v>1</v>
      </c>
      <c r="E373" s="5" t="n">
        <v>1</v>
      </c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1</v>
      </c>
      <c r="L373" s="5" t="n">
        <v>0</v>
      </c>
      <c r="M373" s="5" t="n">
        <v>0</v>
      </c>
      <c r="N373" s="5" t="n">
        <v>1</v>
      </c>
      <c r="O373" s="5" t="n">
        <v>0</v>
      </c>
      <c r="P373" s="5" t="n">
        <v>0</v>
      </c>
      <c r="Q373" s="5" t="n">
        <v>1</v>
      </c>
      <c r="R373" s="5" t="n">
        <v>1</v>
      </c>
      <c r="S373" s="5" t="n">
        <v>1</v>
      </c>
      <c r="T373" s="5" t="n">
        <v>0</v>
      </c>
      <c r="U373" s="5" t="n">
        <v>0</v>
      </c>
      <c r="V373" s="5" t="n">
        <v>0</v>
      </c>
      <c r="W373" s="5" t="n">
        <f aca="false">SUM(C373:V373)</f>
        <v>8</v>
      </c>
    </row>
    <row r="374" customFormat="false" ht="17.9" hidden="false" customHeight="false" outlineLevel="0" collapsed="false">
      <c r="A374" s="5" t="s">
        <v>408</v>
      </c>
      <c r="B374" s="5" t="s">
        <v>336</v>
      </c>
      <c r="C374" s="5" t="n">
        <v>1</v>
      </c>
      <c r="D374" s="5" t="n">
        <v>1</v>
      </c>
      <c r="E374" s="5" t="n">
        <v>1</v>
      </c>
      <c r="F374" s="5" t="n">
        <v>0</v>
      </c>
      <c r="G374" s="5" t="n">
        <v>0</v>
      </c>
      <c r="H374" s="5" t="n">
        <v>1</v>
      </c>
      <c r="I374" s="5" t="n">
        <v>0</v>
      </c>
      <c r="J374" s="5" t="n">
        <v>0</v>
      </c>
      <c r="K374" s="5" t="n">
        <v>1</v>
      </c>
      <c r="L374" s="5" t="n">
        <v>1</v>
      </c>
      <c r="M374" s="5" t="n">
        <v>0</v>
      </c>
      <c r="N374" s="5" t="n">
        <v>1</v>
      </c>
      <c r="O374" s="5" t="n">
        <v>1</v>
      </c>
      <c r="P374" s="5" t="n">
        <v>0</v>
      </c>
      <c r="Q374" s="5" t="n">
        <v>1</v>
      </c>
      <c r="R374" s="5" t="n">
        <v>1</v>
      </c>
      <c r="S374" s="5" t="n">
        <v>1</v>
      </c>
      <c r="T374" s="5" t="n">
        <v>1</v>
      </c>
      <c r="U374" s="5" t="n">
        <v>0</v>
      </c>
      <c r="V374" s="5" t="n">
        <v>1</v>
      </c>
      <c r="W374" s="5" t="n">
        <f aca="false">SUM(C374:V374)</f>
        <v>13</v>
      </c>
    </row>
    <row r="375" customFormat="false" ht="17.9" hidden="false" customHeight="false" outlineLevel="0" collapsed="false">
      <c r="A375" s="5" t="s">
        <v>409</v>
      </c>
      <c r="B375" s="5" t="s">
        <v>336</v>
      </c>
      <c r="C375" s="5" t="n">
        <v>1</v>
      </c>
      <c r="D375" s="5" t="n">
        <v>1</v>
      </c>
      <c r="E375" s="5" t="n">
        <v>1</v>
      </c>
      <c r="F375" s="5" t="n">
        <v>1</v>
      </c>
      <c r="G375" s="5" t="n">
        <v>1</v>
      </c>
      <c r="H375" s="5" t="n">
        <v>1</v>
      </c>
      <c r="I375" s="5" t="n">
        <v>1</v>
      </c>
      <c r="J375" s="5" t="n">
        <v>1</v>
      </c>
      <c r="K375" s="5" t="n">
        <v>1</v>
      </c>
      <c r="L375" s="5" t="n">
        <v>1</v>
      </c>
      <c r="M375" s="5" t="n">
        <v>1</v>
      </c>
      <c r="N375" s="5" t="n">
        <v>1</v>
      </c>
      <c r="O375" s="5" t="n">
        <v>1</v>
      </c>
      <c r="P375" s="5" t="n">
        <v>0</v>
      </c>
      <c r="Q375" s="5" t="n">
        <v>1</v>
      </c>
      <c r="R375" s="5" t="n">
        <v>1</v>
      </c>
      <c r="S375" s="5" t="n">
        <v>1</v>
      </c>
      <c r="T375" s="5" t="n">
        <v>1</v>
      </c>
      <c r="U375" s="5" t="n">
        <v>1</v>
      </c>
      <c r="V375" s="5" t="n">
        <v>1</v>
      </c>
      <c r="W375" s="5" t="n">
        <f aca="false">SUM(C375:V375)</f>
        <v>19</v>
      </c>
    </row>
    <row r="376" customFormat="false" ht="17.9" hidden="false" customHeight="false" outlineLevel="0" collapsed="false">
      <c r="A376" s="5" t="s">
        <v>410</v>
      </c>
      <c r="B376" s="5" t="s">
        <v>336</v>
      </c>
      <c r="C376" s="5" t="n">
        <v>0</v>
      </c>
      <c r="D376" s="5" t="n">
        <v>1</v>
      </c>
      <c r="E376" s="5" t="n">
        <v>0</v>
      </c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0</v>
      </c>
      <c r="K376" s="5" t="n">
        <v>1</v>
      </c>
      <c r="L376" s="5" t="n">
        <v>0</v>
      </c>
      <c r="M376" s="5" t="n">
        <v>0</v>
      </c>
      <c r="N376" s="5" t="n">
        <v>1</v>
      </c>
      <c r="O376" s="5" t="n">
        <v>0</v>
      </c>
      <c r="P376" s="5" t="n">
        <v>0</v>
      </c>
      <c r="Q376" s="5" t="n">
        <v>1</v>
      </c>
      <c r="R376" s="5" t="n">
        <v>0</v>
      </c>
      <c r="S376" s="5" t="n">
        <v>1</v>
      </c>
      <c r="T376" s="5" t="n">
        <v>0</v>
      </c>
      <c r="U376" s="5" t="n">
        <v>0</v>
      </c>
      <c r="V376" s="5" t="n">
        <v>0</v>
      </c>
      <c r="W376" s="5" t="n">
        <f aca="false">SUM(C376:V376)</f>
        <v>5</v>
      </c>
    </row>
    <row r="377" customFormat="false" ht="17.9" hidden="false" customHeight="false" outlineLevel="0" collapsed="false">
      <c r="A377" s="5" t="s">
        <v>411</v>
      </c>
      <c r="B377" s="5" t="s">
        <v>336</v>
      </c>
      <c r="C377" s="5" t="n">
        <v>1</v>
      </c>
      <c r="D377" s="5" t="n">
        <v>1</v>
      </c>
      <c r="E377" s="5" t="n">
        <v>1</v>
      </c>
      <c r="F377" s="5" t="n">
        <v>1</v>
      </c>
      <c r="G377" s="5" t="n">
        <v>1</v>
      </c>
      <c r="H377" s="5" t="n">
        <v>1</v>
      </c>
      <c r="I377" s="5" t="n">
        <v>1</v>
      </c>
      <c r="J377" s="5" t="n">
        <v>1</v>
      </c>
      <c r="K377" s="5" t="n">
        <v>1</v>
      </c>
      <c r="L377" s="5" t="n">
        <v>1</v>
      </c>
      <c r="M377" s="5" t="n">
        <v>1</v>
      </c>
      <c r="N377" s="5" t="n">
        <v>1</v>
      </c>
      <c r="O377" s="5" t="n">
        <v>1</v>
      </c>
      <c r="P377" s="5" t="n">
        <v>1</v>
      </c>
      <c r="Q377" s="5" t="n">
        <v>1</v>
      </c>
      <c r="R377" s="5" t="n">
        <v>1</v>
      </c>
      <c r="S377" s="5" t="n">
        <v>1</v>
      </c>
      <c r="T377" s="5" t="n">
        <v>1</v>
      </c>
      <c r="U377" s="5" t="n">
        <v>1</v>
      </c>
      <c r="V377" s="5" t="n">
        <v>1</v>
      </c>
      <c r="W377" s="5" t="n">
        <f aca="false">SUM(C377:V377)</f>
        <v>20</v>
      </c>
    </row>
    <row r="378" customFormat="false" ht="17.9" hidden="false" customHeight="false" outlineLevel="0" collapsed="false">
      <c r="A378" s="5" t="s">
        <v>412</v>
      </c>
      <c r="B378" s="5" t="s">
        <v>336</v>
      </c>
      <c r="C378" s="5" t="n">
        <v>1</v>
      </c>
      <c r="D378" s="5" t="n">
        <v>1</v>
      </c>
      <c r="E378" s="5" t="n">
        <v>1</v>
      </c>
      <c r="F378" s="5" t="n">
        <v>1</v>
      </c>
      <c r="G378" s="5" t="n">
        <v>1</v>
      </c>
      <c r="H378" s="5" t="n">
        <v>1</v>
      </c>
      <c r="I378" s="5" t="n">
        <v>1</v>
      </c>
      <c r="J378" s="5" t="n">
        <v>1</v>
      </c>
      <c r="K378" s="5" t="n">
        <v>1</v>
      </c>
      <c r="L378" s="5" t="n">
        <v>1</v>
      </c>
      <c r="M378" s="5" t="n">
        <v>1</v>
      </c>
      <c r="N378" s="5" t="n">
        <v>1</v>
      </c>
      <c r="O378" s="5" t="n">
        <v>1</v>
      </c>
      <c r="P378" s="5" t="n">
        <v>1</v>
      </c>
      <c r="Q378" s="5" t="n">
        <v>1</v>
      </c>
      <c r="R378" s="5" t="n">
        <v>1</v>
      </c>
      <c r="S378" s="5" t="n">
        <v>1</v>
      </c>
      <c r="T378" s="5" t="n">
        <v>1</v>
      </c>
      <c r="U378" s="5" t="n">
        <v>1</v>
      </c>
      <c r="V378" s="5" t="n">
        <v>1</v>
      </c>
      <c r="W378" s="5" t="n">
        <f aca="false">SUM(C378:V378)</f>
        <v>20</v>
      </c>
    </row>
    <row r="379" customFormat="false" ht="17.9" hidden="false" customHeight="false" outlineLevel="0" collapsed="false">
      <c r="A379" s="5" t="s">
        <v>413</v>
      </c>
      <c r="B379" s="5" t="s">
        <v>336</v>
      </c>
      <c r="C379" s="5" t="n">
        <v>1</v>
      </c>
      <c r="D379" s="5" t="n">
        <v>1</v>
      </c>
      <c r="E379" s="5" t="n">
        <v>1</v>
      </c>
      <c r="F379" s="5" t="n">
        <v>0</v>
      </c>
      <c r="G379" s="5" t="n">
        <v>1</v>
      </c>
      <c r="H379" s="5" t="n">
        <v>1</v>
      </c>
      <c r="I379" s="5" t="n">
        <v>0</v>
      </c>
      <c r="J379" s="5" t="n">
        <v>0</v>
      </c>
      <c r="K379" s="5" t="n">
        <v>0</v>
      </c>
      <c r="L379" s="5" t="n">
        <v>0</v>
      </c>
      <c r="M379" s="5" t="n">
        <v>1</v>
      </c>
      <c r="N379" s="5" t="n">
        <v>1</v>
      </c>
      <c r="O379" s="5" t="n">
        <v>0</v>
      </c>
      <c r="P379" s="5" t="n">
        <v>0</v>
      </c>
      <c r="Q379" s="5" t="n">
        <v>1</v>
      </c>
      <c r="R379" s="5" t="n">
        <v>0</v>
      </c>
      <c r="S379" s="5" t="n">
        <v>1</v>
      </c>
      <c r="T379" s="5" t="n">
        <v>0</v>
      </c>
      <c r="U379" s="5" t="n">
        <v>0</v>
      </c>
      <c r="V379" s="5" t="n">
        <v>0</v>
      </c>
      <c r="W379" s="5" t="n">
        <f aca="false">SUM(C379:V379)</f>
        <v>9</v>
      </c>
    </row>
    <row r="380" customFormat="false" ht="17.9" hidden="false" customHeight="false" outlineLevel="0" collapsed="false">
      <c r="A380" s="5" t="s">
        <v>414</v>
      </c>
      <c r="B380" s="5" t="s">
        <v>336</v>
      </c>
      <c r="C380" s="5" t="n">
        <v>1</v>
      </c>
      <c r="D380" s="5" t="n">
        <v>0</v>
      </c>
      <c r="E380" s="5" t="n">
        <v>0</v>
      </c>
      <c r="F380" s="5" t="n">
        <v>0</v>
      </c>
      <c r="G380" s="5" t="n">
        <v>0</v>
      </c>
      <c r="H380" s="5" t="n">
        <v>1</v>
      </c>
      <c r="I380" s="5" t="n">
        <v>0</v>
      </c>
      <c r="J380" s="5" t="n">
        <v>1</v>
      </c>
      <c r="K380" s="5" t="n">
        <v>1</v>
      </c>
      <c r="L380" s="5" t="n">
        <v>0</v>
      </c>
      <c r="M380" s="5" t="n">
        <v>1</v>
      </c>
      <c r="N380" s="5" t="n">
        <v>1</v>
      </c>
      <c r="O380" s="5" t="n">
        <v>1</v>
      </c>
      <c r="P380" s="5" t="n">
        <v>0</v>
      </c>
      <c r="Q380" s="5" t="n">
        <v>1</v>
      </c>
      <c r="R380" s="5" t="n">
        <v>1</v>
      </c>
      <c r="S380" s="5" t="n">
        <v>1</v>
      </c>
      <c r="T380" s="5" t="n">
        <v>1</v>
      </c>
      <c r="U380" s="5" t="n">
        <v>1</v>
      </c>
      <c r="V380" s="5" t="n">
        <v>0</v>
      </c>
      <c r="W380" s="5" t="n">
        <f aca="false">SUM(C380:V380)</f>
        <v>12</v>
      </c>
    </row>
    <row r="381" customFormat="false" ht="17.9" hidden="false" customHeight="false" outlineLevel="0" collapsed="false">
      <c r="A381" s="5" t="s">
        <v>415</v>
      </c>
      <c r="B381" s="5" t="s">
        <v>336</v>
      </c>
      <c r="C381" s="5" t="n">
        <v>1</v>
      </c>
      <c r="D381" s="5" t="n">
        <v>0</v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1</v>
      </c>
      <c r="L381" s="5" t="n">
        <v>0</v>
      </c>
      <c r="M381" s="5" t="n">
        <v>0</v>
      </c>
      <c r="N381" s="5" t="n">
        <v>1</v>
      </c>
      <c r="O381" s="5" t="n">
        <v>0</v>
      </c>
      <c r="P381" s="5" t="n">
        <v>0</v>
      </c>
      <c r="Q381" s="5" t="n">
        <v>1</v>
      </c>
      <c r="R381" s="5" t="n">
        <v>0</v>
      </c>
      <c r="S381" s="5" t="n">
        <v>1</v>
      </c>
      <c r="T381" s="5" t="n">
        <v>1</v>
      </c>
      <c r="U381" s="5" t="n">
        <v>0</v>
      </c>
      <c r="V381" s="5" t="n">
        <v>0</v>
      </c>
      <c r="W381" s="5" t="n">
        <f aca="false">SUM(C381:V381)</f>
        <v>6</v>
      </c>
    </row>
    <row r="382" customFormat="false" ht="17.9" hidden="false" customHeight="false" outlineLevel="0" collapsed="false">
      <c r="A382" s="5" t="s">
        <v>416</v>
      </c>
      <c r="B382" s="5" t="s">
        <v>336</v>
      </c>
      <c r="C382" s="5" t="n">
        <v>0</v>
      </c>
      <c r="D382" s="5" t="n">
        <v>1</v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0</v>
      </c>
      <c r="K382" s="5" t="n">
        <v>1</v>
      </c>
      <c r="L382" s="5" t="n">
        <v>0</v>
      </c>
      <c r="M382" s="5" t="n">
        <v>1</v>
      </c>
      <c r="N382" s="5" t="n">
        <v>1</v>
      </c>
      <c r="O382" s="5" t="n">
        <v>0</v>
      </c>
      <c r="P382" s="5" t="n">
        <v>0</v>
      </c>
      <c r="Q382" s="5" t="n">
        <v>1</v>
      </c>
      <c r="R382" s="5" t="n">
        <v>1</v>
      </c>
      <c r="S382" s="5" t="n">
        <v>1</v>
      </c>
      <c r="T382" s="5" t="n">
        <v>0</v>
      </c>
      <c r="U382" s="5" t="n">
        <v>1</v>
      </c>
      <c r="V382" s="5" t="n">
        <v>0</v>
      </c>
      <c r="W382" s="5" t="n">
        <f aca="false">SUM(C382:V382)</f>
        <v>8</v>
      </c>
    </row>
    <row r="383" customFormat="false" ht="17.9" hidden="false" customHeight="false" outlineLevel="0" collapsed="false">
      <c r="A383" s="5" t="s">
        <v>417</v>
      </c>
      <c r="B383" s="5" t="s">
        <v>336</v>
      </c>
      <c r="C383" s="5" t="n">
        <v>0</v>
      </c>
      <c r="D383" s="5" t="n">
        <v>1</v>
      </c>
      <c r="E383" s="5" t="n">
        <v>1</v>
      </c>
      <c r="F383" s="5" t="n">
        <v>0</v>
      </c>
      <c r="G383" s="5" t="n">
        <v>1</v>
      </c>
      <c r="H383" s="5" t="n">
        <v>0</v>
      </c>
      <c r="I383" s="5" t="n">
        <v>1</v>
      </c>
      <c r="J383" s="5" t="n">
        <v>1</v>
      </c>
      <c r="K383" s="5" t="n">
        <v>1</v>
      </c>
      <c r="L383" s="5" t="n">
        <v>0</v>
      </c>
      <c r="M383" s="5" t="n">
        <v>1</v>
      </c>
      <c r="N383" s="5" t="n">
        <v>1</v>
      </c>
      <c r="O383" s="5" t="n">
        <v>1</v>
      </c>
      <c r="P383" s="5" t="n">
        <v>0</v>
      </c>
      <c r="Q383" s="5" t="n">
        <v>1</v>
      </c>
      <c r="R383" s="5" t="n">
        <v>1</v>
      </c>
      <c r="S383" s="5" t="n">
        <v>1</v>
      </c>
      <c r="T383" s="5" t="n">
        <v>0</v>
      </c>
      <c r="U383" s="5" t="n">
        <v>1</v>
      </c>
      <c r="V383" s="5" t="n">
        <v>0</v>
      </c>
      <c r="W383" s="5" t="n">
        <f aca="false">SUM(C383:V383)</f>
        <v>13</v>
      </c>
    </row>
    <row r="384" customFormat="false" ht="17.9" hidden="false" customHeight="false" outlineLevel="0" collapsed="false">
      <c r="A384" s="5" t="s">
        <v>418</v>
      </c>
      <c r="B384" s="5" t="s">
        <v>336</v>
      </c>
      <c r="C384" s="5" t="n">
        <v>1</v>
      </c>
      <c r="D384" s="5" t="n">
        <v>1</v>
      </c>
      <c r="E384" s="5" t="n">
        <v>1</v>
      </c>
      <c r="F384" s="5" t="n">
        <v>1</v>
      </c>
      <c r="G384" s="5" t="n">
        <v>1</v>
      </c>
      <c r="H384" s="5" t="n">
        <v>1</v>
      </c>
      <c r="I384" s="5" t="n">
        <v>1</v>
      </c>
      <c r="J384" s="5" t="n">
        <v>0</v>
      </c>
      <c r="K384" s="5" t="n">
        <v>1</v>
      </c>
      <c r="L384" s="5" t="n">
        <v>1</v>
      </c>
      <c r="M384" s="5" t="n">
        <v>1</v>
      </c>
      <c r="N384" s="5" t="n">
        <v>1</v>
      </c>
      <c r="O384" s="5" t="n">
        <v>1</v>
      </c>
      <c r="P384" s="5" t="n">
        <v>1</v>
      </c>
      <c r="Q384" s="5" t="n">
        <v>1</v>
      </c>
      <c r="R384" s="5" t="n">
        <v>1</v>
      </c>
      <c r="S384" s="5" t="n">
        <v>1</v>
      </c>
      <c r="T384" s="5" t="n">
        <v>0</v>
      </c>
      <c r="U384" s="5" t="n">
        <v>1</v>
      </c>
      <c r="V384" s="5" t="n">
        <v>0</v>
      </c>
      <c r="W384" s="5" t="n">
        <f aca="false">SUM(C384:V384)</f>
        <v>17</v>
      </c>
    </row>
    <row r="385" customFormat="false" ht="17.9" hidden="false" customHeight="false" outlineLevel="0" collapsed="false">
      <c r="A385" s="5" t="s">
        <v>419</v>
      </c>
      <c r="B385" s="5" t="s">
        <v>336</v>
      </c>
      <c r="C385" s="5" t="n">
        <v>0</v>
      </c>
      <c r="D385" s="5" t="n">
        <v>0</v>
      </c>
      <c r="E385" s="5" t="n">
        <v>0</v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0</v>
      </c>
      <c r="L385" s="5" t="n">
        <v>0</v>
      </c>
      <c r="M385" s="5" t="n">
        <v>0</v>
      </c>
      <c r="N385" s="5" t="n">
        <v>0</v>
      </c>
      <c r="O385" s="5" t="n">
        <v>0</v>
      </c>
      <c r="P385" s="5" t="n">
        <v>0</v>
      </c>
      <c r="Q385" s="5" t="n">
        <v>0</v>
      </c>
      <c r="R385" s="5" t="n">
        <v>0</v>
      </c>
      <c r="S385" s="5" t="n">
        <v>1</v>
      </c>
      <c r="T385" s="5" t="n">
        <v>0</v>
      </c>
      <c r="U385" s="5" t="n">
        <v>0</v>
      </c>
      <c r="V385" s="5" t="n">
        <v>0</v>
      </c>
      <c r="W385" s="5" t="n">
        <f aca="false">SUM(C385:V385)</f>
        <v>1</v>
      </c>
    </row>
    <row r="386" customFormat="false" ht="17.9" hidden="false" customHeight="false" outlineLevel="0" collapsed="false">
      <c r="A386" s="5" t="s">
        <v>420</v>
      </c>
      <c r="B386" s="5" t="s">
        <v>336</v>
      </c>
      <c r="C386" s="5" t="n">
        <v>0</v>
      </c>
      <c r="D386" s="5" t="n">
        <v>1</v>
      </c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0</v>
      </c>
      <c r="L386" s="5" t="n">
        <v>0</v>
      </c>
      <c r="M386" s="5" t="n">
        <v>0</v>
      </c>
      <c r="N386" s="5" t="n">
        <v>1</v>
      </c>
      <c r="O386" s="5" t="n">
        <v>0</v>
      </c>
      <c r="P386" s="5" t="n">
        <v>0</v>
      </c>
      <c r="Q386" s="5" t="n">
        <v>1</v>
      </c>
      <c r="R386" s="5" t="n">
        <v>0</v>
      </c>
      <c r="S386" s="5" t="n">
        <v>0</v>
      </c>
      <c r="T386" s="5" t="n">
        <v>0</v>
      </c>
      <c r="U386" s="5" t="n">
        <v>0</v>
      </c>
      <c r="V386" s="5" t="n">
        <v>0</v>
      </c>
      <c r="W386" s="5" t="n">
        <f aca="false">SUM(C386:V386)</f>
        <v>3</v>
      </c>
    </row>
    <row r="387" customFormat="false" ht="17.9" hidden="false" customHeight="false" outlineLevel="0" collapsed="false">
      <c r="A387" s="5" t="s">
        <v>421</v>
      </c>
      <c r="B387" s="5" t="s">
        <v>336</v>
      </c>
      <c r="C387" s="5" t="n">
        <v>0</v>
      </c>
      <c r="D387" s="5" t="n">
        <v>0</v>
      </c>
      <c r="E387" s="5" t="n">
        <v>0</v>
      </c>
      <c r="F387" s="5" t="n">
        <v>0</v>
      </c>
      <c r="G387" s="5" t="n">
        <v>0</v>
      </c>
      <c r="H387" s="5" t="n">
        <v>1</v>
      </c>
      <c r="I387" s="5" t="n">
        <v>0</v>
      </c>
      <c r="J387" s="5" t="n">
        <v>0</v>
      </c>
      <c r="K387" s="5" t="n">
        <v>0</v>
      </c>
      <c r="L387" s="5" t="n">
        <v>0</v>
      </c>
      <c r="M387" s="5" t="n">
        <v>0</v>
      </c>
      <c r="N387" s="5" t="n">
        <v>1</v>
      </c>
      <c r="O387" s="5" t="n">
        <v>0</v>
      </c>
      <c r="P387" s="5" t="n">
        <v>0</v>
      </c>
      <c r="Q387" s="5" t="n">
        <v>1</v>
      </c>
      <c r="R387" s="5" t="n">
        <v>0</v>
      </c>
      <c r="S387" s="5" t="n">
        <v>0</v>
      </c>
      <c r="T387" s="5" t="n">
        <v>0</v>
      </c>
      <c r="U387" s="5" t="n">
        <v>0</v>
      </c>
      <c r="V387" s="5" t="n">
        <v>0</v>
      </c>
      <c r="W387" s="5" t="n">
        <f aca="false">SUM(C387:V387)</f>
        <v>3</v>
      </c>
    </row>
    <row r="388" customFormat="false" ht="17.9" hidden="false" customHeight="false" outlineLevel="0" collapsed="false">
      <c r="A388" s="5" t="s">
        <v>422</v>
      </c>
      <c r="B388" s="5" t="s">
        <v>336</v>
      </c>
      <c r="C388" s="5" t="n">
        <v>0</v>
      </c>
      <c r="D388" s="5" t="n">
        <v>0</v>
      </c>
      <c r="E388" s="5" t="n">
        <v>0</v>
      </c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0</v>
      </c>
      <c r="K388" s="5" t="n">
        <v>0</v>
      </c>
      <c r="L388" s="5" t="n">
        <v>0</v>
      </c>
      <c r="M388" s="5" t="n">
        <v>0</v>
      </c>
      <c r="N388" s="5" t="n">
        <v>1</v>
      </c>
      <c r="O388" s="5" t="n">
        <v>0</v>
      </c>
      <c r="P388" s="5" t="n">
        <v>0</v>
      </c>
      <c r="Q388" s="5" t="n">
        <v>0</v>
      </c>
      <c r="R388" s="5" t="n">
        <v>0</v>
      </c>
      <c r="S388" s="5" t="n">
        <v>0</v>
      </c>
      <c r="T388" s="5" t="n">
        <v>0</v>
      </c>
      <c r="U388" s="5" t="n">
        <v>0</v>
      </c>
      <c r="V388" s="5" t="n">
        <v>0</v>
      </c>
      <c r="W388" s="5" t="n">
        <f aca="false">SUM(C388:V388)</f>
        <v>1</v>
      </c>
    </row>
    <row r="389" customFormat="false" ht="17.9" hidden="false" customHeight="false" outlineLevel="0" collapsed="false">
      <c r="A389" s="5" t="s">
        <v>423</v>
      </c>
      <c r="B389" s="5" t="s">
        <v>336</v>
      </c>
      <c r="C389" s="5" t="n">
        <v>0</v>
      </c>
      <c r="D389" s="5" t="n">
        <v>0</v>
      </c>
      <c r="E389" s="5" t="n">
        <v>1</v>
      </c>
      <c r="F389" s="5" t="n">
        <v>0</v>
      </c>
      <c r="G389" s="5" t="n">
        <v>1</v>
      </c>
      <c r="H389" s="5" t="n">
        <v>1</v>
      </c>
      <c r="I389" s="5" t="n">
        <v>1</v>
      </c>
      <c r="J389" s="5" t="n">
        <v>1</v>
      </c>
      <c r="K389" s="5" t="n">
        <v>1</v>
      </c>
      <c r="L389" s="5" t="n">
        <v>0</v>
      </c>
      <c r="M389" s="5" t="n">
        <v>1</v>
      </c>
      <c r="N389" s="5" t="n">
        <v>1</v>
      </c>
      <c r="O389" s="5" t="n">
        <v>0</v>
      </c>
      <c r="P389" s="5" t="n">
        <v>1</v>
      </c>
      <c r="Q389" s="5" t="n">
        <v>1</v>
      </c>
      <c r="R389" s="5" t="n">
        <v>1</v>
      </c>
      <c r="S389" s="5" t="n">
        <v>1</v>
      </c>
      <c r="T389" s="5" t="n">
        <v>0</v>
      </c>
      <c r="U389" s="5" t="n">
        <v>0</v>
      </c>
      <c r="V389" s="5" t="n">
        <v>0</v>
      </c>
      <c r="W389" s="5" t="n">
        <f aca="false">SUM(C389:V389)</f>
        <v>12</v>
      </c>
    </row>
    <row r="390" customFormat="false" ht="17.9" hidden="false" customHeight="false" outlineLevel="0" collapsed="false">
      <c r="A390" s="5" t="s">
        <v>424</v>
      </c>
      <c r="B390" s="5" t="s">
        <v>336</v>
      </c>
      <c r="C390" s="5" t="n">
        <v>0</v>
      </c>
      <c r="D390" s="5" t="n">
        <v>0</v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1</v>
      </c>
      <c r="J390" s="5" t="n">
        <v>0</v>
      </c>
      <c r="K390" s="5" t="n">
        <v>0</v>
      </c>
      <c r="L390" s="5" t="n">
        <v>0</v>
      </c>
      <c r="M390" s="5" t="n">
        <v>0</v>
      </c>
      <c r="N390" s="5" t="n">
        <v>1</v>
      </c>
      <c r="O390" s="5" t="n">
        <v>0</v>
      </c>
      <c r="P390" s="5" t="n">
        <v>0</v>
      </c>
      <c r="Q390" s="5" t="n">
        <v>1</v>
      </c>
      <c r="R390" s="5" t="n">
        <v>0</v>
      </c>
      <c r="S390" s="5" t="n">
        <v>1</v>
      </c>
      <c r="T390" s="5" t="n">
        <v>0</v>
      </c>
      <c r="U390" s="5" t="n">
        <v>0</v>
      </c>
      <c r="V390" s="5" t="n">
        <v>0</v>
      </c>
      <c r="W390" s="5" t="n">
        <f aca="false">SUM(C390:V390)</f>
        <v>4</v>
      </c>
    </row>
    <row r="391" customFormat="false" ht="17.9" hidden="false" customHeight="false" outlineLevel="0" collapsed="false">
      <c r="A391" s="5" t="s">
        <v>425</v>
      </c>
      <c r="B391" s="5" t="s">
        <v>336</v>
      </c>
      <c r="C391" s="5" t="n">
        <v>1</v>
      </c>
      <c r="D391" s="5" t="n">
        <v>1</v>
      </c>
      <c r="E391" s="5" t="n">
        <v>1</v>
      </c>
      <c r="F391" s="5" t="n">
        <v>0</v>
      </c>
      <c r="G391" s="5" t="n">
        <v>1</v>
      </c>
      <c r="H391" s="5" t="n">
        <v>0</v>
      </c>
      <c r="I391" s="5" t="n">
        <v>0</v>
      </c>
      <c r="J391" s="5" t="n">
        <v>0</v>
      </c>
      <c r="K391" s="5" t="n">
        <v>1</v>
      </c>
      <c r="L391" s="5" t="n">
        <v>0</v>
      </c>
      <c r="M391" s="5" t="n">
        <v>1</v>
      </c>
      <c r="N391" s="5" t="n">
        <v>1</v>
      </c>
      <c r="O391" s="5" t="n">
        <v>1</v>
      </c>
      <c r="P391" s="5" t="n">
        <v>0</v>
      </c>
      <c r="Q391" s="5" t="n">
        <v>1</v>
      </c>
      <c r="R391" s="5" t="n">
        <v>1</v>
      </c>
      <c r="S391" s="5" t="n">
        <v>1</v>
      </c>
      <c r="T391" s="5" t="n">
        <v>1</v>
      </c>
      <c r="U391" s="5" t="n">
        <v>0</v>
      </c>
      <c r="V391" s="5" t="n">
        <v>1</v>
      </c>
      <c r="W391" s="5" t="n">
        <f aca="false">SUM(C391:V391)</f>
        <v>13</v>
      </c>
    </row>
    <row r="392" customFormat="false" ht="17.9" hidden="false" customHeight="false" outlineLevel="0" collapsed="false">
      <c r="A392" s="5" t="s">
        <v>426</v>
      </c>
      <c r="B392" s="5" t="s">
        <v>336</v>
      </c>
      <c r="C392" s="5" t="n">
        <v>1</v>
      </c>
      <c r="D392" s="5" t="n">
        <v>1</v>
      </c>
      <c r="E392" s="5" t="n">
        <v>1</v>
      </c>
      <c r="F392" s="5" t="n">
        <v>1</v>
      </c>
      <c r="G392" s="5" t="n">
        <v>0</v>
      </c>
      <c r="H392" s="5" t="n">
        <v>1</v>
      </c>
      <c r="I392" s="5" t="n">
        <v>0</v>
      </c>
      <c r="J392" s="5" t="n">
        <v>0</v>
      </c>
      <c r="K392" s="5" t="n">
        <v>1</v>
      </c>
      <c r="L392" s="5" t="n">
        <v>0</v>
      </c>
      <c r="M392" s="5" t="n">
        <v>1</v>
      </c>
      <c r="N392" s="5" t="n">
        <v>1</v>
      </c>
      <c r="O392" s="5" t="n">
        <v>0</v>
      </c>
      <c r="P392" s="5" t="n">
        <v>0</v>
      </c>
      <c r="Q392" s="5" t="n">
        <v>1</v>
      </c>
      <c r="R392" s="5" t="n">
        <v>1</v>
      </c>
      <c r="S392" s="5" t="n">
        <v>1</v>
      </c>
      <c r="T392" s="5" t="n">
        <v>1</v>
      </c>
      <c r="U392" s="5" t="n">
        <v>1</v>
      </c>
      <c r="V392" s="5" t="n">
        <v>0</v>
      </c>
      <c r="W392" s="5" t="n">
        <f aca="false">SUM(C392:V392)</f>
        <v>13</v>
      </c>
    </row>
    <row r="393" customFormat="false" ht="17.9" hidden="false" customHeight="false" outlineLevel="0" collapsed="false">
      <c r="A393" s="5" t="s">
        <v>427</v>
      </c>
      <c r="B393" s="5" t="s">
        <v>336</v>
      </c>
      <c r="C393" s="5" t="n">
        <v>1</v>
      </c>
      <c r="D393" s="5" t="n">
        <v>1</v>
      </c>
      <c r="E393" s="5" t="n">
        <v>1</v>
      </c>
      <c r="F393" s="5" t="n">
        <v>0</v>
      </c>
      <c r="G393" s="5" t="n">
        <v>1</v>
      </c>
      <c r="H393" s="5" t="n">
        <v>1</v>
      </c>
      <c r="I393" s="5" t="n">
        <v>1</v>
      </c>
      <c r="J393" s="5" t="n">
        <v>1</v>
      </c>
      <c r="K393" s="5" t="n">
        <v>1</v>
      </c>
      <c r="L393" s="5" t="n">
        <v>1</v>
      </c>
      <c r="M393" s="5" t="n">
        <v>1</v>
      </c>
      <c r="N393" s="5" t="n">
        <v>1</v>
      </c>
      <c r="O393" s="5" t="n">
        <v>1</v>
      </c>
      <c r="P393" s="5" t="n">
        <v>1</v>
      </c>
      <c r="Q393" s="5" t="n">
        <v>1</v>
      </c>
      <c r="R393" s="5" t="n">
        <v>1</v>
      </c>
      <c r="S393" s="5" t="n">
        <v>1</v>
      </c>
      <c r="T393" s="5" t="n">
        <v>1</v>
      </c>
      <c r="U393" s="5" t="n">
        <v>1</v>
      </c>
      <c r="V393" s="5" t="n">
        <v>1</v>
      </c>
      <c r="W393" s="5" t="n">
        <f aca="false">SUM(C393:V393)</f>
        <v>19</v>
      </c>
    </row>
    <row r="394" customFormat="false" ht="17.9" hidden="false" customHeight="false" outlineLevel="0" collapsed="false">
      <c r="A394" s="5" t="s">
        <v>428</v>
      </c>
      <c r="B394" s="5" t="s">
        <v>336</v>
      </c>
      <c r="C394" s="5" t="n">
        <v>1</v>
      </c>
      <c r="D394" s="5" t="n">
        <v>1</v>
      </c>
      <c r="E394" s="5" t="n">
        <v>1</v>
      </c>
      <c r="F394" s="5" t="n">
        <v>1</v>
      </c>
      <c r="G394" s="5" t="n">
        <v>1</v>
      </c>
      <c r="H394" s="5" t="n">
        <v>1</v>
      </c>
      <c r="I394" s="5" t="n">
        <v>1</v>
      </c>
      <c r="J394" s="5" t="n">
        <v>0</v>
      </c>
      <c r="K394" s="5" t="n">
        <v>1</v>
      </c>
      <c r="L394" s="5" t="n">
        <v>1</v>
      </c>
      <c r="M394" s="5" t="n">
        <v>1</v>
      </c>
      <c r="N394" s="5" t="n">
        <v>1</v>
      </c>
      <c r="O394" s="5" t="n">
        <v>1</v>
      </c>
      <c r="P394" s="5" t="n">
        <v>1</v>
      </c>
      <c r="Q394" s="5" t="n">
        <v>1</v>
      </c>
      <c r="R394" s="5" t="n">
        <v>1</v>
      </c>
      <c r="S394" s="5" t="n">
        <v>1</v>
      </c>
      <c r="T394" s="5" t="n">
        <v>1</v>
      </c>
      <c r="U394" s="5" t="n">
        <v>1</v>
      </c>
      <c r="V394" s="5" t="n">
        <v>1</v>
      </c>
      <c r="W394" s="5" t="n">
        <f aca="false">SUM(C394:V394)</f>
        <v>19</v>
      </c>
    </row>
    <row r="395" customFormat="false" ht="17.9" hidden="false" customHeight="false" outlineLevel="0" collapsed="false">
      <c r="A395" s="5" t="s">
        <v>429</v>
      </c>
      <c r="B395" s="5" t="s">
        <v>336</v>
      </c>
      <c r="C395" s="5" t="n">
        <v>0</v>
      </c>
      <c r="D395" s="5" t="n">
        <v>0</v>
      </c>
      <c r="E395" s="5" t="n">
        <v>0</v>
      </c>
      <c r="F395" s="5" t="n">
        <v>0</v>
      </c>
      <c r="G395" s="5" t="n">
        <v>1</v>
      </c>
      <c r="H395" s="5" t="n">
        <v>0</v>
      </c>
      <c r="I395" s="5" t="n">
        <v>0</v>
      </c>
      <c r="J395" s="5" t="n">
        <v>0</v>
      </c>
      <c r="K395" s="5" t="n">
        <v>1</v>
      </c>
      <c r="L395" s="5" t="n">
        <v>0</v>
      </c>
      <c r="M395" s="5" t="n">
        <v>0</v>
      </c>
      <c r="N395" s="5" t="n">
        <v>1</v>
      </c>
      <c r="O395" s="5" t="n">
        <v>1</v>
      </c>
      <c r="P395" s="5" t="n">
        <v>0</v>
      </c>
      <c r="Q395" s="5" t="n">
        <v>1</v>
      </c>
      <c r="R395" s="5" t="n">
        <v>1</v>
      </c>
      <c r="S395" s="5" t="n">
        <v>1</v>
      </c>
      <c r="T395" s="5" t="n">
        <v>0</v>
      </c>
      <c r="U395" s="5" t="n">
        <v>1</v>
      </c>
      <c r="V395" s="5" t="n">
        <v>0</v>
      </c>
      <c r="W395" s="5" t="n">
        <f aca="false">SUM(C395:V395)</f>
        <v>8</v>
      </c>
    </row>
    <row r="396" customFormat="false" ht="17.9" hidden="false" customHeight="false" outlineLevel="0" collapsed="false">
      <c r="A396" s="5" t="s">
        <v>430</v>
      </c>
      <c r="B396" s="5" t="s">
        <v>336</v>
      </c>
      <c r="C396" s="5" t="n">
        <v>1</v>
      </c>
      <c r="D396" s="5" t="n">
        <v>1</v>
      </c>
      <c r="E396" s="5" t="n">
        <v>1</v>
      </c>
      <c r="F396" s="5" t="n">
        <v>1</v>
      </c>
      <c r="G396" s="5" t="n">
        <v>1</v>
      </c>
      <c r="H396" s="5" t="n">
        <v>1</v>
      </c>
      <c r="I396" s="5" t="n">
        <v>1</v>
      </c>
      <c r="J396" s="5" t="n">
        <v>1</v>
      </c>
      <c r="K396" s="5" t="n">
        <v>1</v>
      </c>
      <c r="L396" s="5" t="n">
        <v>1</v>
      </c>
      <c r="M396" s="5" t="n">
        <v>1</v>
      </c>
      <c r="N396" s="5" t="n">
        <v>1</v>
      </c>
      <c r="O396" s="5" t="n">
        <v>0</v>
      </c>
      <c r="P396" s="5" t="n">
        <v>1</v>
      </c>
      <c r="Q396" s="5" t="n">
        <v>1</v>
      </c>
      <c r="R396" s="5" t="n">
        <v>1</v>
      </c>
      <c r="S396" s="5" t="n">
        <v>1</v>
      </c>
      <c r="T396" s="5" t="n">
        <v>1</v>
      </c>
      <c r="U396" s="5" t="n">
        <v>1</v>
      </c>
      <c r="V396" s="5" t="n">
        <v>1</v>
      </c>
      <c r="W396" s="5" t="n">
        <f aca="false">SUM(C396:V396)</f>
        <v>19</v>
      </c>
    </row>
    <row r="397" customFormat="false" ht="17.9" hidden="false" customHeight="false" outlineLevel="0" collapsed="false">
      <c r="A397" s="5" t="s">
        <v>431</v>
      </c>
      <c r="B397" s="5" t="s">
        <v>336</v>
      </c>
      <c r="C397" s="5" t="n">
        <v>1</v>
      </c>
      <c r="D397" s="5" t="n">
        <v>1</v>
      </c>
      <c r="E397" s="5" t="n">
        <v>1</v>
      </c>
      <c r="F397" s="5" t="n">
        <v>0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1</v>
      </c>
      <c r="L397" s="5" t="n">
        <v>1</v>
      </c>
      <c r="M397" s="5" t="n">
        <v>0</v>
      </c>
      <c r="N397" s="5" t="n">
        <v>1</v>
      </c>
      <c r="O397" s="5" t="n">
        <v>0</v>
      </c>
      <c r="P397" s="5" t="n">
        <v>0</v>
      </c>
      <c r="Q397" s="5" t="n">
        <v>1</v>
      </c>
      <c r="R397" s="5" t="n">
        <v>1</v>
      </c>
      <c r="S397" s="5" t="n">
        <v>1</v>
      </c>
      <c r="T397" s="5" t="n">
        <v>0</v>
      </c>
      <c r="U397" s="5" t="n">
        <v>0</v>
      </c>
      <c r="V397" s="5" t="n">
        <v>1</v>
      </c>
      <c r="W397" s="5" t="n">
        <f aca="false">SUM(C397:V397)</f>
        <v>10</v>
      </c>
    </row>
    <row r="398" customFormat="false" ht="17.9" hidden="false" customHeight="false" outlineLevel="0" collapsed="false">
      <c r="A398" s="5" t="s">
        <v>432</v>
      </c>
      <c r="B398" s="5" t="s">
        <v>336</v>
      </c>
      <c r="C398" s="5" t="n">
        <v>1</v>
      </c>
      <c r="D398" s="5" t="n">
        <v>1</v>
      </c>
      <c r="E398" s="5" t="n">
        <v>1</v>
      </c>
      <c r="F398" s="5" t="n">
        <v>1</v>
      </c>
      <c r="G398" s="5" t="n">
        <v>1</v>
      </c>
      <c r="H398" s="5" t="n">
        <v>1</v>
      </c>
      <c r="I398" s="5" t="n">
        <v>1</v>
      </c>
      <c r="J398" s="5" t="n">
        <v>0</v>
      </c>
      <c r="K398" s="5" t="n">
        <v>1</v>
      </c>
      <c r="L398" s="5" t="n">
        <v>1</v>
      </c>
      <c r="M398" s="5" t="n">
        <v>1</v>
      </c>
      <c r="N398" s="5" t="n">
        <v>1</v>
      </c>
      <c r="O398" s="5" t="n">
        <v>1</v>
      </c>
      <c r="P398" s="5" t="n">
        <v>1</v>
      </c>
      <c r="Q398" s="5" t="n">
        <v>1</v>
      </c>
      <c r="R398" s="5" t="n">
        <v>1</v>
      </c>
      <c r="S398" s="5" t="n">
        <v>1</v>
      </c>
      <c r="T398" s="5" t="n">
        <v>1</v>
      </c>
      <c r="U398" s="5" t="n">
        <v>1</v>
      </c>
      <c r="V398" s="5" t="n">
        <v>1</v>
      </c>
      <c r="W398" s="5" t="n">
        <f aca="false">SUM(C398:V398)</f>
        <v>19</v>
      </c>
    </row>
    <row r="399" customFormat="false" ht="17.9" hidden="false" customHeight="false" outlineLevel="0" collapsed="false">
      <c r="A399" s="5" t="s">
        <v>433</v>
      </c>
      <c r="B399" s="5" t="s">
        <v>336</v>
      </c>
      <c r="C399" s="5" t="n">
        <v>0</v>
      </c>
      <c r="D399" s="5" t="n">
        <v>1</v>
      </c>
      <c r="E399" s="5" t="n">
        <v>1</v>
      </c>
      <c r="F399" s="5" t="n">
        <v>0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1</v>
      </c>
      <c r="L399" s="5" t="n">
        <v>1</v>
      </c>
      <c r="M399" s="5" t="n">
        <v>0</v>
      </c>
      <c r="N399" s="5" t="n">
        <v>1</v>
      </c>
      <c r="O399" s="5" t="n">
        <v>0</v>
      </c>
      <c r="P399" s="5" t="n">
        <v>0</v>
      </c>
      <c r="Q399" s="5" t="n">
        <v>1</v>
      </c>
      <c r="R399" s="5" t="n">
        <v>0</v>
      </c>
      <c r="S399" s="5" t="n">
        <v>1</v>
      </c>
      <c r="T399" s="5" t="n">
        <v>0</v>
      </c>
      <c r="U399" s="5" t="n">
        <v>0</v>
      </c>
      <c r="V399" s="5" t="n">
        <v>0</v>
      </c>
      <c r="W399" s="5" t="n">
        <f aca="false">SUM(C399:V399)</f>
        <v>7</v>
      </c>
    </row>
    <row r="400" customFormat="false" ht="17.9" hidden="false" customHeight="false" outlineLevel="0" collapsed="false">
      <c r="A400" s="5" t="s">
        <v>434</v>
      </c>
      <c r="B400" s="5" t="s">
        <v>336</v>
      </c>
      <c r="C400" s="5" t="n">
        <v>0</v>
      </c>
      <c r="D400" s="5" t="n">
        <v>1</v>
      </c>
      <c r="E400" s="5" t="n">
        <v>1</v>
      </c>
      <c r="F400" s="5" t="n">
        <v>1</v>
      </c>
      <c r="G400" s="5" t="n">
        <v>0</v>
      </c>
      <c r="H400" s="5" t="n">
        <v>1</v>
      </c>
      <c r="I400" s="5" t="n">
        <v>0</v>
      </c>
      <c r="J400" s="5" t="n">
        <v>1</v>
      </c>
      <c r="K400" s="5" t="n">
        <v>1</v>
      </c>
      <c r="L400" s="5" t="n">
        <v>0</v>
      </c>
      <c r="M400" s="5" t="n">
        <v>1</v>
      </c>
      <c r="N400" s="5" t="n">
        <v>1</v>
      </c>
      <c r="O400" s="5" t="n">
        <v>0</v>
      </c>
      <c r="P400" s="5" t="n">
        <v>0</v>
      </c>
      <c r="Q400" s="5" t="n">
        <v>1</v>
      </c>
      <c r="R400" s="5" t="n">
        <v>1</v>
      </c>
      <c r="S400" s="5" t="n">
        <v>1</v>
      </c>
      <c r="T400" s="5" t="n">
        <v>0</v>
      </c>
      <c r="U400" s="5" t="n">
        <v>0</v>
      </c>
      <c r="V400" s="5" t="n">
        <v>0</v>
      </c>
      <c r="W400" s="5" t="n">
        <f aca="false">SUM(C400:V400)</f>
        <v>11</v>
      </c>
    </row>
    <row r="401" customFormat="false" ht="17.9" hidden="false" customHeight="false" outlineLevel="0" collapsed="false">
      <c r="A401" s="5" t="s">
        <v>435</v>
      </c>
      <c r="B401" s="5" t="s">
        <v>336</v>
      </c>
      <c r="C401" s="5" t="n">
        <v>0</v>
      </c>
      <c r="D401" s="5" t="n">
        <v>0</v>
      </c>
      <c r="E401" s="5" t="n">
        <v>0</v>
      </c>
      <c r="F401" s="5" t="n">
        <v>1</v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1</v>
      </c>
      <c r="L401" s="5" t="n">
        <v>1</v>
      </c>
      <c r="M401" s="5" t="n">
        <v>1</v>
      </c>
      <c r="N401" s="5" t="n">
        <v>1</v>
      </c>
      <c r="O401" s="5" t="n">
        <v>0</v>
      </c>
      <c r="P401" s="5" t="n">
        <v>0</v>
      </c>
      <c r="Q401" s="5" t="n">
        <v>0</v>
      </c>
      <c r="R401" s="5" t="n">
        <v>1</v>
      </c>
      <c r="S401" s="5" t="n">
        <v>1</v>
      </c>
      <c r="T401" s="5" t="n">
        <v>1</v>
      </c>
      <c r="U401" s="5" t="n">
        <v>0</v>
      </c>
      <c r="V401" s="5" t="n">
        <v>0</v>
      </c>
      <c r="W401" s="5" t="n">
        <f aca="false">SUM(C401:V401)</f>
        <v>8</v>
      </c>
    </row>
    <row r="402" customFormat="false" ht="17.9" hidden="false" customHeight="false" outlineLevel="0" collapsed="false">
      <c r="A402" s="5" t="s">
        <v>436</v>
      </c>
      <c r="B402" s="5" t="s">
        <v>336</v>
      </c>
      <c r="C402" s="5" t="n">
        <v>0</v>
      </c>
      <c r="D402" s="5" t="n">
        <v>0</v>
      </c>
      <c r="E402" s="5" t="n">
        <v>1</v>
      </c>
      <c r="F402" s="5" t="n">
        <v>0</v>
      </c>
      <c r="G402" s="5" t="n">
        <v>1</v>
      </c>
      <c r="H402" s="5" t="n">
        <v>0</v>
      </c>
      <c r="I402" s="5" t="n">
        <v>0</v>
      </c>
      <c r="J402" s="5" t="n">
        <v>0</v>
      </c>
      <c r="K402" s="5" t="n">
        <v>0</v>
      </c>
      <c r="L402" s="5" t="n">
        <v>0</v>
      </c>
      <c r="M402" s="5" t="n">
        <v>0</v>
      </c>
      <c r="N402" s="5" t="n">
        <v>1</v>
      </c>
      <c r="O402" s="5" t="n">
        <v>0</v>
      </c>
      <c r="P402" s="5" t="n">
        <v>0</v>
      </c>
      <c r="Q402" s="5" t="n">
        <v>1</v>
      </c>
      <c r="R402" s="5" t="n">
        <v>0</v>
      </c>
      <c r="S402" s="5" t="n">
        <v>1</v>
      </c>
      <c r="T402" s="5" t="n">
        <v>0</v>
      </c>
      <c r="U402" s="5" t="n">
        <v>0</v>
      </c>
      <c r="V402" s="5" t="n">
        <v>0</v>
      </c>
      <c r="W402" s="5" t="n">
        <f aca="false">SUM(C402:V402)</f>
        <v>5</v>
      </c>
    </row>
    <row r="403" customFormat="false" ht="17.9" hidden="false" customHeight="false" outlineLevel="0" collapsed="false">
      <c r="A403" s="5" t="s">
        <v>437</v>
      </c>
      <c r="B403" s="5" t="s">
        <v>336</v>
      </c>
      <c r="C403" s="5" t="n">
        <v>1</v>
      </c>
      <c r="D403" s="5" t="n">
        <v>0</v>
      </c>
      <c r="E403" s="5" t="n">
        <v>1</v>
      </c>
      <c r="F403" s="5" t="n">
        <v>0</v>
      </c>
      <c r="G403" s="5" t="n">
        <v>1</v>
      </c>
      <c r="H403" s="5" t="n">
        <v>0</v>
      </c>
      <c r="I403" s="5" t="n">
        <v>0</v>
      </c>
      <c r="J403" s="5" t="n">
        <v>0</v>
      </c>
      <c r="K403" s="5" t="n">
        <v>1</v>
      </c>
      <c r="L403" s="5" t="n">
        <v>0</v>
      </c>
      <c r="M403" s="5" t="n">
        <v>0</v>
      </c>
      <c r="N403" s="5" t="n">
        <v>1</v>
      </c>
      <c r="O403" s="5" t="n">
        <v>1</v>
      </c>
      <c r="P403" s="5" t="n">
        <v>0</v>
      </c>
      <c r="Q403" s="5" t="n">
        <v>1</v>
      </c>
      <c r="R403" s="5" t="n">
        <v>0</v>
      </c>
      <c r="S403" s="5" t="n">
        <v>1</v>
      </c>
      <c r="T403" s="5" t="n">
        <v>1</v>
      </c>
      <c r="U403" s="5" t="n">
        <v>0</v>
      </c>
      <c r="V403" s="5" t="n">
        <v>0</v>
      </c>
      <c r="W403" s="5" t="n">
        <f aca="false">SUM(C403:V403)</f>
        <v>9</v>
      </c>
    </row>
    <row r="404" customFormat="false" ht="17.9" hidden="false" customHeight="false" outlineLevel="0" collapsed="false">
      <c r="A404" s="5" t="s">
        <v>438</v>
      </c>
      <c r="B404" s="5" t="s">
        <v>336</v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0</v>
      </c>
      <c r="H404" s="5" t="n">
        <v>0</v>
      </c>
      <c r="I404" s="5" t="n">
        <v>0</v>
      </c>
      <c r="J404" s="5" t="n">
        <v>0</v>
      </c>
      <c r="K404" s="5" t="n">
        <v>1</v>
      </c>
      <c r="L404" s="5" t="n">
        <v>0</v>
      </c>
      <c r="M404" s="5" t="n">
        <v>0</v>
      </c>
      <c r="N404" s="5" t="n">
        <v>1</v>
      </c>
      <c r="O404" s="5" t="n">
        <v>0</v>
      </c>
      <c r="P404" s="5" t="n">
        <v>0</v>
      </c>
      <c r="Q404" s="5" t="n">
        <v>1</v>
      </c>
      <c r="R404" s="5" t="n">
        <v>0</v>
      </c>
      <c r="S404" s="5" t="n">
        <v>1</v>
      </c>
      <c r="T404" s="5" t="n">
        <v>0</v>
      </c>
      <c r="U404" s="5" t="n">
        <v>0</v>
      </c>
      <c r="V404" s="5" t="n">
        <v>0</v>
      </c>
      <c r="W404" s="5" t="n">
        <f aca="false">SUM(C404:V404)</f>
        <v>4</v>
      </c>
    </row>
    <row r="405" customFormat="false" ht="17.9" hidden="false" customHeight="false" outlineLevel="0" collapsed="false">
      <c r="A405" s="5" t="s">
        <v>439</v>
      </c>
      <c r="B405" s="5" t="s">
        <v>336</v>
      </c>
      <c r="C405" s="5" t="n">
        <v>1</v>
      </c>
      <c r="D405" s="5" t="n">
        <v>0</v>
      </c>
      <c r="E405" s="5" t="n">
        <v>1</v>
      </c>
      <c r="F405" s="5" t="n">
        <v>0</v>
      </c>
      <c r="G405" s="5" t="n">
        <v>1</v>
      </c>
      <c r="H405" s="5" t="n">
        <v>1</v>
      </c>
      <c r="I405" s="5" t="n">
        <v>0</v>
      </c>
      <c r="J405" s="5" t="n">
        <v>1</v>
      </c>
      <c r="K405" s="5" t="n">
        <v>1</v>
      </c>
      <c r="L405" s="5" t="n">
        <v>1</v>
      </c>
      <c r="M405" s="5" t="n">
        <v>0</v>
      </c>
      <c r="N405" s="5" t="n">
        <v>1</v>
      </c>
      <c r="O405" s="5" t="n">
        <v>0</v>
      </c>
      <c r="P405" s="5" t="n">
        <v>0</v>
      </c>
      <c r="Q405" s="5" t="n">
        <v>1</v>
      </c>
      <c r="R405" s="5" t="n">
        <v>1</v>
      </c>
      <c r="S405" s="5" t="n">
        <v>1</v>
      </c>
      <c r="T405" s="5" t="n">
        <v>1</v>
      </c>
      <c r="U405" s="5" t="n">
        <v>0</v>
      </c>
      <c r="V405" s="5" t="n">
        <v>1</v>
      </c>
      <c r="W405" s="5" t="n">
        <f aca="false">SUM(C405:V405)</f>
        <v>13</v>
      </c>
    </row>
    <row r="406" customFormat="false" ht="17.9" hidden="false" customHeight="false" outlineLevel="0" collapsed="false">
      <c r="A406" s="5" t="s">
        <v>440</v>
      </c>
      <c r="B406" s="5" t="s">
        <v>336</v>
      </c>
      <c r="C406" s="5" t="n">
        <v>1</v>
      </c>
      <c r="D406" s="5" t="n">
        <v>1</v>
      </c>
      <c r="E406" s="5" t="n">
        <v>1</v>
      </c>
      <c r="F406" s="5" t="n">
        <v>0</v>
      </c>
      <c r="G406" s="5" t="n">
        <v>0</v>
      </c>
      <c r="H406" s="5" t="n">
        <v>0</v>
      </c>
      <c r="I406" s="5" t="n">
        <v>1</v>
      </c>
      <c r="J406" s="5" t="n">
        <v>0</v>
      </c>
      <c r="K406" s="5" t="n">
        <v>1</v>
      </c>
      <c r="L406" s="5" t="n">
        <v>0</v>
      </c>
      <c r="M406" s="5" t="n">
        <v>1</v>
      </c>
      <c r="N406" s="5" t="n">
        <v>1</v>
      </c>
      <c r="O406" s="5" t="n">
        <v>1</v>
      </c>
      <c r="P406" s="5" t="n">
        <v>0</v>
      </c>
      <c r="Q406" s="5" t="n">
        <v>1</v>
      </c>
      <c r="R406" s="5" t="n">
        <v>0</v>
      </c>
      <c r="S406" s="5" t="n">
        <v>1</v>
      </c>
      <c r="T406" s="5" t="n">
        <v>1</v>
      </c>
      <c r="U406" s="5" t="n">
        <v>0</v>
      </c>
      <c r="V406" s="5" t="n">
        <v>0</v>
      </c>
      <c r="W406" s="5" t="n">
        <f aca="false">SUM(C406:V406)</f>
        <v>11</v>
      </c>
    </row>
    <row r="407" customFormat="false" ht="17.9" hidden="false" customHeight="false" outlineLevel="0" collapsed="false">
      <c r="A407" s="5" t="s">
        <v>441</v>
      </c>
      <c r="B407" s="5" t="s">
        <v>336</v>
      </c>
      <c r="C407" s="5" t="n">
        <v>1</v>
      </c>
      <c r="D407" s="5" t="n">
        <v>1</v>
      </c>
      <c r="E407" s="5" t="n">
        <v>1</v>
      </c>
      <c r="F407" s="5" t="n">
        <v>0</v>
      </c>
      <c r="G407" s="5" t="n">
        <v>0</v>
      </c>
      <c r="H407" s="5" t="n">
        <v>1</v>
      </c>
      <c r="I407" s="5" t="n">
        <v>0</v>
      </c>
      <c r="J407" s="5" t="n">
        <v>1</v>
      </c>
      <c r="K407" s="5" t="n">
        <v>1</v>
      </c>
      <c r="L407" s="5" t="n">
        <v>1</v>
      </c>
      <c r="M407" s="5" t="n">
        <v>1</v>
      </c>
      <c r="N407" s="5" t="n">
        <v>1</v>
      </c>
      <c r="O407" s="5" t="n">
        <v>0</v>
      </c>
      <c r="P407" s="5" t="n">
        <v>0</v>
      </c>
      <c r="Q407" s="5" t="n">
        <v>1</v>
      </c>
      <c r="R407" s="5" t="n">
        <v>1</v>
      </c>
      <c r="S407" s="5" t="n">
        <v>1</v>
      </c>
      <c r="T407" s="5" t="n">
        <v>1</v>
      </c>
      <c r="U407" s="5" t="n">
        <v>1</v>
      </c>
      <c r="V407" s="5" t="n">
        <v>1</v>
      </c>
      <c r="W407" s="5" t="n">
        <f aca="false">SUM(C407:V407)</f>
        <v>15</v>
      </c>
    </row>
    <row r="408" customFormat="false" ht="17.9" hidden="false" customHeight="false" outlineLevel="0" collapsed="false">
      <c r="A408" s="5" t="s">
        <v>442</v>
      </c>
      <c r="B408" s="5" t="s">
        <v>336</v>
      </c>
      <c r="C408" s="5" t="n">
        <v>1</v>
      </c>
      <c r="D408" s="5" t="n">
        <v>1</v>
      </c>
      <c r="E408" s="5" t="n">
        <v>1</v>
      </c>
      <c r="F408" s="5" t="n">
        <v>0</v>
      </c>
      <c r="G408" s="5" t="n">
        <v>1</v>
      </c>
      <c r="H408" s="5" t="n">
        <v>0</v>
      </c>
      <c r="I408" s="5" t="n">
        <v>1</v>
      </c>
      <c r="J408" s="5" t="n">
        <v>0</v>
      </c>
      <c r="K408" s="5" t="n">
        <v>1</v>
      </c>
      <c r="L408" s="5" t="n">
        <v>1</v>
      </c>
      <c r="M408" s="5" t="n">
        <v>0</v>
      </c>
      <c r="N408" s="5" t="n">
        <v>1</v>
      </c>
      <c r="O408" s="5" t="n">
        <v>1</v>
      </c>
      <c r="P408" s="5" t="n">
        <v>0</v>
      </c>
      <c r="Q408" s="5" t="n">
        <v>1</v>
      </c>
      <c r="R408" s="5" t="n">
        <v>1</v>
      </c>
      <c r="S408" s="5" t="n">
        <v>1</v>
      </c>
      <c r="T408" s="5" t="n">
        <v>1</v>
      </c>
      <c r="U408" s="5" t="n">
        <v>1</v>
      </c>
      <c r="V408" s="5" t="n">
        <v>0</v>
      </c>
      <c r="W408" s="5" t="n">
        <f aca="false">SUM(C408:V408)</f>
        <v>14</v>
      </c>
    </row>
    <row r="409" customFormat="false" ht="17.9" hidden="false" customHeight="false" outlineLevel="0" collapsed="false">
      <c r="A409" s="5" t="s">
        <v>443</v>
      </c>
      <c r="B409" s="5" t="s">
        <v>336</v>
      </c>
      <c r="C409" s="5" t="n">
        <v>1</v>
      </c>
      <c r="D409" s="5" t="n">
        <v>0</v>
      </c>
      <c r="E409" s="5" t="n">
        <v>0</v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0</v>
      </c>
      <c r="L409" s="5" t="n">
        <v>0</v>
      </c>
      <c r="M409" s="5" t="n">
        <v>0</v>
      </c>
      <c r="N409" s="5" t="n">
        <v>1</v>
      </c>
      <c r="O409" s="5" t="n">
        <v>0</v>
      </c>
      <c r="P409" s="5" t="n">
        <v>0</v>
      </c>
      <c r="Q409" s="5" t="n">
        <v>1</v>
      </c>
      <c r="R409" s="5" t="n">
        <v>0</v>
      </c>
      <c r="S409" s="5" t="n">
        <v>1</v>
      </c>
      <c r="T409" s="5" t="n">
        <v>0</v>
      </c>
      <c r="U409" s="5" t="n">
        <v>0</v>
      </c>
      <c r="V409" s="5" t="n">
        <v>0</v>
      </c>
      <c r="W409" s="5" t="n">
        <f aca="false">SUM(C409:V409)</f>
        <v>4</v>
      </c>
    </row>
    <row r="410" customFormat="false" ht="17.9" hidden="false" customHeight="false" outlineLevel="0" collapsed="false">
      <c r="A410" s="5" t="s">
        <v>444</v>
      </c>
      <c r="B410" s="5" t="s">
        <v>336</v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0</v>
      </c>
      <c r="H410" s="5" t="n">
        <v>0</v>
      </c>
      <c r="I410" s="5" t="n">
        <v>0</v>
      </c>
      <c r="J410" s="5" t="n">
        <v>0</v>
      </c>
      <c r="K410" s="5" t="n">
        <v>0</v>
      </c>
      <c r="L410" s="5" t="n">
        <v>0</v>
      </c>
      <c r="M410" s="5" t="n">
        <v>0</v>
      </c>
      <c r="N410" s="5" t="n">
        <v>1</v>
      </c>
      <c r="O410" s="5" t="n">
        <v>0</v>
      </c>
      <c r="P410" s="5" t="n">
        <v>0</v>
      </c>
      <c r="Q410" s="5" t="n">
        <v>0</v>
      </c>
      <c r="R410" s="5" t="n">
        <v>0</v>
      </c>
      <c r="S410" s="5" t="n">
        <v>1</v>
      </c>
      <c r="T410" s="5" t="n">
        <v>0</v>
      </c>
      <c r="U410" s="5" t="n">
        <v>0</v>
      </c>
      <c r="V410" s="5" t="n">
        <v>0</v>
      </c>
      <c r="W410" s="5" t="n">
        <f aca="false">SUM(C410:V410)</f>
        <v>2</v>
      </c>
    </row>
    <row r="411" customFormat="false" ht="17.9" hidden="false" customHeight="false" outlineLevel="0" collapsed="false">
      <c r="A411" s="5" t="s">
        <v>445</v>
      </c>
      <c r="B411" s="5" t="s">
        <v>336</v>
      </c>
      <c r="C411" s="5" t="n">
        <v>1</v>
      </c>
      <c r="D411" s="5" t="n">
        <v>0</v>
      </c>
      <c r="E411" s="5" t="n">
        <v>1</v>
      </c>
      <c r="F411" s="5" t="n">
        <v>0</v>
      </c>
      <c r="G411" s="5" t="n">
        <v>1</v>
      </c>
      <c r="H411" s="5" t="n">
        <v>1</v>
      </c>
      <c r="I411" s="5" t="n">
        <v>1</v>
      </c>
      <c r="J411" s="5" t="n">
        <v>0</v>
      </c>
      <c r="K411" s="5" t="n">
        <v>1</v>
      </c>
      <c r="L411" s="5" t="n">
        <v>1</v>
      </c>
      <c r="M411" s="5" t="n">
        <v>0</v>
      </c>
      <c r="N411" s="5" t="n">
        <v>1</v>
      </c>
      <c r="O411" s="5" t="n">
        <v>1</v>
      </c>
      <c r="P411" s="5" t="n">
        <v>0</v>
      </c>
      <c r="Q411" s="5" t="n">
        <v>1</v>
      </c>
      <c r="R411" s="5" t="n">
        <v>1</v>
      </c>
      <c r="S411" s="5" t="n">
        <v>1</v>
      </c>
      <c r="T411" s="5" t="n">
        <v>0</v>
      </c>
      <c r="U411" s="5" t="n">
        <v>0</v>
      </c>
      <c r="V411" s="5" t="n">
        <v>1</v>
      </c>
      <c r="W411" s="5" t="n">
        <f aca="false">SUM(C411:V411)</f>
        <v>13</v>
      </c>
    </row>
    <row r="412" customFormat="false" ht="17.9" hidden="false" customHeight="false" outlineLevel="0" collapsed="false">
      <c r="A412" s="5" t="s">
        <v>446</v>
      </c>
      <c r="B412" s="5" t="s">
        <v>336</v>
      </c>
      <c r="C412" s="5" t="n">
        <v>0</v>
      </c>
      <c r="D412" s="5" t="n">
        <v>0</v>
      </c>
      <c r="E412" s="5" t="n">
        <v>1</v>
      </c>
      <c r="F412" s="5" t="n">
        <v>0</v>
      </c>
      <c r="G412" s="5" t="n">
        <v>0</v>
      </c>
      <c r="H412" s="5" t="n">
        <v>0</v>
      </c>
      <c r="I412" s="5" t="n">
        <v>0</v>
      </c>
      <c r="J412" s="5" t="n">
        <v>0</v>
      </c>
      <c r="K412" s="5" t="n">
        <v>1</v>
      </c>
      <c r="L412" s="5" t="n">
        <v>0</v>
      </c>
      <c r="M412" s="5" t="n">
        <v>0</v>
      </c>
      <c r="N412" s="5" t="n">
        <v>1</v>
      </c>
      <c r="O412" s="5" t="n">
        <v>0</v>
      </c>
      <c r="P412" s="5" t="n">
        <v>0</v>
      </c>
      <c r="Q412" s="5" t="n">
        <v>1</v>
      </c>
      <c r="R412" s="5" t="n">
        <v>0</v>
      </c>
      <c r="S412" s="5" t="n">
        <v>1</v>
      </c>
      <c r="T412" s="5" t="n">
        <v>1</v>
      </c>
      <c r="U412" s="5" t="n">
        <v>0</v>
      </c>
      <c r="V412" s="5" t="n">
        <v>0</v>
      </c>
      <c r="W412" s="5" t="n">
        <f aca="false">SUM(C412:V412)</f>
        <v>6</v>
      </c>
    </row>
    <row r="413" customFormat="false" ht="17.9" hidden="false" customHeight="false" outlineLevel="0" collapsed="false">
      <c r="A413" s="5" t="s">
        <v>447</v>
      </c>
      <c r="B413" s="5" t="s">
        <v>336</v>
      </c>
      <c r="C413" s="5" t="n">
        <v>1</v>
      </c>
      <c r="D413" s="5" t="n">
        <v>1</v>
      </c>
      <c r="E413" s="5" t="n">
        <v>1</v>
      </c>
      <c r="F413" s="5" t="n">
        <v>0</v>
      </c>
      <c r="G413" s="5" t="n">
        <v>1</v>
      </c>
      <c r="H413" s="5" t="n">
        <v>0</v>
      </c>
      <c r="I413" s="5" t="n">
        <v>0</v>
      </c>
      <c r="J413" s="5" t="n">
        <v>1</v>
      </c>
      <c r="K413" s="5" t="n">
        <v>1</v>
      </c>
      <c r="L413" s="5" t="n">
        <v>1</v>
      </c>
      <c r="M413" s="5" t="n">
        <v>1</v>
      </c>
      <c r="N413" s="5" t="n">
        <v>1</v>
      </c>
      <c r="O413" s="5" t="n">
        <v>0</v>
      </c>
      <c r="P413" s="5" t="n">
        <v>0</v>
      </c>
      <c r="Q413" s="5" t="n">
        <v>1</v>
      </c>
      <c r="R413" s="5" t="n">
        <v>1</v>
      </c>
      <c r="S413" s="5" t="n">
        <v>1</v>
      </c>
      <c r="T413" s="5" t="n">
        <v>0</v>
      </c>
      <c r="U413" s="5" t="n">
        <v>0</v>
      </c>
      <c r="V413" s="5" t="n">
        <v>0</v>
      </c>
      <c r="W413" s="5" t="n">
        <f aca="false">SUM(C413:V413)</f>
        <v>12</v>
      </c>
    </row>
    <row r="414" customFormat="false" ht="17.9" hidden="false" customHeight="false" outlineLevel="0" collapsed="false">
      <c r="A414" s="5" t="s">
        <v>448</v>
      </c>
      <c r="B414" s="5" t="s">
        <v>336</v>
      </c>
      <c r="C414" s="5" t="n">
        <v>1</v>
      </c>
      <c r="D414" s="5" t="n">
        <v>0</v>
      </c>
      <c r="E414" s="5" t="n">
        <v>1</v>
      </c>
      <c r="F414" s="5" t="n">
        <v>0</v>
      </c>
      <c r="G414" s="5" t="n">
        <v>0</v>
      </c>
      <c r="H414" s="5" t="n">
        <v>0</v>
      </c>
      <c r="I414" s="5" t="n">
        <v>0</v>
      </c>
      <c r="J414" s="5" t="n">
        <v>0</v>
      </c>
      <c r="K414" s="5" t="n">
        <v>1</v>
      </c>
      <c r="L414" s="5" t="n">
        <v>0</v>
      </c>
      <c r="M414" s="5" t="n">
        <v>0</v>
      </c>
      <c r="N414" s="5" t="n">
        <v>1</v>
      </c>
      <c r="O414" s="5" t="n">
        <v>0</v>
      </c>
      <c r="P414" s="5" t="n">
        <v>0</v>
      </c>
      <c r="Q414" s="5" t="n">
        <v>1</v>
      </c>
      <c r="R414" s="5" t="n">
        <v>0</v>
      </c>
      <c r="S414" s="5" t="n">
        <v>1</v>
      </c>
      <c r="T414" s="5" t="n">
        <v>0</v>
      </c>
      <c r="U414" s="5" t="n">
        <v>0</v>
      </c>
      <c r="V414" s="5" t="n">
        <v>0</v>
      </c>
      <c r="W414" s="5" t="n">
        <f aca="false">SUM(C414:V414)</f>
        <v>6</v>
      </c>
    </row>
    <row r="415" customFormat="false" ht="17.9" hidden="false" customHeight="false" outlineLevel="0" collapsed="false">
      <c r="A415" s="5" t="s">
        <v>449</v>
      </c>
      <c r="B415" s="5" t="s">
        <v>336</v>
      </c>
      <c r="C415" s="5" t="n">
        <v>1</v>
      </c>
      <c r="D415" s="5" t="n">
        <v>1</v>
      </c>
      <c r="E415" s="5" t="n">
        <v>1</v>
      </c>
      <c r="F415" s="5" t="n">
        <v>0</v>
      </c>
      <c r="G415" s="5" t="n">
        <v>1</v>
      </c>
      <c r="H415" s="5" t="n">
        <v>1</v>
      </c>
      <c r="I415" s="5" t="n">
        <v>1</v>
      </c>
      <c r="J415" s="5" t="n">
        <v>1</v>
      </c>
      <c r="K415" s="5" t="n">
        <v>1</v>
      </c>
      <c r="L415" s="5" t="n">
        <v>1</v>
      </c>
      <c r="M415" s="5" t="n">
        <v>1</v>
      </c>
      <c r="N415" s="5" t="n">
        <v>1</v>
      </c>
      <c r="O415" s="5" t="n">
        <v>1</v>
      </c>
      <c r="P415" s="5" t="n">
        <v>1</v>
      </c>
      <c r="Q415" s="5" t="n">
        <v>1</v>
      </c>
      <c r="R415" s="5" t="n">
        <v>1</v>
      </c>
      <c r="S415" s="5" t="n">
        <v>1</v>
      </c>
      <c r="T415" s="5" t="n">
        <v>1</v>
      </c>
      <c r="U415" s="5" t="n">
        <v>1</v>
      </c>
      <c r="V415" s="5" t="n">
        <v>0</v>
      </c>
      <c r="W415" s="5" t="n">
        <f aca="false">SUM(C415:V415)</f>
        <v>18</v>
      </c>
    </row>
    <row r="416" customFormat="false" ht="17.9" hidden="false" customHeight="false" outlineLevel="0" collapsed="false">
      <c r="A416" s="5" t="s">
        <v>450</v>
      </c>
      <c r="B416" s="5" t="s">
        <v>336</v>
      </c>
      <c r="C416" s="5" t="n">
        <v>1</v>
      </c>
      <c r="D416" s="5" t="n">
        <v>1</v>
      </c>
      <c r="E416" s="5" t="n">
        <v>1</v>
      </c>
      <c r="F416" s="5" t="n">
        <v>0</v>
      </c>
      <c r="G416" s="5" t="n">
        <v>0</v>
      </c>
      <c r="H416" s="5" t="n">
        <v>0</v>
      </c>
      <c r="I416" s="5" t="n">
        <v>0</v>
      </c>
      <c r="J416" s="5" t="n">
        <v>0</v>
      </c>
      <c r="K416" s="5" t="n">
        <v>1</v>
      </c>
      <c r="L416" s="5" t="n">
        <v>1</v>
      </c>
      <c r="M416" s="5" t="n">
        <v>1</v>
      </c>
      <c r="N416" s="5" t="n">
        <v>1</v>
      </c>
      <c r="O416" s="5" t="n">
        <v>0</v>
      </c>
      <c r="P416" s="5" t="n">
        <v>0</v>
      </c>
      <c r="Q416" s="5" t="n">
        <v>1</v>
      </c>
      <c r="R416" s="5" t="n">
        <v>1</v>
      </c>
      <c r="S416" s="5" t="n">
        <v>1</v>
      </c>
      <c r="T416" s="5" t="n">
        <v>1</v>
      </c>
      <c r="U416" s="5" t="n">
        <v>1</v>
      </c>
      <c r="V416" s="5" t="n">
        <v>1</v>
      </c>
      <c r="W416" s="5" t="n">
        <f aca="false">SUM(C416:V416)</f>
        <v>13</v>
      </c>
    </row>
    <row r="417" customFormat="false" ht="17.9" hidden="false" customHeight="false" outlineLevel="0" collapsed="false">
      <c r="A417" s="5" t="s">
        <v>451</v>
      </c>
      <c r="B417" s="5" t="s">
        <v>336</v>
      </c>
      <c r="C417" s="5" t="n">
        <v>1</v>
      </c>
      <c r="D417" s="5" t="n">
        <v>0</v>
      </c>
      <c r="E417" s="5" t="n">
        <v>1</v>
      </c>
      <c r="F417" s="5" t="n">
        <v>0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0</v>
      </c>
      <c r="L417" s="5" t="n">
        <v>0</v>
      </c>
      <c r="M417" s="5" t="n">
        <v>0</v>
      </c>
      <c r="N417" s="5" t="n">
        <v>1</v>
      </c>
      <c r="O417" s="5" t="n">
        <v>0</v>
      </c>
      <c r="P417" s="5" t="n">
        <v>1</v>
      </c>
      <c r="Q417" s="5" t="n">
        <v>1</v>
      </c>
      <c r="R417" s="5" t="n">
        <v>0</v>
      </c>
      <c r="S417" s="5" t="n">
        <v>1</v>
      </c>
      <c r="T417" s="5" t="n">
        <v>1</v>
      </c>
      <c r="U417" s="5" t="n">
        <v>0</v>
      </c>
      <c r="V417" s="5" t="n">
        <v>0</v>
      </c>
      <c r="W417" s="5" t="n">
        <f aca="false">SUM(C417:V417)</f>
        <v>7</v>
      </c>
    </row>
    <row r="418" customFormat="false" ht="17.9" hidden="false" customHeight="false" outlineLevel="0" collapsed="false">
      <c r="A418" s="5" t="s">
        <v>452</v>
      </c>
      <c r="B418" s="5" t="s">
        <v>336</v>
      </c>
      <c r="C418" s="5" t="n">
        <v>0</v>
      </c>
      <c r="D418" s="5" t="n">
        <v>1</v>
      </c>
      <c r="E418" s="5" t="n">
        <v>1</v>
      </c>
      <c r="F418" s="5" t="n">
        <v>0</v>
      </c>
      <c r="G418" s="5" t="n">
        <v>0</v>
      </c>
      <c r="H418" s="5" t="n">
        <v>1</v>
      </c>
      <c r="I418" s="5" t="n">
        <v>0</v>
      </c>
      <c r="J418" s="5" t="n">
        <v>0</v>
      </c>
      <c r="K418" s="5" t="n">
        <v>1</v>
      </c>
      <c r="L418" s="5" t="n">
        <v>1</v>
      </c>
      <c r="M418" s="5" t="n">
        <v>0</v>
      </c>
      <c r="N418" s="5" t="n">
        <v>1</v>
      </c>
      <c r="O418" s="5" t="n">
        <v>0</v>
      </c>
      <c r="P418" s="5" t="n">
        <v>0</v>
      </c>
      <c r="Q418" s="5" t="n">
        <v>1</v>
      </c>
      <c r="R418" s="5" t="n">
        <v>1</v>
      </c>
      <c r="S418" s="5" t="n">
        <v>0</v>
      </c>
      <c r="T418" s="5" t="n">
        <v>1</v>
      </c>
      <c r="U418" s="5" t="n">
        <v>0</v>
      </c>
      <c r="V418" s="5" t="n">
        <v>0</v>
      </c>
      <c r="W418" s="5" t="n">
        <f aca="false">SUM(C418:V418)</f>
        <v>9</v>
      </c>
    </row>
    <row r="419" customFormat="false" ht="17.9" hidden="false" customHeight="false" outlineLevel="0" collapsed="false">
      <c r="A419" s="5" t="s">
        <v>453</v>
      </c>
      <c r="B419" s="5" t="s">
        <v>336</v>
      </c>
      <c r="C419" s="5" t="n">
        <v>0</v>
      </c>
      <c r="D419" s="5" t="n">
        <v>0</v>
      </c>
      <c r="E419" s="5" t="n">
        <v>1</v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5" t="n">
        <v>1</v>
      </c>
      <c r="M419" s="5" t="n">
        <v>0</v>
      </c>
      <c r="N419" s="5" t="n">
        <v>1</v>
      </c>
      <c r="O419" s="5" t="n">
        <v>0</v>
      </c>
      <c r="P419" s="5" t="n">
        <v>0</v>
      </c>
      <c r="Q419" s="5" t="n">
        <v>1</v>
      </c>
      <c r="R419" s="5" t="n">
        <v>0</v>
      </c>
      <c r="S419" s="5" t="n">
        <v>0</v>
      </c>
      <c r="T419" s="5" t="n">
        <v>1</v>
      </c>
      <c r="U419" s="5" t="n">
        <v>0</v>
      </c>
      <c r="V419" s="5" t="n">
        <v>0</v>
      </c>
      <c r="W419" s="5" t="n">
        <f aca="false">SUM(C419:V419)</f>
        <v>5</v>
      </c>
    </row>
    <row r="420" customFormat="false" ht="17.9" hidden="false" customHeight="false" outlineLevel="0" collapsed="false">
      <c r="A420" s="5" t="s">
        <v>454</v>
      </c>
      <c r="B420" s="5" t="s">
        <v>336</v>
      </c>
      <c r="C420" s="5" t="n">
        <v>0</v>
      </c>
      <c r="D420" s="5" t="n">
        <v>0</v>
      </c>
      <c r="E420" s="5" t="n">
        <v>1</v>
      </c>
      <c r="F420" s="5" t="n">
        <v>0</v>
      </c>
      <c r="G420" s="5" t="n">
        <v>0</v>
      </c>
      <c r="H420" s="5" t="n">
        <v>0</v>
      </c>
      <c r="I420" s="5" t="n">
        <v>0</v>
      </c>
      <c r="J420" s="5" t="n">
        <v>0</v>
      </c>
      <c r="K420" s="5" t="n">
        <v>1</v>
      </c>
      <c r="L420" s="5" t="n">
        <v>0</v>
      </c>
      <c r="M420" s="5" t="n">
        <v>1</v>
      </c>
      <c r="N420" s="5" t="n">
        <v>1</v>
      </c>
      <c r="O420" s="5" t="n">
        <v>1</v>
      </c>
      <c r="P420" s="5" t="n">
        <v>0</v>
      </c>
      <c r="Q420" s="5" t="n">
        <v>1</v>
      </c>
      <c r="R420" s="5" t="n">
        <v>1</v>
      </c>
      <c r="S420" s="5" t="n">
        <v>1</v>
      </c>
      <c r="T420" s="5" t="n">
        <v>0</v>
      </c>
      <c r="U420" s="5" t="n">
        <v>0</v>
      </c>
      <c r="V420" s="5" t="n">
        <v>0</v>
      </c>
      <c r="W420" s="5" t="n">
        <f aca="false">SUM(C420:V420)</f>
        <v>8</v>
      </c>
    </row>
    <row r="421" customFormat="false" ht="17.9" hidden="false" customHeight="false" outlineLevel="0" collapsed="false">
      <c r="A421" s="5" t="s">
        <v>455</v>
      </c>
      <c r="B421" s="5" t="s">
        <v>336</v>
      </c>
      <c r="C421" s="5" t="n">
        <v>1</v>
      </c>
      <c r="D421" s="5" t="n">
        <v>0</v>
      </c>
      <c r="E421" s="5" t="n">
        <v>0</v>
      </c>
      <c r="F421" s="5" t="n">
        <v>0</v>
      </c>
      <c r="G421" s="5" t="n">
        <v>1</v>
      </c>
      <c r="H421" s="5" t="n">
        <v>0</v>
      </c>
      <c r="I421" s="5" t="n">
        <v>0</v>
      </c>
      <c r="J421" s="5" t="n">
        <v>0</v>
      </c>
      <c r="K421" s="5" t="n">
        <v>1</v>
      </c>
      <c r="L421" s="5" t="n">
        <v>0</v>
      </c>
      <c r="M421" s="5" t="n">
        <v>0</v>
      </c>
      <c r="N421" s="5" t="n">
        <v>0</v>
      </c>
      <c r="O421" s="5" t="n">
        <v>0</v>
      </c>
      <c r="P421" s="5" t="n">
        <v>0</v>
      </c>
      <c r="Q421" s="5" t="n">
        <v>1</v>
      </c>
      <c r="R421" s="5" t="n">
        <v>0</v>
      </c>
      <c r="S421" s="5" t="n">
        <v>0</v>
      </c>
      <c r="T421" s="5" t="n">
        <v>0</v>
      </c>
      <c r="U421" s="5" t="n">
        <v>0</v>
      </c>
      <c r="V421" s="5" t="n">
        <v>0</v>
      </c>
      <c r="W421" s="5" t="n">
        <f aca="false">SUM(C421:V421)</f>
        <v>4</v>
      </c>
    </row>
    <row r="422" customFormat="false" ht="17.9" hidden="false" customHeight="false" outlineLevel="0" collapsed="false">
      <c r="A422" s="5" t="s">
        <v>456</v>
      </c>
      <c r="B422" s="5" t="s">
        <v>336</v>
      </c>
      <c r="C422" s="5" t="n">
        <v>0</v>
      </c>
      <c r="D422" s="5" t="n">
        <v>0</v>
      </c>
      <c r="E422" s="5" t="n">
        <v>0</v>
      </c>
      <c r="F422" s="5" t="n">
        <v>0</v>
      </c>
      <c r="G422" s="5" t="n">
        <v>0</v>
      </c>
      <c r="H422" s="5" t="n">
        <v>0</v>
      </c>
      <c r="I422" s="5" t="n">
        <v>0</v>
      </c>
      <c r="J422" s="5" t="n">
        <v>0</v>
      </c>
      <c r="K422" s="5" t="n">
        <v>0</v>
      </c>
      <c r="L422" s="5" t="n">
        <v>0</v>
      </c>
      <c r="M422" s="5" t="n">
        <v>0</v>
      </c>
      <c r="N422" s="5" t="n">
        <v>1</v>
      </c>
      <c r="O422" s="5" t="n">
        <v>0</v>
      </c>
      <c r="P422" s="5" t="n">
        <v>0</v>
      </c>
      <c r="Q422" s="5" t="n">
        <v>0</v>
      </c>
      <c r="R422" s="5" t="n">
        <v>0</v>
      </c>
      <c r="S422" s="5" t="n">
        <v>0</v>
      </c>
      <c r="T422" s="5" t="n">
        <v>0</v>
      </c>
      <c r="U422" s="5" t="n">
        <v>0</v>
      </c>
      <c r="V422" s="5" t="n">
        <v>0</v>
      </c>
      <c r="W422" s="5" t="n">
        <f aca="false">SUM(C422:V422)</f>
        <v>1</v>
      </c>
    </row>
    <row r="423" customFormat="false" ht="17.9" hidden="false" customHeight="false" outlineLevel="0" collapsed="false">
      <c r="A423" s="5" t="s">
        <v>457</v>
      </c>
      <c r="B423" s="5" t="s">
        <v>336</v>
      </c>
      <c r="C423" s="5" t="n">
        <v>1</v>
      </c>
      <c r="D423" s="5" t="n">
        <v>1</v>
      </c>
      <c r="E423" s="5" t="n">
        <v>1</v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1</v>
      </c>
      <c r="L423" s="5" t="n">
        <v>0</v>
      </c>
      <c r="M423" s="5" t="n">
        <v>0</v>
      </c>
      <c r="N423" s="5" t="n">
        <v>1</v>
      </c>
      <c r="O423" s="5" t="n">
        <v>1</v>
      </c>
      <c r="P423" s="5" t="n">
        <v>0</v>
      </c>
      <c r="Q423" s="5" t="n">
        <v>1</v>
      </c>
      <c r="R423" s="5" t="n">
        <v>1</v>
      </c>
      <c r="S423" s="5" t="n">
        <v>1</v>
      </c>
      <c r="T423" s="5" t="n">
        <v>1</v>
      </c>
      <c r="U423" s="5" t="n">
        <v>0</v>
      </c>
      <c r="V423" s="5" t="n">
        <v>0</v>
      </c>
      <c r="W423" s="5" t="n">
        <f aca="false">SUM(C423:V423)</f>
        <v>10</v>
      </c>
    </row>
    <row r="424" customFormat="false" ht="17.9" hidden="false" customHeight="false" outlineLevel="0" collapsed="false">
      <c r="A424" s="5" t="s">
        <v>458</v>
      </c>
      <c r="B424" s="5" t="s">
        <v>336</v>
      </c>
      <c r="C424" s="5" t="n">
        <v>0</v>
      </c>
      <c r="D424" s="5" t="n">
        <v>1</v>
      </c>
      <c r="E424" s="5" t="n">
        <v>0</v>
      </c>
      <c r="F424" s="5" t="n">
        <v>0</v>
      </c>
      <c r="G424" s="5" t="n">
        <v>0</v>
      </c>
      <c r="H424" s="5" t="n">
        <v>1</v>
      </c>
      <c r="I424" s="5" t="n">
        <v>1</v>
      </c>
      <c r="J424" s="5" t="n">
        <v>0</v>
      </c>
      <c r="K424" s="5" t="n">
        <v>1</v>
      </c>
      <c r="L424" s="5" t="n">
        <v>0</v>
      </c>
      <c r="M424" s="5" t="n">
        <v>0</v>
      </c>
      <c r="N424" s="5" t="n">
        <v>1</v>
      </c>
      <c r="O424" s="5" t="n">
        <v>1</v>
      </c>
      <c r="P424" s="5" t="n">
        <v>0</v>
      </c>
      <c r="Q424" s="5" t="n">
        <v>0</v>
      </c>
      <c r="R424" s="5" t="n">
        <v>1</v>
      </c>
      <c r="S424" s="5" t="n">
        <v>1</v>
      </c>
      <c r="T424" s="5" t="n">
        <v>1</v>
      </c>
      <c r="U424" s="5" t="n">
        <v>0</v>
      </c>
      <c r="V424" s="5" t="n">
        <v>0</v>
      </c>
      <c r="W424" s="5" t="n">
        <f aca="false">SUM(C424:V424)</f>
        <v>9</v>
      </c>
    </row>
    <row r="425" customFormat="false" ht="17.9" hidden="false" customHeight="false" outlineLevel="0" collapsed="false">
      <c r="A425" s="5" t="s">
        <v>459</v>
      </c>
      <c r="B425" s="5" t="s">
        <v>336</v>
      </c>
      <c r="C425" s="5" t="n">
        <v>1</v>
      </c>
      <c r="D425" s="5" t="n">
        <v>1</v>
      </c>
      <c r="E425" s="5" t="n">
        <v>1</v>
      </c>
      <c r="F425" s="5" t="n">
        <v>0</v>
      </c>
      <c r="G425" s="5" t="n">
        <v>1</v>
      </c>
      <c r="H425" s="5" t="n">
        <v>0</v>
      </c>
      <c r="I425" s="5" t="n">
        <v>0</v>
      </c>
      <c r="J425" s="5" t="n">
        <v>0</v>
      </c>
      <c r="K425" s="5" t="n">
        <v>1</v>
      </c>
      <c r="L425" s="5" t="n">
        <v>0</v>
      </c>
      <c r="M425" s="5" t="n">
        <v>1</v>
      </c>
      <c r="N425" s="5" t="n">
        <v>1</v>
      </c>
      <c r="O425" s="5" t="n">
        <v>1</v>
      </c>
      <c r="P425" s="5" t="n">
        <v>0</v>
      </c>
      <c r="Q425" s="5" t="n">
        <v>1</v>
      </c>
      <c r="R425" s="5" t="n">
        <v>1</v>
      </c>
      <c r="S425" s="5" t="n">
        <v>1</v>
      </c>
      <c r="T425" s="5" t="n">
        <v>1</v>
      </c>
      <c r="U425" s="5" t="n">
        <v>0</v>
      </c>
      <c r="V425" s="5" t="n">
        <v>0</v>
      </c>
      <c r="W425" s="5" t="n">
        <f aca="false">SUM(C425:V425)</f>
        <v>12</v>
      </c>
    </row>
    <row r="426" customFormat="false" ht="17.9" hidden="false" customHeight="false" outlineLevel="0" collapsed="false">
      <c r="A426" s="5" t="s">
        <v>460</v>
      </c>
      <c r="B426" s="5" t="s">
        <v>336</v>
      </c>
      <c r="C426" s="5" t="n">
        <v>0</v>
      </c>
      <c r="D426" s="5" t="n">
        <v>1</v>
      </c>
      <c r="E426" s="5" t="n">
        <v>0</v>
      </c>
      <c r="F426" s="5" t="n">
        <v>0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0</v>
      </c>
      <c r="L426" s="5" t="n">
        <v>0</v>
      </c>
      <c r="M426" s="5" t="n">
        <v>0</v>
      </c>
      <c r="N426" s="5" t="n">
        <v>1</v>
      </c>
      <c r="O426" s="5" t="n">
        <v>1</v>
      </c>
      <c r="P426" s="5" t="n">
        <v>0</v>
      </c>
      <c r="Q426" s="5" t="n">
        <v>1</v>
      </c>
      <c r="R426" s="5" t="n">
        <v>0</v>
      </c>
      <c r="S426" s="5" t="n">
        <v>1</v>
      </c>
      <c r="T426" s="5" t="n">
        <v>0</v>
      </c>
      <c r="U426" s="5" t="n">
        <v>0</v>
      </c>
      <c r="V426" s="5" t="n">
        <v>0</v>
      </c>
      <c r="W426" s="5" t="n">
        <f aca="false">SUM(C426:V426)</f>
        <v>5</v>
      </c>
    </row>
    <row r="427" customFormat="false" ht="17.9" hidden="false" customHeight="false" outlineLevel="0" collapsed="false">
      <c r="A427" s="5" t="s">
        <v>461</v>
      </c>
      <c r="B427" s="5" t="s">
        <v>336</v>
      </c>
      <c r="C427" s="5" t="n">
        <v>1</v>
      </c>
      <c r="D427" s="5" t="n">
        <v>1</v>
      </c>
      <c r="E427" s="5" t="n">
        <v>1</v>
      </c>
      <c r="F427" s="5" t="n">
        <v>1</v>
      </c>
      <c r="G427" s="5" t="n">
        <v>1</v>
      </c>
      <c r="H427" s="5" t="n">
        <v>0</v>
      </c>
      <c r="I427" s="5" t="n">
        <v>1</v>
      </c>
      <c r="J427" s="5" t="n">
        <v>1</v>
      </c>
      <c r="K427" s="5" t="n">
        <v>1</v>
      </c>
      <c r="L427" s="5" t="n">
        <v>1</v>
      </c>
      <c r="M427" s="5" t="n">
        <v>1</v>
      </c>
      <c r="N427" s="5" t="n">
        <v>1</v>
      </c>
      <c r="O427" s="5" t="n">
        <v>0</v>
      </c>
      <c r="P427" s="5" t="n">
        <v>1</v>
      </c>
      <c r="Q427" s="5" t="n">
        <v>1</v>
      </c>
      <c r="R427" s="5" t="n">
        <v>1</v>
      </c>
      <c r="S427" s="5" t="n">
        <v>1</v>
      </c>
      <c r="T427" s="5" t="n">
        <v>1</v>
      </c>
      <c r="U427" s="5" t="n">
        <v>1</v>
      </c>
      <c r="V427" s="5" t="n">
        <v>1</v>
      </c>
      <c r="W427" s="5" t="n">
        <f aca="false">SUM(C427:V427)</f>
        <v>18</v>
      </c>
    </row>
    <row r="428" customFormat="false" ht="17.9" hidden="false" customHeight="false" outlineLevel="0" collapsed="false">
      <c r="A428" s="5" t="s">
        <v>462</v>
      </c>
      <c r="B428" s="5" t="s">
        <v>336</v>
      </c>
      <c r="C428" s="5" t="n">
        <v>1</v>
      </c>
      <c r="D428" s="5" t="n">
        <v>1</v>
      </c>
      <c r="E428" s="5" t="n">
        <v>1</v>
      </c>
      <c r="F428" s="5" t="n">
        <v>0</v>
      </c>
      <c r="G428" s="5" t="n">
        <v>0</v>
      </c>
      <c r="H428" s="5" t="n">
        <v>1</v>
      </c>
      <c r="I428" s="5" t="n">
        <v>1</v>
      </c>
      <c r="J428" s="5" t="n">
        <v>0</v>
      </c>
      <c r="K428" s="5" t="n">
        <v>1</v>
      </c>
      <c r="L428" s="5" t="n">
        <v>1</v>
      </c>
      <c r="M428" s="5" t="n">
        <v>0</v>
      </c>
      <c r="N428" s="5" t="n">
        <v>1</v>
      </c>
      <c r="O428" s="5" t="n">
        <v>1</v>
      </c>
      <c r="P428" s="5" t="n">
        <v>0</v>
      </c>
      <c r="Q428" s="5" t="n">
        <v>1</v>
      </c>
      <c r="R428" s="5" t="n">
        <v>1</v>
      </c>
      <c r="S428" s="5" t="n">
        <v>1</v>
      </c>
      <c r="T428" s="5" t="n">
        <v>1</v>
      </c>
      <c r="U428" s="5" t="n">
        <v>0</v>
      </c>
      <c r="V428" s="5" t="n">
        <v>0</v>
      </c>
      <c r="W428" s="5" t="n">
        <f aca="false">SUM(C428:V428)</f>
        <v>13</v>
      </c>
    </row>
    <row r="429" customFormat="false" ht="17.9" hidden="false" customHeight="false" outlineLevel="0" collapsed="false">
      <c r="A429" s="5" t="s">
        <v>463</v>
      </c>
      <c r="B429" s="5" t="s">
        <v>336</v>
      </c>
      <c r="C429" s="5" t="n">
        <v>0</v>
      </c>
      <c r="D429" s="5" t="n">
        <v>0</v>
      </c>
      <c r="E429" s="5" t="n">
        <v>0</v>
      </c>
      <c r="F429" s="5" t="n">
        <v>0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0</v>
      </c>
      <c r="L429" s="5" t="n">
        <v>0</v>
      </c>
      <c r="M429" s="5" t="n">
        <v>0</v>
      </c>
      <c r="N429" s="5" t="n">
        <v>1</v>
      </c>
      <c r="O429" s="5" t="n">
        <v>0</v>
      </c>
      <c r="P429" s="5" t="n">
        <v>0</v>
      </c>
      <c r="Q429" s="5" t="n">
        <v>0</v>
      </c>
      <c r="R429" s="5" t="n">
        <v>0</v>
      </c>
      <c r="S429" s="5" t="n">
        <v>1</v>
      </c>
      <c r="T429" s="5" t="n">
        <v>0</v>
      </c>
      <c r="U429" s="5" t="n">
        <v>0</v>
      </c>
      <c r="V429" s="5" t="n">
        <v>0</v>
      </c>
      <c r="W429" s="5" t="n">
        <f aca="false">SUM(C429:V429)</f>
        <v>2</v>
      </c>
    </row>
    <row r="430" customFormat="false" ht="17.9" hidden="false" customHeight="false" outlineLevel="0" collapsed="false">
      <c r="A430" s="5" t="s">
        <v>464</v>
      </c>
      <c r="B430" s="5" t="s">
        <v>336</v>
      </c>
      <c r="C430" s="5" t="n">
        <v>1</v>
      </c>
      <c r="D430" s="5" t="n">
        <v>1</v>
      </c>
      <c r="E430" s="5" t="n">
        <v>1</v>
      </c>
      <c r="F430" s="5" t="n">
        <v>1</v>
      </c>
      <c r="G430" s="5" t="n">
        <v>1</v>
      </c>
      <c r="H430" s="5" t="n">
        <v>1</v>
      </c>
      <c r="I430" s="5" t="n">
        <v>1</v>
      </c>
      <c r="J430" s="5" t="n">
        <v>1</v>
      </c>
      <c r="K430" s="5" t="n">
        <v>1</v>
      </c>
      <c r="L430" s="5" t="n">
        <v>1</v>
      </c>
      <c r="M430" s="5" t="n">
        <v>1</v>
      </c>
      <c r="N430" s="5" t="n">
        <v>1</v>
      </c>
      <c r="O430" s="5" t="n">
        <v>0</v>
      </c>
      <c r="P430" s="5" t="n">
        <v>1</v>
      </c>
      <c r="Q430" s="5" t="n">
        <v>1</v>
      </c>
      <c r="R430" s="5" t="n">
        <v>1</v>
      </c>
      <c r="S430" s="5" t="n">
        <v>1</v>
      </c>
      <c r="T430" s="5" t="n">
        <v>1</v>
      </c>
      <c r="U430" s="5" t="n">
        <v>1</v>
      </c>
      <c r="V430" s="5" t="n">
        <v>1</v>
      </c>
      <c r="W430" s="5" t="n">
        <f aca="false">SUM(C430:V430)</f>
        <v>19</v>
      </c>
    </row>
    <row r="431" customFormat="false" ht="17.9" hidden="false" customHeight="false" outlineLevel="0" collapsed="false">
      <c r="A431" s="5" t="s">
        <v>465</v>
      </c>
      <c r="B431" s="5" t="s">
        <v>336</v>
      </c>
      <c r="C431" s="5" t="n">
        <v>1</v>
      </c>
      <c r="D431" s="5" t="n">
        <v>0</v>
      </c>
      <c r="E431" s="5" t="n">
        <v>1</v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1</v>
      </c>
      <c r="L431" s="5" t="n">
        <v>0</v>
      </c>
      <c r="M431" s="5" t="n">
        <v>0</v>
      </c>
      <c r="N431" s="5" t="n">
        <v>1</v>
      </c>
      <c r="O431" s="5" t="n">
        <v>0</v>
      </c>
      <c r="P431" s="5" t="n">
        <v>0</v>
      </c>
      <c r="Q431" s="5" t="n">
        <v>1</v>
      </c>
      <c r="R431" s="5" t="n">
        <v>0</v>
      </c>
      <c r="S431" s="5" t="n">
        <v>1</v>
      </c>
      <c r="T431" s="5" t="n">
        <v>0</v>
      </c>
      <c r="U431" s="5" t="n">
        <v>0</v>
      </c>
      <c r="V431" s="5" t="n">
        <v>1</v>
      </c>
      <c r="W431" s="5" t="n">
        <f aca="false">SUM(C431:V431)</f>
        <v>7</v>
      </c>
    </row>
    <row r="432" customFormat="false" ht="17.9" hidden="false" customHeight="false" outlineLevel="0" collapsed="false">
      <c r="A432" s="5" t="s">
        <v>466</v>
      </c>
      <c r="B432" s="5" t="s">
        <v>336</v>
      </c>
      <c r="C432" s="5" t="n">
        <v>0</v>
      </c>
      <c r="D432" s="5" t="n">
        <v>1</v>
      </c>
      <c r="E432" s="5" t="n">
        <v>0</v>
      </c>
      <c r="F432" s="5" t="n">
        <v>0</v>
      </c>
      <c r="G432" s="5" t="n">
        <v>0</v>
      </c>
      <c r="H432" s="5" t="n">
        <v>0</v>
      </c>
      <c r="I432" s="5" t="n">
        <v>0</v>
      </c>
      <c r="J432" s="5" t="n">
        <v>0</v>
      </c>
      <c r="K432" s="5" t="n">
        <v>0</v>
      </c>
      <c r="L432" s="5" t="n">
        <v>0</v>
      </c>
      <c r="M432" s="5" t="n">
        <v>0</v>
      </c>
      <c r="N432" s="5" t="n">
        <v>1</v>
      </c>
      <c r="O432" s="5" t="n">
        <v>0</v>
      </c>
      <c r="P432" s="5" t="n">
        <v>0</v>
      </c>
      <c r="Q432" s="5" t="n">
        <v>1</v>
      </c>
      <c r="R432" s="5" t="n">
        <v>0</v>
      </c>
      <c r="S432" s="5" t="n">
        <v>0</v>
      </c>
      <c r="T432" s="5" t="n">
        <v>1</v>
      </c>
      <c r="U432" s="5" t="n">
        <v>0</v>
      </c>
      <c r="V432" s="5" t="n">
        <v>0</v>
      </c>
      <c r="W432" s="5" t="n">
        <f aca="false">SUM(C432:V432)</f>
        <v>4</v>
      </c>
    </row>
    <row r="433" customFormat="false" ht="17.9" hidden="false" customHeight="false" outlineLevel="0" collapsed="false">
      <c r="A433" s="5" t="s">
        <v>467</v>
      </c>
      <c r="B433" s="5" t="s">
        <v>336</v>
      </c>
      <c r="C433" s="5" t="n">
        <v>0</v>
      </c>
      <c r="D433" s="5" t="n">
        <v>0</v>
      </c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1</v>
      </c>
      <c r="L433" s="5" t="n">
        <v>0</v>
      </c>
      <c r="M433" s="5" t="n">
        <v>0</v>
      </c>
      <c r="N433" s="5" t="n">
        <v>1</v>
      </c>
      <c r="O433" s="5" t="n">
        <v>0</v>
      </c>
      <c r="P433" s="5" t="n">
        <v>0</v>
      </c>
      <c r="Q433" s="5" t="n">
        <v>1</v>
      </c>
      <c r="R433" s="5" t="n">
        <v>0</v>
      </c>
      <c r="S433" s="5" t="n">
        <v>1</v>
      </c>
      <c r="T433" s="5" t="n">
        <v>0</v>
      </c>
      <c r="U433" s="5" t="n">
        <v>0</v>
      </c>
      <c r="V433" s="5" t="n">
        <v>0</v>
      </c>
      <c r="W433" s="5" t="n">
        <f aca="false">SUM(C433:V433)</f>
        <v>4</v>
      </c>
    </row>
    <row r="434" customFormat="false" ht="17.9" hidden="false" customHeight="false" outlineLevel="0" collapsed="false">
      <c r="A434" s="5" t="s">
        <v>468</v>
      </c>
      <c r="B434" s="5" t="s">
        <v>336</v>
      </c>
      <c r="C434" s="5" t="n">
        <v>0</v>
      </c>
      <c r="D434" s="5" t="n">
        <v>0</v>
      </c>
      <c r="E434" s="5" t="n">
        <v>0</v>
      </c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0</v>
      </c>
      <c r="K434" s="5" t="n">
        <v>0</v>
      </c>
      <c r="L434" s="5" t="n">
        <v>0</v>
      </c>
      <c r="M434" s="5" t="n">
        <v>0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0</v>
      </c>
      <c r="U434" s="5" t="n">
        <v>0</v>
      </c>
      <c r="V434" s="5" t="n">
        <v>0</v>
      </c>
      <c r="W434" s="5" t="n">
        <f aca="false">SUM(C434:V434)</f>
        <v>0</v>
      </c>
    </row>
    <row r="435" customFormat="false" ht="17.9" hidden="false" customHeight="false" outlineLevel="0" collapsed="false">
      <c r="A435" s="5" t="s">
        <v>469</v>
      </c>
      <c r="B435" s="5" t="s">
        <v>336</v>
      </c>
      <c r="C435" s="5" t="n">
        <v>0</v>
      </c>
      <c r="D435" s="5" t="n">
        <v>0</v>
      </c>
      <c r="E435" s="5" t="n">
        <v>0</v>
      </c>
      <c r="F435" s="5" t="n">
        <v>0</v>
      </c>
      <c r="G435" s="5" t="n">
        <v>0</v>
      </c>
      <c r="H435" s="5" t="n">
        <v>0</v>
      </c>
      <c r="I435" s="5" t="n">
        <v>0</v>
      </c>
      <c r="J435" s="5" t="n">
        <v>0</v>
      </c>
      <c r="K435" s="5" t="n">
        <v>0</v>
      </c>
      <c r="L435" s="5" t="n">
        <v>0</v>
      </c>
      <c r="M435" s="5" t="n">
        <v>0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  <c r="U435" s="5" t="n">
        <v>0</v>
      </c>
      <c r="V435" s="5" t="n">
        <v>0</v>
      </c>
      <c r="W435" s="5" t="n">
        <f aca="false">SUM(C435:V435)</f>
        <v>0</v>
      </c>
    </row>
    <row r="436" customFormat="false" ht="17.9" hidden="false" customHeight="false" outlineLevel="0" collapsed="false">
      <c r="A436" s="5" t="s">
        <v>470</v>
      </c>
      <c r="B436" s="5" t="s">
        <v>336</v>
      </c>
      <c r="C436" s="5" t="n">
        <v>0</v>
      </c>
      <c r="D436" s="5" t="n">
        <v>0</v>
      </c>
      <c r="E436" s="5" t="n">
        <v>1</v>
      </c>
      <c r="F436" s="5" t="n">
        <v>0</v>
      </c>
      <c r="G436" s="5" t="n">
        <v>0</v>
      </c>
      <c r="H436" s="5" t="n">
        <v>1</v>
      </c>
      <c r="I436" s="5" t="n">
        <v>0</v>
      </c>
      <c r="J436" s="5" t="n">
        <v>0</v>
      </c>
      <c r="K436" s="5" t="n">
        <v>0</v>
      </c>
      <c r="L436" s="5" t="n">
        <v>0</v>
      </c>
      <c r="M436" s="5" t="n">
        <v>0</v>
      </c>
      <c r="N436" s="5" t="n">
        <v>1</v>
      </c>
      <c r="O436" s="5" t="n">
        <v>0</v>
      </c>
      <c r="P436" s="5" t="n">
        <v>0</v>
      </c>
      <c r="Q436" s="5" t="n">
        <v>1</v>
      </c>
      <c r="R436" s="5" t="n">
        <v>0</v>
      </c>
      <c r="S436" s="5" t="n">
        <v>1</v>
      </c>
      <c r="T436" s="5" t="n">
        <v>0</v>
      </c>
      <c r="U436" s="5" t="n">
        <v>0</v>
      </c>
      <c r="V436" s="5" t="n">
        <v>0</v>
      </c>
      <c r="W436" s="5" t="n">
        <f aca="false">SUM(C436:V436)</f>
        <v>5</v>
      </c>
    </row>
    <row r="437" customFormat="false" ht="17.9" hidden="false" customHeight="false" outlineLevel="0" collapsed="false">
      <c r="A437" s="5" t="s">
        <v>471</v>
      </c>
      <c r="B437" s="5" t="s">
        <v>336</v>
      </c>
      <c r="C437" s="5" t="n">
        <v>0</v>
      </c>
      <c r="D437" s="5" t="n">
        <v>1</v>
      </c>
      <c r="E437" s="5" t="n">
        <v>1</v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  <c r="L437" s="5" t="n">
        <v>0</v>
      </c>
      <c r="M437" s="5" t="n">
        <v>0</v>
      </c>
      <c r="N437" s="5" t="n">
        <v>1</v>
      </c>
      <c r="O437" s="5" t="n">
        <v>0</v>
      </c>
      <c r="P437" s="5" t="n">
        <v>0</v>
      </c>
      <c r="Q437" s="5" t="n">
        <v>1</v>
      </c>
      <c r="R437" s="5" t="n">
        <v>0</v>
      </c>
      <c r="S437" s="5" t="n">
        <v>1</v>
      </c>
      <c r="T437" s="5" t="n">
        <v>0</v>
      </c>
      <c r="U437" s="5" t="n">
        <v>0</v>
      </c>
      <c r="V437" s="5" t="n">
        <v>0</v>
      </c>
      <c r="W437" s="5" t="n">
        <f aca="false">SUM(C437:V437)</f>
        <v>5</v>
      </c>
    </row>
    <row r="438" customFormat="false" ht="17.9" hidden="false" customHeight="false" outlineLevel="0" collapsed="false">
      <c r="A438" s="5" t="s">
        <v>472</v>
      </c>
      <c r="B438" s="5" t="s">
        <v>336</v>
      </c>
      <c r="C438" s="5" t="n">
        <v>0</v>
      </c>
      <c r="D438" s="5" t="n">
        <v>1</v>
      </c>
      <c r="E438" s="5" t="n">
        <v>1</v>
      </c>
      <c r="F438" s="5" t="n">
        <v>0</v>
      </c>
      <c r="G438" s="5" t="n">
        <v>0</v>
      </c>
      <c r="H438" s="5" t="n">
        <v>0</v>
      </c>
      <c r="I438" s="5" t="n">
        <v>0</v>
      </c>
      <c r="J438" s="5" t="n">
        <v>0</v>
      </c>
      <c r="K438" s="5" t="n">
        <v>0</v>
      </c>
      <c r="L438" s="5" t="n">
        <v>0</v>
      </c>
      <c r="M438" s="5" t="n">
        <v>0</v>
      </c>
      <c r="N438" s="5" t="n">
        <v>1</v>
      </c>
      <c r="O438" s="5" t="n">
        <v>0</v>
      </c>
      <c r="P438" s="5" t="n">
        <v>0</v>
      </c>
      <c r="Q438" s="5" t="n">
        <v>1</v>
      </c>
      <c r="R438" s="5" t="n">
        <v>1</v>
      </c>
      <c r="S438" s="5" t="n">
        <v>1</v>
      </c>
      <c r="T438" s="5" t="n">
        <v>0</v>
      </c>
      <c r="U438" s="5" t="n">
        <v>0</v>
      </c>
      <c r="V438" s="5" t="n">
        <v>0</v>
      </c>
      <c r="W438" s="5" t="n">
        <f aca="false">SUM(C438:V438)</f>
        <v>6</v>
      </c>
    </row>
    <row r="439" customFormat="false" ht="17.9" hidden="false" customHeight="false" outlineLevel="0" collapsed="false">
      <c r="A439" s="5" t="s">
        <v>473</v>
      </c>
      <c r="B439" s="5" t="s">
        <v>336</v>
      </c>
      <c r="C439" s="5" t="n">
        <v>1</v>
      </c>
      <c r="D439" s="5" t="n">
        <v>0</v>
      </c>
      <c r="E439" s="5" t="n">
        <v>1</v>
      </c>
      <c r="F439" s="5" t="n">
        <v>0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1</v>
      </c>
      <c r="L439" s="5" t="n">
        <v>1</v>
      </c>
      <c r="M439" s="5" t="n">
        <v>0</v>
      </c>
      <c r="N439" s="5" t="n">
        <v>1</v>
      </c>
      <c r="O439" s="5" t="n">
        <v>0</v>
      </c>
      <c r="P439" s="5" t="n">
        <v>0</v>
      </c>
      <c r="Q439" s="5" t="n">
        <v>0</v>
      </c>
      <c r="R439" s="5" t="n">
        <v>0</v>
      </c>
      <c r="S439" s="5" t="n">
        <v>1</v>
      </c>
      <c r="T439" s="5" t="n">
        <v>1</v>
      </c>
      <c r="U439" s="5" t="n">
        <v>1</v>
      </c>
      <c r="V439" s="5" t="n">
        <v>0</v>
      </c>
      <c r="W439" s="5" t="n">
        <f aca="false">SUM(C439:V439)</f>
        <v>8</v>
      </c>
    </row>
    <row r="440" customFormat="false" ht="17.9" hidden="false" customHeight="false" outlineLevel="0" collapsed="false">
      <c r="A440" s="5" t="s">
        <v>474</v>
      </c>
      <c r="B440" s="5" t="s">
        <v>336</v>
      </c>
      <c r="C440" s="5" t="n">
        <v>0</v>
      </c>
      <c r="D440" s="5" t="n">
        <v>1</v>
      </c>
      <c r="E440" s="5" t="n">
        <v>1</v>
      </c>
      <c r="F440" s="5" t="n">
        <v>0</v>
      </c>
      <c r="G440" s="5" t="n">
        <v>1</v>
      </c>
      <c r="H440" s="5" t="n">
        <v>0</v>
      </c>
      <c r="I440" s="5" t="n">
        <v>0</v>
      </c>
      <c r="J440" s="5" t="n">
        <v>1</v>
      </c>
      <c r="K440" s="5" t="n">
        <v>1</v>
      </c>
      <c r="L440" s="5" t="n">
        <v>0</v>
      </c>
      <c r="M440" s="5" t="n">
        <v>1</v>
      </c>
      <c r="N440" s="5" t="n">
        <v>1</v>
      </c>
      <c r="O440" s="5" t="n">
        <v>0</v>
      </c>
      <c r="P440" s="5" t="n">
        <v>0</v>
      </c>
      <c r="Q440" s="5" t="n">
        <v>1</v>
      </c>
      <c r="R440" s="5" t="n">
        <v>1</v>
      </c>
      <c r="S440" s="5" t="n">
        <v>1</v>
      </c>
      <c r="T440" s="5" t="n">
        <v>1</v>
      </c>
      <c r="U440" s="5" t="n">
        <v>0</v>
      </c>
      <c r="V440" s="5" t="n">
        <v>0</v>
      </c>
      <c r="W440" s="5" t="n">
        <f aca="false">SUM(C440:V440)</f>
        <v>11</v>
      </c>
    </row>
    <row r="441" customFormat="false" ht="17.9" hidden="false" customHeight="false" outlineLevel="0" collapsed="false">
      <c r="A441" s="5" t="s">
        <v>475</v>
      </c>
      <c r="B441" s="5" t="s">
        <v>336</v>
      </c>
      <c r="C441" s="5" t="n">
        <v>0</v>
      </c>
      <c r="D441" s="5" t="n">
        <v>1</v>
      </c>
      <c r="E441" s="5" t="n">
        <v>1</v>
      </c>
      <c r="F441" s="5" t="n">
        <v>0</v>
      </c>
      <c r="G441" s="5" t="n">
        <v>0</v>
      </c>
      <c r="H441" s="5" t="n">
        <v>0</v>
      </c>
      <c r="I441" s="5" t="n">
        <v>0</v>
      </c>
      <c r="J441" s="5" t="n">
        <v>1</v>
      </c>
      <c r="K441" s="5" t="n">
        <v>1</v>
      </c>
      <c r="L441" s="5" t="n">
        <v>0</v>
      </c>
      <c r="M441" s="5" t="n">
        <v>1</v>
      </c>
      <c r="N441" s="5" t="n">
        <v>1</v>
      </c>
      <c r="O441" s="5" t="n">
        <v>1</v>
      </c>
      <c r="P441" s="5" t="n">
        <v>0</v>
      </c>
      <c r="Q441" s="5" t="n">
        <v>1</v>
      </c>
      <c r="R441" s="5" t="n">
        <v>1</v>
      </c>
      <c r="S441" s="5" t="n">
        <v>1</v>
      </c>
      <c r="T441" s="5" t="n">
        <v>1</v>
      </c>
      <c r="U441" s="5" t="n">
        <v>1</v>
      </c>
      <c r="V441" s="5" t="n">
        <v>0</v>
      </c>
      <c r="W441" s="5" t="n">
        <f aca="false">SUM(C441:V441)</f>
        <v>12</v>
      </c>
    </row>
    <row r="442" customFormat="false" ht="17.9" hidden="false" customHeight="false" outlineLevel="0" collapsed="false">
      <c r="A442" s="5" t="s">
        <v>476</v>
      </c>
      <c r="B442" s="5" t="s">
        <v>336</v>
      </c>
      <c r="C442" s="5" t="n">
        <v>1</v>
      </c>
      <c r="D442" s="5" t="n">
        <v>0</v>
      </c>
      <c r="E442" s="5" t="n">
        <v>1</v>
      </c>
      <c r="F442" s="5" t="n">
        <v>0</v>
      </c>
      <c r="G442" s="5" t="n">
        <v>1</v>
      </c>
      <c r="H442" s="5" t="n">
        <v>0</v>
      </c>
      <c r="I442" s="5" t="n">
        <v>0</v>
      </c>
      <c r="J442" s="5" t="n">
        <v>0</v>
      </c>
      <c r="K442" s="5" t="n">
        <v>1</v>
      </c>
      <c r="L442" s="5" t="n">
        <v>0</v>
      </c>
      <c r="M442" s="5" t="n">
        <v>1</v>
      </c>
      <c r="N442" s="5" t="n">
        <v>1</v>
      </c>
      <c r="O442" s="5" t="n">
        <v>0</v>
      </c>
      <c r="P442" s="5" t="n">
        <v>0</v>
      </c>
      <c r="Q442" s="5" t="n">
        <v>1</v>
      </c>
      <c r="R442" s="5" t="n">
        <v>0</v>
      </c>
      <c r="S442" s="5" t="n">
        <v>1</v>
      </c>
      <c r="T442" s="5" t="n">
        <v>1</v>
      </c>
      <c r="U442" s="5" t="n">
        <v>1</v>
      </c>
      <c r="V442" s="5" t="n">
        <v>0</v>
      </c>
      <c r="W442" s="5" t="n">
        <f aca="false">SUM(C442:V442)</f>
        <v>10</v>
      </c>
    </row>
    <row r="443" customFormat="false" ht="17.9" hidden="false" customHeight="false" outlineLevel="0" collapsed="false">
      <c r="A443" s="5" t="s">
        <v>477</v>
      </c>
      <c r="B443" s="5" t="s">
        <v>336</v>
      </c>
      <c r="C443" s="5" t="n">
        <v>0</v>
      </c>
      <c r="D443" s="5" t="n">
        <v>0</v>
      </c>
      <c r="E443" s="5" t="n">
        <v>0</v>
      </c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5" t="n">
        <v>0</v>
      </c>
      <c r="M443" s="5" t="n">
        <v>0</v>
      </c>
      <c r="N443" s="5" t="n">
        <v>1</v>
      </c>
      <c r="O443" s="5" t="n">
        <v>0</v>
      </c>
      <c r="P443" s="5" t="n">
        <v>0</v>
      </c>
      <c r="Q443" s="5" t="n">
        <v>1</v>
      </c>
      <c r="R443" s="5" t="n">
        <v>0</v>
      </c>
      <c r="S443" s="5" t="n">
        <v>1</v>
      </c>
      <c r="T443" s="5" t="n">
        <v>0</v>
      </c>
      <c r="U443" s="5" t="n">
        <v>0</v>
      </c>
      <c r="V443" s="5" t="n">
        <v>0</v>
      </c>
      <c r="W443" s="5" t="n">
        <f aca="false">SUM(C443:V443)</f>
        <v>3</v>
      </c>
    </row>
    <row r="444" customFormat="false" ht="17.9" hidden="false" customHeight="false" outlineLevel="0" collapsed="false">
      <c r="A444" s="5" t="s">
        <v>478</v>
      </c>
      <c r="B444" s="5" t="s">
        <v>336</v>
      </c>
      <c r="C444" s="5" t="n">
        <v>1</v>
      </c>
      <c r="D444" s="5" t="n">
        <v>1</v>
      </c>
      <c r="E444" s="5" t="n">
        <v>1</v>
      </c>
      <c r="F444" s="5" t="n">
        <v>0</v>
      </c>
      <c r="G444" s="5" t="n">
        <v>0</v>
      </c>
      <c r="H444" s="5" t="n">
        <v>1</v>
      </c>
      <c r="I444" s="5" t="n">
        <v>0</v>
      </c>
      <c r="J444" s="5" t="n">
        <v>0</v>
      </c>
      <c r="K444" s="5" t="n">
        <v>1</v>
      </c>
      <c r="L444" s="5" t="n">
        <v>1</v>
      </c>
      <c r="M444" s="5" t="n">
        <v>1</v>
      </c>
      <c r="N444" s="5" t="n">
        <v>1</v>
      </c>
      <c r="O444" s="5" t="n">
        <v>0</v>
      </c>
      <c r="P444" s="5" t="n">
        <v>0</v>
      </c>
      <c r="Q444" s="5" t="n">
        <v>1</v>
      </c>
      <c r="R444" s="5" t="n">
        <v>1</v>
      </c>
      <c r="S444" s="5" t="n">
        <v>1</v>
      </c>
      <c r="T444" s="5" t="n">
        <v>0</v>
      </c>
      <c r="U444" s="5" t="n">
        <v>0</v>
      </c>
      <c r="V444" s="5" t="n">
        <v>0</v>
      </c>
      <c r="W444" s="5" t="n">
        <f aca="false">SUM(C444:V444)</f>
        <v>11</v>
      </c>
    </row>
    <row r="445" customFormat="false" ht="17.9" hidden="false" customHeight="false" outlineLevel="0" collapsed="false">
      <c r="A445" s="5" t="s">
        <v>479</v>
      </c>
      <c r="B445" s="5" t="s">
        <v>336</v>
      </c>
      <c r="C445" s="5" t="n">
        <v>1</v>
      </c>
      <c r="D445" s="5" t="n">
        <v>1</v>
      </c>
      <c r="E445" s="5" t="n">
        <v>1</v>
      </c>
      <c r="F445" s="5" t="n">
        <v>0</v>
      </c>
      <c r="G445" s="5" t="n">
        <v>1</v>
      </c>
      <c r="H445" s="5" t="n">
        <v>1</v>
      </c>
      <c r="I445" s="5" t="n">
        <v>1</v>
      </c>
      <c r="J445" s="5" t="n">
        <v>0</v>
      </c>
      <c r="K445" s="5" t="n">
        <v>1</v>
      </c>
      <c r="L445" s="5" t="n">
        <v>1</v>
      </c>
      <c r="M445" s="5" t="n">
        <v>1</v>
      </c>
      <c r="N445" s="5" t="n">
        <v>1</v>
      </c>
      <c r="O445" s="5" t="n">
        <v>1</v>
      </c>
      <c r="P445" s="5" t="n">
        <v>1</v>
      </c>
      <c r="Q445" s="5" t="n">
        <v>1</v>
      </c>
      <c r="R445" s="5" t="n">
        <v>1</v>
      </c>
      <c r="S445" s="5" t="n">
        <v>1</v>
      </c>
      <c r="T445" s="5" t="n">
        <v>1</v>
      </c>
      <c r="U445" s="5" t="n">
        <v>1</v>
      </c>
      <c r="V445" s="5" t="n">
        <v>1</v>
      </c>
      <c r="W445" s="5" t="n">
        <f aca="false">SUM(C445:V445)</f>
        <v>18</v>
      </c>
    </row>
    <row r="446" customFormat="false" ht="17.9" hidden="false" customHeight="false" outlineLevel="0" collapsed="false">
      <c r="A446" s="5" t="s">
        <v>480</v>
      </c>
      <c r="B446" s="5" t="s">
        <v>336</v>
      </c>
      <c r="C446" s="5" t="n">
        <v>0</v>
      </c>
      <c r="D446" s="5" t="n">
        <v>0</v>
      </c>
      <c r="E446" s="5" t="n">
        <v>0</v>
      </c>
      <c r="F446" s="5" t="n">
        <v>0</v>
      </c>
      <c r="G446" s="5" t="n">
        <v>0</v>
      </c>
      <c r="H446" s="5" t="n">
        <v>0</v>
      </c>
      <c r="I446" s="5" t="n">
        <v>0</v>
      </c>
      <c r="J446" s="5" t="n">
        <v>0</v>
      </c>
      <c r="K446" s="5" t="n">
        <v>0</v>
      </c>
      <c r="L446" s="5" t="n">
        <v>0</v>
      </c>
      <c r="M446" s="5" t="n">
        <v>0</v>
      </c>
      <c r="N446" s="5" t="n">
        <v>1</v>
      </c>
      <c r="O446" s="5" t="n">
        <v>1</v>
      </c>
      <c r="P446" s="5" t="n">
        <v>0</v>
      </c>
      <c r="Q446" s="5" t="n">
        <v>0</v>
      </c>
      <c r="R446" s="5" t="n">
        <v>0</v>
      </c>
      <c r="S446" s="5" t="n">
        <v>0</v>
      </c>
      <c r="T446" s="5" t="n">
        <v>0</v>
      </c>
      <c r="U446" s="5" t="n">
        <v>0</v>
      </c>
      <c r="V446" s="5" t="n">
        <v>0</v>
      </c>
      <c r="W446" s="5" t="n">
        <f aca="false">SUM(C446:V446)</f>
        <v>2</v>
      </c>
    </row>
    <row r="447" customFormat="false" ht="17.9" hidden="false" customHeight="false" outlineLevel="0" collapsed="false">
      <c r="A447" s="5" t="s">
        <v>481</v>
      </c>
      <c r="B447" s="5" t="s">
        <v>336</v>
      </c>
      <c r="C447" s="5" t="n">
        <v>1</v>
      </c>
      <c r="D447" s="5" t="n">
        <v>0</v>
      </c>
      <c r="E447" s="5" t="n">
        <v>1</v>
      </c>
      <c r="F447" s="5" t="n">
        <v>0</v>
      </c>
      <c r="G447" s="5" t="n">
        <v>1</v>
      </c>
      <c r="H447" s="5" t="n">
        <v>0</v>
      </c>
      <c r="I447" s="5" t="n">
        <v>0</v>
      </c>
      <c r="J447" s="5" t="n">
        <v>0</v>
      </c>
      <c r="K447" s="5" t="n">
        <v>1</v>
      </c>
      <c r="L447" s="5" t="n">
        <v>1</v>
      </c>
      <c r="M447" s="5" t="n">
        <v>1</v>
      </c>
      <c r="N447" s="5" t="n">
        <v>1</v>
      </c>
      <c r="O447" s="5" t="n">
        <v>1</v>
      </c>
      <c r="P447" s="5" t="n">
        <v>0</v>
      </c>
      <c r="Q447" s="5" t="n">
        <v>1</v>
      </c>
      <c r="R447" s="5" t="n">
        <v>1</v>
      </c>
      <c r="S447" s="5" t="n">
        <v>1</v>
      </c>
      <c r="T447" s="5" t="n">
        <v>1</v>
      </c>
      <c r="U447" s="5" t="n">
        <v>0</v>
      </c>
      <c r="V447" s="5" t="n">
        <v>1</v>
      </c>
      <c r="W447" s="5" t="n">
        <f aca="false">SUM(C447:V447)</f>
        <v>13</v>
      </c>
    </row>
    <row r="448" customFormat="false" ht="17.9" hidden="false" customHeight="false" outlineLevel="0" collapsed="false">
      <c r="A448" s="5" t="s">
        <v>482</v>
      </c>
      <c r="B448" s="5" t="s">
        <v>336</v>
      </c>
      <c r="C448" s="5" t="n">
        <v>1</v>
      </c>
      <c r="D448" s="5" t="n">
        <v>1</v>
      </c>
      <c r="E448" s="5" t="n">
        <v>1</v>
      </c>
      <c r="F448" s="5" t="n">
        <v>1</v>
      </c>
      <c r="G448" s="5" t="n">
        <v>1</v>
      </c>
      <c r="H448" s="5" t="n">
        <v>1</v>
      </c>
      <c r="I448" s="5" t="n">
        <v>1</v>
      </c>
      <c r="J448" s="5" t="n">
        <v>1</v>
      </c>
      <c r="K448" s="5" t="n">
        <v>1</v>
      </c>
      <c r="L448" s="5" t="n">
        <v>1</v>
      </c>
      <c r="M448" s="5" t="n">
        <v>1</v>
      </c>
      <c r="N448" s="5" t="n">
        <v>1</v>
      </c>
      <c r="O448" s="5" t="n">
        <v>1</v>
      </c>
      <c r="P448" s="5" t="n">
        <v>1</v>
      </c>
      <c r="Q448" s="5" t="n">
        <v>1</v>
      </c>
      <c r="R448" s="5" t="n">
        <v>1</v>
      </c>
      <c r="S448" s="5" t="n">
        <v>1</v>
      </c>
      <c r="T448" s="5" t="n">
        <v>1</v>
      </c>
      <c r="U448" s="5" t="n">
        <v>1</v>
      </c>
      <c r="V448" s="5" t="n">
        <v>1</v>
      </c>
      <c r="W448" s="5" t="n">
        <f aca="false">SUM(C448:V448)</f>
        <v>20</v>
      </c>
    </row>
    <row r="449" customFormat="false" ht="17.9" hidden="false" customHeight="false" outlineLevel="0" collapsed="false">
      <c r="A449" s="5" t="s">
        <v>483</v>
      </c>
      <c r="B449" s="5" t="s">
        <v>336</v>
      </c>
      <c r="C449" s="5" t="n">
        <v>1</v>
      </c>
      <c r="D449" s="5" t="n">
        <v>0</v>
      </c>
      <c r="E449" s="5" t="n">
        <v>1</v>
      </c>
      <c r="F449" s="5" t="n">
        <v>1</v>
      </c>
      <c r="G449" s="5" t="n">
        <v>1</v>
      </c>
      <c r="H449" s="5" t="n">
        <v>1</v>
      </c>
      <c r="I449" s="5" t="n">
        <v>1</v>
      </c>
      <c r="J449" s="5" t="n">
        <v>0</v>
      </c>
      <c r="K449" s="5" t="n">
        <v>1</v>
      </c>
      <c r="L449" s="5" t="n">
        <v>1</v>
      </c>
      <c r="M449" s="5" t="n">
        <v>1</v>
      </c>
      <c r="N449" s="5" t="n">
        <v>1</v>
      </c>
      <c r="O449" s="5" t="n">
        <v>1</v>
      </c>
      <c r="P449" s="5" t="n">
        <v>0</v>
      </c>
      <c r="Q449" s="5" t="n">
        <v>1</v>
      </c>
      <c r="R449" s="5" t="n">
        <v>1</v>
      </c>
      <c r="S449" s="5" t="n">
        <v>1</v>
      </c>
      <c r="T449" s="5" t="n">
        <v>1</v>
      </c>
      <c r="U449" s="5" t="n">
        <v>1</v>
      </c>
      <c r="V449" s="5" t="n">
        <v>0</v>
      </c>
      <c r="W449" s="5" t="n">
        <f aca="false">SUM(C449:V449)</f>
        <v>16</v>
      </c>
    </row>
    <row r="450" customFormat="false" ht="17.9" hidden="false" customHeight="false" outlineLevel="0" collapsed="false">
      <c r="A450" s="5" t="s">
        <v>484</v>
      </c>
      <c r="B450" s="5" t="s">
        <v>336</v>
      </c>
      <c r="C450" s="5" t="n">
        <v>0</v>
      </c>
      <c r="D450" s="5" t="n">
        <v>0</v>
      </c>
      <c r="E450" s="5" t="n">
        <v>0</v>
      </c>
      <c r="F450" s="5" t="n">
        <v>0</v>
      </c>
      <c r="G450" s="5" t="n">
        <v>0</v>
      </c>
      <c r="H450" s="5" t="n">
        <v>0</v>
      </c>
      <c r="I450" s="5" t="n">
        <v>0</v>
      </c>
      <c r="J450" s="5" t="n">
        <v>0</v>
      </c>
      <c r="K450" s="5" t="n">
        <v>0</v>
      </c>
      <c r="L450" s="5" t="n">
        <v>0</v>
      </c>
      <c r="M450" s="5" t="n">
        <v>0</v>
      </c>
      <c r="N450" s="5" t="n">
        <v>0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0</v>
      </c>
      <c r="T450" s="5" t="n">
        <v>0</v>
      </c>
      <c r="U450" s="5" t="n">
        <v>0</v>
      </c>
      <c r="V450" s="5" t="n">
        <v>0</v>
      </c>
      <c r="W450" s="5" t="n">
        <f aca="false">SUM(C450:V450)</f>
        <v>0</v>
      </c>
    </row>
    <row r="451" customFormat="false" ht="17.9" hidden="false" customHeight="false" outlineLevel="0" collapsed="false">
      <c r="A451" s="5" t="s">
        <v>485</v>
      </c>
      <c r="B451" s="5" t="s">
        <v>336</v>
      </c>
      <c r="C451" s="5" t="n">
        <v>0</v>
      </c>
      <c r="D451" s="5" t="n">
        <v>0</v>
      </c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0</v>
      </c>
      <c r="J451" s="5" t="n">
        <v>0</v>
      </c>
      <c r="K451" s="5" t="n">
        <v>0</v>
      </c>
      <c r="L451" s="5" t="n">
        <v>0</v>
      </c>
      <c r="M451" s="5" t="n">
        <v>0</v>
      </c>
      <c r="N451" s="5" t="n">
        <v>1</v>
      </c>
      <c r="O451" s="5" t="n">
        <v>0</v>
      </c>
      <c r="P451" s="5" t="n">
        <v>0</v>
      </c>
      <c r="Q451" s="5" t="n">
        <v>1</v>
      </c>
      <c r="R451" s="5" t="n">
        <v>0</v>
      </c>
      <c r="S451" s="5" t="n">
        <v>1</v>
      </c>
      <c r="T451" s="5" t="n">
        <v>0</v>
      </c>
      <c r="U451" s="5" t="n">
        <v>0</v>
      </c>
      <c r="V451" s="5" t="n">
        <v>0</v>
      </c>
      <c r="W451" s="5" t="n">
        <f aca="false">SUM(C451:V451)</f>
        <v>3</v>
      </c>
    </row>
    <row r="452" customFormat="false" ht="17.9" hidden="false" customHeight="false" outlineLevel="0" collapsed="false">
      <c r="A452" s="5" t="s">
        <v>486</v>
      </c>
      <c r="B452" s="5" t="s">
        <v>336</v>
      </c>
      <c r="C452" s="5" t="n">
        <v>1</v>
      </c>
      <c r="D452" s="5" t="n">
        <v>1</v>
      </c>
      <c r="E452" s="5" t="n">
        <v>0</v>
      </c>
      <c r="F452" s="5" t="n">
        <v>1</v>
      </c>
      <c r="G452" s="5" t="n">
        <v>1</v>
      </c>
      <c r="H452" s="5" t="n">
        <v>1</v>
      </c>
      <c r="I452" s="5" t="n">
        <v>1</v>
      </c>
      <c r="J452" s="5" t="n">
        <v>0</v>
      </c>
      <c r="K452" s="5" t="n">
        <v>1</v>
      </c>
      <c r="L452" s="5" t="n">
        <v>0</v>
      </c>
      <c r="M452" s="5" t="n">
        <v>0</v>
      </c>
      <c r="N452" s="5" t="n">
        <v>1</v>
      </c>
      <c r="O452" s="5" t="n">
        <v>0</v>
      </c>
      <c r="P452" s="5" t="n">
        <v>0</v>
      </c>
      <c r="Q452" s="5" t="n">
        <v>1</v>
      </c>
      <c r="R452" s="5" t="n">
        <v>1</v>
      </c>
      <c r="S452" s="5" t="n">
        <v>1</v>
      </c>
      <c r="T452" s="5" t="n">
        <v>0</v>
      </c>
      <c r="U452" s="5" t="n">
        <v>1</v>
      </c>
      <c r="V452" s="5" t="n">
        <v>0</v>
      </c>
      <c r="W452" s="5" t="n">
        <f aca="false">SUM(C452:V452)</f>
        <v>12</v>
      </c>
    </row>
    <row r="453" customFormat="false" ht="17.9" hidden="false" customHeight="false" outlineLevel="0" collapsed="false">
      <c r="A453" s="5" t="s">
        <v>487</v>
      </c>
      <c r="B453" s="5" t="s">
        <v>336</v>
      </c>
      <c r="C453" s="5" t="n">
        <v>0</v>
      </c>
      <c r="D453" s="5" t="n">
        <v>0</v>
      </c>
      <c r="E453" s="5" t="n">
        <v>0</v>
      </c>
      <c r="F453" s="5" t="n">
        <v>0</v>
      </c>
      <c r="G453" s="5" t="n">
        <v>0</v>
      </c>
      <c r="H453" s="5" t="n">
        <v>0</v>
      </c>
      <c r="I453" s="5" t="n">
        <v>1</v>
      </c>
      <c r="J453" s="5" t="n">
        <v>0</v>
      </c>
      <c r="K453" s="5" t="n">
        <v>1</v>
      </c>
      <c r="L453" s="5" t="n">
        <v>0</v>
      </c>
      <c r="M453" s="5" t="n">
        <v>0</v>
      </c>
      <c r="N453" s="5" t="n">
        <v>1</v>
      </c>
      <c r="O453" s="5" t="n">
        <v>1</v>
      </c>
      <c r="P453" s="5" t="n">
        <v>0</v>
      </c>
      <c r="Q453" s="5" t="n">
        <v>1</v>
      </c>
      <c r="R453" s="5" t="n">
        <v>1</v>
      </c>
      <c r="S453" s="5" t="n">
        <v>1</v>
      </c>
      <c r="T453" s="5" t="n">
        <v>1</v>
      </c>
      <c r="U453" s="5" t="n">
        <v>0</v>
      </c>
      <c r="V453" s="5" t="n">
        <v>0</v>
      </c>
      <c r="W453" s="5" t="n">
        <f aca="false">SUM(C453:V453)</f>
        <v>8</v>
      </c>
    </row>
    <row r="454" customFormat="false" ht="17.9" hidden="false" customHeight="false" outlineLevel="0" collapsed="false">
      <c r="A454" s="5" t="s">
        <v>488</v>
      </c>
      <c r="B454" s="5" t="s">
        <v>336</v>
      </c>
      <c r="C454" s="5" t="n">
        <v>0</v>
      </c>
      <c r="D454" s="5" t="n">
        <v>0</v>
      </c>
      <c r="E454" s="5" t="n">
        <v>0</v>
      </c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0</v>
      </c>
      <c r="K454" s="5" t="n">
        <v>1</v>
      </c>
      <c r="L454" s="5" t="n">
        <v>0</v>
      </c>
      <c r="M454" s="5" t="n">
        <v>0</v>
      </c>
      <c r="N454" s="5" t="n">
        <v>1</v>
      </c>
      <c r="O454" s="5" t="n">
        <v>0</v>
      </c>
      <c r="P454" s="5" t="n">
        <v>0</v>
      </c>
      <c r="Q454" s="5" t="n">
        <v>1</v>
      </c>
      <c r="R454" s="5" t="n">
        <v>0</v>
      </c>
      <c r="S454" s="5" t="n">
        <v>1</v>
      </c>
      <c r="T454" s="5" t="n">
        <v>0</v>
      </c>
      <c r="U454" s="5" t="n">
        <v>0</v>
      </c>
      <c r="V454" s="5" t="n">
        <v>0</v>
      </c>
      <c r="W454" s="5" t="n">
        <f aca="false">SUM(C454:V454)</f>
        <v>4</v>
      </c>
    </row>
    <row r="455" customFormat="false" ht="17.9" hidden="false" customHeight="false" outlineLevel="0" collapsed="false">
      <c r="A455" s="5" t="s">
        <v>489</v>
      </c>
      <c r="B455" s="5" t="s">
        <v>336</v>
      </c>
      <c r="C455" s="5" t="n">
        <v>1</v>
      </c>
      <c r="D455" s="5" t="n">
        <v>1</v>
      </c>
      <c r="E455" s="5" t="n">
        <v>1</v>
      </c>
      <c r="F455" s="5" t="n">
        <v>0</v>
      </c>
      <c r="G455" s="5" t="n">
        <v>1</v>
      </c>
      <c r="H455" s="5" t="n">
        <v>0</v>
      </c>
      <c r="I455" s="5" t="n">
        <v>1</v>
      </c>
      <c r="J455" s="5" t="n">
        <v>0</v>
      </c>
      <c r="K455" s="5" t="n">
        <v>1</v>
      </c>
      <c r="L455" s="5" t="n">
        <v>1</v>
      </c>
      <c r="M455" s="5" t="n">
        <v>1</v>
      </c>
      <c r="N455" s="5" t="n">
        <v>1</v>
      </c>
      <c r="O455" s="5" t="n">
        <v>1</v>
      </c>
      <c r="P455" s="5" t="n">
        <v>0</v>
      </c>
      <c r="Q455" s="5" t="n">
        <v>1</v>
      </c>
      <c r="R455" s="5" t="n">
        <v>1</v>
      </c>
      <c r="S455" s="5" t="n">
        <v>1</v>
      </c>
      <c r="T455" s="5" t="n">
        <v>1</v>
      </c>
      <c r="U455" s="5" t="n">
        <v>1</v>
      </c>
      <c r="V455" s="5" t="n">
        <v>1</v>
      </c>
      <c r="W455" s="5" t="n">
        <f aca="false">SUM(C455:V455)</f>
        <v>16</v>
      </c>
    </row>
    <row r="456" customFormat="false" ht="17.9" hidden="false" customHeight="false" outlineLevel="0" collapsed="false">
      <c r="A456" s="5" t="s">
        <v>490</v>
      </c>
      <c r="B456" s="5" t="s">
        <v>336</v>
      </c>
      <c r="C456" s="5" t="n">
        <v>0</v>
      </c>
      <c r="D456" s="5" t="n">
        <v>1</v>
      </c>
      <c r="E456" s="5" t="n">
        <v>1</v>
      </c>
      <c r="F456" s="5" t="n">
        <v>0</v>
      </c>
      <c r="G456" s="5" t="n">
        <v>0</v>
      </c>
      <c r="H456" s="5" t="n">
        <v>1</v>
      </c>
      <c r="I456" s="5" t="n">
        <v>0</v>
      </c>
      <c r="J456" s="5" t="n">
        <v>0</v>
      </c>
      <c r="K456" s="5" t="n">
        <v>0</v>
      </c>
      <c r="L456" s="5" t="n">
        <v>0</v>
      </c>
      <c r="M456" s="5" t="n">
        <v>0</v>
      </c>
      <c r="N456" s="5" t="n">
        <v>1</v>
      </c>
      <c r="O456" s="5" t="n">
        <v>1</v>
      </c>
      <c r="P456" s="5" t="n">
        <v>0</v>
      </c>
      <c r="Q456" s="5" t="n">
        <v>1</v>
      </c>
      <c r="R456" s="5" t="n">
        <v>0</v>
      </c>
      <c r="S456" s="5" t="n">
        <v>1</v>
      </c>
      <c r="T456" s="5" t="n">
        <v>1</v>
      </c>
      <c r="U456" s="5" t="n">
        <v>0</v>
      </c>
      <c r="V456" s="5" t="n">
        <v>1</v>
      </c>
      <c r="W456" s="5" t="n">
        <f aca="false">SUM(C456:V456)</f>
        <v>9</v>
      </c>
    </row>
    <row r="457" customFormat="false" ht="17.9" hidden="false" customHeight="false" outlineLevel="0" collapsed="false">
      <c r="A457" s="5" t="s">
        <v>491</v>
      </c>
      <c r="B457" s="5" t="s">
        <v>336</v>
      </c>
      <c r="C457" s="5" t="n">
        <v>1</v>
      </c>
      <c r="D457" s="5" t="n">
        <v>1</v>
      </c>
      <c r="E457" s="5" t="n">
        <v>1</v>
      </c>
      <c r="F457" s="5" t="n">
        <v>1</v>
      </c>
      <c r="G457" s="5" t="n">
        <v>1</v>
      </c>
      <c r="H457" s="5" t="n">
        <v>1</v>
      </c>
      <c r="I457" s="5" t="n">
        <v>1</v>
      </c>
      <c r="J457" s="5" t="n">
        <v>1</v>
      </c>
      <c r="K457" s="5" t="n">
        <v>1</v>
      </c>
      <c r="L457" s="5" t="n">
        <v>0</v>
      </c>
      <c r="M457" s="5" t="n">
        <v>1</v>
      </c>
      <c r="N457" s="5" t="n">
        <v>1</v>
      </c>
      <c r="O457" s="5" t="n">
        <v>1</v>
      </c>
      <c r="P457" s="5" t="n">
        <v>1</v>
      </c>
      <c r="Q457" s="5" t="n">
        <v>1</v>
      </c>
      <c r="R457" s="5" t="n">
        <v>1</v>
      </c>
      <c r="S457" s="5" t="n">
        <v>1</v>
      </c>
      <c r="T457" s="5" t="n">
        <v>1</v>
      </c>
      <c r="U457" s="5" t="n">
        <v>1</v>
      </c>
      <c r="V457" s="5" t="n">
        <v>1</v>
      </c>
      <c r="W457" s="5" t="n">
        <f aca="false">SUM(C457:V457)</f>
        <v>19</v>
      </c>
    </row>
    <row r="458" customFormat="false" ht="17.9" hidden="false" customHeight="false" outlineLevel="0" collapsed="false">
      <c r="A458" s="5" t="s">
        <v>492</v>
      </c>
      <c r="B458" s="5" t="s">
        <v>336</v>
      </c>
      <c r="C458" s="5" t="n">
        <v>1</v>
      </c>
      <c r="D458" s="5" t="n">
        <v>1</v>
      </c>
      <c r="E458" s="5" t="n">
        <v>1</v>
      </c>
      <c r="F458" s="5" t="n">
        <v>0</v>
      </c>
      <c r="G458" s="5" t="n">
        <v>1</v>
      </c>
      <c r="H458" s="5" t="n">
        <v>1</v>
      </c>
      <c r="I458" s="5" t="n">
        <v>1</v>
      </c>
      <c r="J458" s="5" t="n">
        <v>0</v>
      </c>
      <c r="K458" s="5" t="n">
        <v>1</v>
      </c>
      <c r="L458" s="5" t="n">
        <v>0</v>
      </c>
      <c r="M458" s="5" t="n">
        <v>1</v>
      </c>
      <c r="N458" s="5" t="n">
        <v>1</v>
      </c>
      <c r="O458" s="5" t="n">
        <v>1</v>
      </c>
      <c r="P458" s="5" t="n">
        <v>1</v>
      </c>
      <c r="Q458" s="5" t="n">
        <v>1</v>
      </c>
      <c r="R458" s="5" t="n">
        <v>1</v>
      </c>
      <c r="S458" s="5" t="n">
        <v>1</v>
      </c>
      <c r="T458" s="5" t="n">
        <v>1</v>
      </c>
      <c r="U458" s="5" t="n">
        <v>0</v>
      </c>
      <c r="V458" s="5" t="n">
        <v>1</v>
      </c>
      <c r="W458" s="5" t="n">
        <f aca="false">SUM(C458:V458)</f>
        <v>16</v>
      </c>
    </row>
    <row r="459" customFormat="false" ht="17.9" hidden="false" customHeight="false" outlineLevel="0" collapsed="false">
      <c r="A459" s="5" t="s">
        <v>493</v>
      </c>
      <c r="B459" s="5" t="s">
        <v>336</v>
      </c>
      <c r="C459" s="5" t="n">
        <v>0</v>
      </c>
      <c r="D459" s="5" t="n">
        <v>1</v>
      </c>
      <c r="E459" s="5" t="n">
        <v>1</v>
      </c>
      <c r="F459" s="5" t="n">
        <v>0</v>
      </c>
      <c r="G459" s="5" t="n">
        <v>1</v>
      </c>
      <c r="H459" s="5" t="n">
        <v>1</v>
      </c>
      <c r="I459" s="5" t="n">
        <v>0</v>
      </c>
      <c r="J459" s="5" t="n">
        <v>1</v>
      </c>
      <c r="K459" s="5" t="n">
        <v>1</v>
      </c>
      <c r="L459" s="5" t="n">
        <v>1</v>
      </c>
      <c r="M459" s="5" t="n">
        <v>1</v>
      </c>
      <c r="N459" s="5" t="n">
        <v>1</v>
      </c>
      <c r="O459" s="5" t="n">
        <v>1</v>
      </c>
      <c r="P459" s="5" t="n">
        <v>0</v>
      </c>
      <c r="Q459" s="5" t="n">
        <v>1</v>
      </c>
      <c r="R459" s="5" t="n">
        <v>0</v>
      </c>
      <c r="S459" s="5" t="n">
        <v>1</v>
      </c>
      <c r="T459" s="5" t="n">
        <v>1</v>
      </c>
      <c r="U459" s="5" t="n">
        <v>1</v>
      </c>
      <c r="V459" s="5" t="n">
        <v>0</v>
      </c>
      <c r="W459" s="5" t="n">
        <f aca="false">SUM(C459:V459)</f>
        <v>14</v>
      </c>
    </row>
    <row r="460" customFormat="false" ht="17.9" hidden="false" customHeight="false" outlineLevel="0" collapsed="false">
      <c r="A460" s="5" t="s">
        <v>494</v>
      </c>
      <c r="B460" s="5" t="s">
        <v>336</v>
      </c>
      <c r="C460" s="5" t="n">
        <v>1</v>
      </c>
      <c r="D460" s="5" t="n">
        <v>1</v>
      </c>
      <c r="E460" s="5" t="n">
        <v>1</v>
      </c>
      <c r="F460" s="5" t="n">
        <v>0</v>
      </c>
      <c r="G460" s="5" t="n">
        <v>1</v>
      </c>
      <c r="H460" s="5" t="n">
        <v>0</v>
      </c>
      <c r="I460" s="5" t="n">
        <v>0</v>
      </c>
      <c r="J460" s="5" t="n">
        <v>1</v>
      </c>
      <c r="K460" s="5" t="n">
        <v>1</v>
      </c>
      <c r="L460" s="5" t="n">
        <v>0</v>
      </c>
      <c r="M460" s="5" t="n">
        <v>1</v>
      </c>
      <c r="N460" s="5" t="n">
        <v>1</v>
      </c>
      <c r="O460" s="5" t="n">
        <v>0</v>
      </c>
      <c r="P460" s="5" t="n">
        <v>0</v>
      </c>
      <c r="Q460" s="5" t="n">
        <v>1</v>
      </c>
      <c r="R460" s="5" t="n">
        <v>1</v>
      </c>
      <c r="S460" s="5" t="n">
        <v>1</v>
      </c>
      <c r="T460" s="5" t="n">
        <v>1</v>
      </c>
      <c r="U460" s="5" t="n">
        <v>0</v>
      </c>
      <c r="V460" s="5" t="n">
        <v>1</v>
      </c>
      <c r="W460" s="5" t="n">
        <f aca="false">SUM(C460:V460)</f>
        <v>13</v>
      </c>
    </row>
    <row r="461" customFormat="false" ht="17.9" hidden="false" customHeight="false" outlineLevel="0" collapsed="false">
      <c r="A461" s="5" t="s">
        <v>495</v>
      </c>
      <c r="B461" s="5" t="s">
        <v>336</v>
      </c>
      <c r="C461" s="5" t="n">
        <v>0</v>
      </c>
      <c r="D461" s="5" t="n">
        <v>0</v>
      </c>
      <c r="E461" s="5" t="n">
        <v>0</v>
      </c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5" t="n">
        <v>0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1</v>
      </c>
      <c r="R461" s="5" t="n">
        <v>0</v>
      </c>
      <c r="S461" s="5" t="n">
        <v>0</v>
      </c>
      <c r="T461" s="5" t="n">
        <v>0</v>
      </c>
      <c r="U461" s="5" t="n">
        <v>0</v>
      </c>
      <c r="V461" s="5" t="n">
        <v>0</v>
      </c>
      <c r="W461" s="5" t="n">
        <f aca="false">SUM(C461:V461)</f>
        <v>1</v>
      </c>
    </row>
    <row r="462" customFormat="false" ht="17.9" hidden="false" customHeight="false" outlineLevel="0" collapsed="false">
      <c r="A462" s="5" t="s">
        <v>496</v>
      </c>
      <c r="B462" s="5" t="s">
        <v>336</v>
      </c>
      <c r="C462" s="5" t="n">
        <v>0</v>
      </c>
      <c r="D462" s="5" t="n">
        <v>1</v>
      </c>
      <c r="E462" s="5" t="n">
        <v>1</v>
      </c>
      <c r="F462" s="5" t="n">
        <v>0</v>
      </c>
      <c r="G462" s="5" t="n">
        <v>1</v>
      </c>
      <c r="H462" s="5" t="n">
        <v>1</v>
      </c>
      <c r="I462" s="5" t="n">
        <v>1</v>
      </c>
      <c r="J462" s="5" t="n">
        <v>1</v>
      </c>
      <c r="K462" s="5" t="n">
        <v>1</v>
      </c>
      <c r="L462" s="5" t="n">
        <v>1</v>
      </c>
      <c r="M462" s="5" t="n">
        <v>1</v>
      </c>
      <c r="N462" s="5" t="n">
        <v>1</v>
      </c>
      <c r="O462" s="5" t="n">
        <v>1</v>
      </c>
      <c r="P462" s="5" t="n">
        <v>1</v>
      </c>
      <c r="Q462" s="5" t="n">
        <v>1</v>
      </c>
      <c r="R462" s="5" t="n">
        <v>1</v>
      </c>
      <c r="S462" s="5" t="n">
        <v>1</v>
      </c>
      <c r="T462" s="5" t="n">
        <v>1</v>
      </c>
      <c r="U462" s="5" t="n">
        <v>1</v>
      </c>
      <c r="V462" s="5" t="n">
        <v>1</v>
      </c>
      <c r="W462" s="5" t="n">
        <f aca="false">SUM(C462:V462)</f>
        <v>18</v>
      </c>
    </row>
    <row r="463" customFormat="false" ht="17.9" hidden="false" customHeight="false" outlineLevel="0" collapsed="false">
      <c r="A463" s="5" t="s">
        <v>497</v>
      </c>
      <c r="B463" s="5" t="s">
        <v>336</v>
      </c>
      <c r="C463" s="5" t="n">
        <v>1</v>
      </c>
      <c r="D463" s="5" t="n">
        <v>1</v>
      </c>
      <c r="E463" s="5" t="n">
        <v>1</v>
      </c>
      <c r="F463" s="5" t="n">
        <v>1</v>
      </c>
      <c r="G463" s="5" t="n">
        <v>1</v>
      </c>
      <c r="H463" s="5" t="n">
        <v>1</v>
      </c>
      <c r="I463" s="5" t="n">
        <v>0</v>
      </c>
      <c r="J463" s="5" t="n">
        <v>0</v>
      </c>
      <c r="K463" s="5" t="n">
        <v>1</v>
      </c>
      <c r="L463" s="5" t="n">
        <v>0</v>
      </c>
      <c r="M463" s="5" t="n">
        <v>1</v>
      </c>
      <c r="N463" s="5" t="n">
        <v>1</v>
      </c>
      <c r="O463" s="5" t="n">
        <v>1</v>
      </c>
      <c r="P463" s="5" t="n">
        <v>1</v>
      </c>
      <c r="Q463" s="5" t="n">
        <v>1</v>
      </c>
      <c r="R463" s="5" t="n">
        <v>1</v>
      </c>
      <c r="S463" s="5" t="n">
        <v>1</v>
      </c>
      <c r="T463" s="5" t="n">
        <v>0</v>
      </c>
      <c r="U463" s="5" t="n">
        <v>1</v>
      </c>
      <c r="V463" s="5" t="n">
        <v>0</v>
      </c>
      <c r="W463" s="5" t="n">
        <f aca="false">SUM(C463:V463)</f>
        <v>15</v>
      </c>
    </row>
    <row r="464" customFormat="false" ht="17.9" hidden="false" customHeight="false" outlineLevel="0" collapsed="false">
      <c r="A464" s="5" t="s">
        <v>498</v>
      </c>
      <c r="B464" s="5" t="s">
        <v>336</v>
      </c>
      <c r="C464" s="5" t="n">
        <v>1</v>
      </c>
      <c r="D464" s="5" t="n">
        <v>1</v>
      </c>
      <c r="E464" s="5" t="n">
        <v>1</v>
      </c>
      <c r="F464" s="5" t="n">
        <v>0</v>
      </c>
      <c r="G464" s="5" t="n">
        <v>0</v>
      </c>
      <c r="H464" s="5" t="n">
        <v>1</v>
      </c>
      <c r="I464" s="5" t="n">
        <v>0</v>
      </c>
      <c r="J464" s="5" t="n">
        <v>1</v>
      </c>
      <c r="K464" s="5" t="n">
        <v>1</v>
      </c>
      <c r="L464" s="5" t="n">
        <v>1</v>
      </c>
      <c r="M464" s="5" t="n">
        <v>0</v>
      </c>
      <c r="N464" s="5" t="n">
        <v>1</v>
      </c>
      <c r="O464" s="5" t="n">
        <v>1</v>
      </c>
      <c r="P464" s="5" t="n">
        <v>0</v>
      </c>
      <c r="Q464" s="5" t="n">
        <v>1</v>
      </c>
      <c r="R464" s="5" t="n">
        <v>1</v>
      </c>
      <c r="S464" s="5" t="n">
        <v>1</v>
      </c>
      <c r="T464" s="5" t="n">
        <v>1</v>
      </c>
      <c r="U464" s="5" t="n">
        <v>1</v>
      </c>
      <c r="V464" s="5" t="n">
        <v>0</v>
      </c>
      <c r="W464" s="5" t="n">
        <f aca="false">SUM(C464:V464)</f>
        <v>14</v>
      </c>
    </row>
    <row r="465" customFormat="false" ht="17.9" hidden="false" customHeight="false" outlineLevel="0" collapsed="false">
      <c r="A465" s="5" t="s">
        <v>499</v>
      </c>
      <c r="B465" s="5" t="s">
        <v>336</v>
      </c>
      <c r="C465" s="5" t="n">
        <v>0</v>
      </c>
      <c r="D465" s="5" t="n">
        <v>1</v>
      </c>
      <c r="E465" s="5" t="n">
        <v>1</v>
      </c>
      <c r="F465" s="5" t="n">
        <v>0</v>
      </c>
      <c r="G465" s="5" t="n">
        <v>1</v>
      </c>
      <c r="H465" s="5" t="n">
        <v>0</v>
      </c>
      <c r="I465" s="5" t="n">
        <v>0</v>
      </c>
      <c r="J465" s="5" t="n">
        <v>0</v>
      </c>
      <c r="K465" s="5" t="n">
        <v>1</v>
      </c>
      <c r="L465" s="5" t="n">
        <v>0</v>
      </c>
      <c r="M465" s="5" t="n">
        <v>1</v>
      </c>
      <c r="N465" s="5" t="n">
        <v>1</v>
      </c>
      <c r="O465" s="5" t="n">
        <v>0</v>
      </c>
      <c r="P465" s="5" t="n">
        <v>0</v>
      </c>
      <c r="Q465" s="5" t="n">
        <v>1</v>
      </c>
      <c r="R465" s="5" t="n">
        <v>0</v>
      </c>
      <c r="S465" s="5" t="n">
        <v>1</v>
      </c>
      <c r="T465" s="5" t="n">
        <v>1</v>
      </c>
      <c r="U465" s="5" t="n">
        <v>1</v>
      </c>
      <c r="V465" s="5" t="n">
        <v>0</v>
      </c>
      <c r="W465" s="5" t="n">
        <f aca="false">SUM(C465:V465)</f>
        <v>10</v>
      </c>
    </row>
    <row r="466" customFormat="false" ht="17.9" hidden="false" customHeight="false" outlineLevel="0" collapsed="false">
      <c r="A466" s="5" t="s">
        <v>500</v>
      </c>
      <c r="B466" s="5" t="s">
        <v>336</v>
      </c>
      <c r="C466" s="5" t="n">
        <v>1</v>
      </c>
      <c r="D466" s="5" t="n">
        <v>1</v>
      </c>
      <c r="E466" s="5" t="n">
        <v>1</v>
      </c>
      <c r="F466" s="5" t="n">
        <v>1</v>
      </c>
      <c r="G466" s="5" t="n">
        <v>1</v>
      </c>
      <c r="H466" s="5" t="n">
        <v>1</v>
      </c>
      <c r="I466" s="5" t="n">
        <v>1</v>
      </c>
      <c r="J466" s="5" t="n">
        <v>1</v>
      </c>
      <c r="K466" s="5" t="n">
        <v>1</v>
      </c>
      <c r="L466" s="5" t="n">
        <v>1</v>
      </c>
      <c r="M466" s="5" t="n">
        <v>1</v>
      </c>
      <c r="N466" s="5" t="n">
        <v>1</v>
      </c>
      <c r="O466" s="5" t="n">
        <v>1</v>
      </c>
      <c r="P466" s="5" t="n">
        <v>1</v>
      </c>
      <c r="Q466" s="5" t="n">
        <v>1</v>
      </c>
      <c r="R466" s="5" t="n">
        <v>1</v>
      </c>
      <c r="S466" s="5" t="n">
        <v>1</v>
      </c>
      <c r="T466" s="5" t="n">
        <v>1</v>
      </c>
      <c r="U466" s="5" t="n">
        <v>1</v>
      </c>
      <c r="V466" s="5" t="n">
        <v>1</v>
      </c>
      <c r="W466" s="5" t="n">
        <f aca="false">SUM(C466:V466)</f>
        <v>20</v>
      </c>
    </row>
    <row r="467" customFormat="false" ht="17.9" hidden="false" customHeight="false" outlineLevel="0" collapsed="false">
      <c r="A467" s="5" t="s">
        <v>501</v>
      </c>
      <c r="B467" s="5" t="s">
        <v>336</v>
      </c>
      <c r="C467" s="5" t="n">
        <v>0</v>
      </c>
      <c r="D467" s="5" t="n">
        <v>0</v>
      </c>
      <c r="E467" s="5" t="n">
        <v>1</v>
      </c>
      <c r="F467" s="5" t="n">
        <v>0</v>
      </c>
      <c r="G467" s="5" t="n">
        <v>0</v>
      </c>
      <c r="H467" s="5" t="n">
        <v>1</v>
      </c>
      <c r="I467" s="5" t="n">
        <v>0</v>
      </c>
      <c r="J467" s="5" t="n">
        <v>1</v>
      </c>
      <c r="K467" s="5" t="n">
        <v>1</v>
      </c>
      <c r="L467" s="5" t="n">
        <v>0</v>
      </c>
      <c r="M467" s="5" t="n">
        <v>0</v>
      </c>
      <c r="N467" s="5" t="n">
        <v>1</v>
      </c>
      <c r="O467" s="5" t="n">
        <v>0</v>
      </c>
      <c r="P467" s="5" t="n">
        <v>0</v>
      </c>
      <c r="Q467" s="5" t="n">
        <v>1</v>
      </c>
      <c r="R467" s="5" t="n">
        <v>1</v>
      </c>
      <c r="S467" s="5" t="n">
        <v>1</v>
      </c>
      <c r="T467" s="5" t="n">
        <v>1</v>
      </c>
      <c r="U467" s="5" t="n">
        <v>0</v>
      </c>
      <c r="V467" s="5" t="n">
        <v>0</v>
      </c>
      <c r="W467" s="5" t="n">
        <f aca="false">SUM(C467:V467)</f>
        <v>9</v>
      </c>
    </row>
    <row r="468" customFormat="false" ht="17.9" hidden="false" customHeight="false" outlineLevel="0" collapsed="false">
      <c r="A468" s="5" t="s">
        <v>502</v>
      </c>
      <c r="B468" s="5" t="s">
        <v>336</v>
      </c>
      <c r="C468" s="5" t="n">
        <v>1</v>
      </c>
      <c r="D468" s="5" t="n">
        <v>1</v>
      </c>
      <c r="E468" s="5" t="n">
        <v>1</v>
      </c>
      <c r="F468" s="5" t="n">
        <v>1</v>
      </c>
      <c r="G468" s="5" t="n">
        <v>1</v>
      </c>
      <c r="H468" s="5" t="n">
        <v>1</v>
      </c>
      <c r="I468" s="5" t="n">
        <v>1</v>
      </c>
      <c r="J468" s="5" t="n">
        <v>1</v>
      </c>
      <c r="K468" s="5" t="n">
        <v>1</v>
      </c>
      <c r="L468" s="5" t="n">
        <v>1</v>
      </c>
      <c r="M468" s="5" t="n">
        <v>1</v>
      </c>
      <c r="N468" s="5" t="n">
        <v>1</v>
      </c>
      <c r="O468" s="5" t="n">
        <v>1</v>
      </c>
      <c r="P468" s="5" t="n">
        <v>0</v>
      </c>
      <c r="Q468" s="5" t="n">
        <v>1</v>
      </c>
      <c r="R468" s="5" t="n">
        <v>1</v>
      </c>
      <c r="S468" s="5" t="n">
        <v>1</v>
      </c>
      <c r="T468" s="5" t="n">
        <v>1</v>
      </c>
      <c r="U468" s="5" t="n">
        <v>1</v>
      </c>
      <c r="V468" s="5" t="n">
        <v>1</v>
      </c>
      <c r="W468" s="5" t="n">
        <f aca="false">SUM(C468:V468)</f>
        <v>19</v>
      </c>
    </row>
    <row r="469" customFormat="false" ht="17.9" hidden="false" customHeight="false" outlineLevel="0" collapsed="false">
      <c r="A469" s="5" t="s">
        <v>503</v>
      </c>
      <c r="B469" s="5" t="s">
        <v>336</v>
      </c>
      <c r="C469" s="5" t="n">
        <v>1</v>
      </c>
      <c r="D469" s="5" t="n">
        <v>1</v>
      </c>
      <c r="E469" s="5" t="n">
        <v>1</v>
      </c>
      <c r="F469" s="5" t="n">
        <v>0</v>
      </c>
      <c r="G469" s="5" t="n">
        <v>1</v>
      </c>
      <c r="H469" s="5" t="n">
        <v>0</v>
      </c>
      <c r="I469" s="5" t="n">
        <v>0</v>
      </c>
      <c r="J469" s="5" t="n">
        <v>0</v>
      </c>
      <c r="K469" s="5" t="n">
        <v>1</v>
      </c>
      <c r="L469" s="5" t="n">
        <v>0</v>
      </c>
      <c r="M469" s="5" t="n">
        <v>1</v>
      </c>
      <c r="N469" s="5" t="n">
        <v>1</v>
      </c>
      <c r="O469" s="5" t="n">
        <v>1</v>
      </c>
      <c r="P469" s="5" t="n">
        <v>0</v>
      </c>
      <c r="Q469" s="5" t="n">
        <v>1</v>
      </c>
      <c r="R469" s="5" t="n">
        <v>1</v>
      </c>
      <c r="S469" s="5" t="n">
        <v>1</v>
      </c>
      <c r="T469" s="5" t="n">
        <v>1</v>
      </c>
      <c r="U469" s="5" t="n">
        <v>1</v>
      </c>
      <c r="V469" s="5" t="n">
        <v>1</v>
      </c>
      <c r="W469" s="5" t="n">
        <f aca="false">SUM(C469:V469)</f>
        <v>14</v>
      </c>
    </row>
    <row r="470" customFormat="false" ht="17.9" hidden="false" customHeight="false" outlineLevel="0" collapsed="false">
      <c r="A470" s="5" t="s">
        <v>504</v>
      </c>
      <c r="B470" s="5" t="s">
        <v>336</v>
      </c>
      <c r="C470" s="5" t="n">
        <v>1</v>
      </c>
      <c r="D470" s="5" t="n">
        <v>1</v>
      </c>
      <c r="E470" s="5" t="n">
        <v>1</v>
      </c>
      <c r="F470" s="5" t="n">
        <v>0</v>
      </c>
      <c r="G470" s="5" t="n">
        <v>0</v>
      </c>
      <c r="H470" s="5" t="n">
        <v>0</v>
      </c>
      <c r="I470" s="5" t="n">
        <v>1</v>
      </c>
      <c r="J470" s="5" t="n">
        <v>0</v>
      </c>
      <c r="K470" s="5" t="n">
        <v>1</v>
      </c>
      <c r="L470" s="5" t="n">
        <v>0</v>
      </c>
      <c r="M470" s="5" t="n">
        <v>0</v>
      </c>
      <c r="N470" s="5" t="n">
        <v>1</v>
      </c>
      <c r="O470" s="5" t="n">
        <v>1</v>
      </c>
      <c r="P470" s="5" t="n">
        <v>0</v>
      </c>
      <c r="Q470" s="5" t="n">
        <v>1</v>
      </c>
      <c r="R470" s="5" t="n">
        <v>1</v>
      </c>
      <c r="S470" s="5" t="n">
        <v>1</v>
      </c>
      <c r="T470" s="5" t="n">
        <v>0</v>
      </c>
      <c r="U470" s="5" t="n">
        <v>1</v>
      </c>
      <c r="V470" s="5" t="n">
        <v>1</v>
      </c>
      <c r="W470" s="5" t="n">
        <f aca="false">SUM(C470:V470)</f>
        <v>12</v>
      </c>
    </row>
    <row r="471" customFormat="false" ht="17.9" hidden="false" customHeight="false" outlineLevel="0" collapsed="false">
      <c r="A471" s="5" t="s">
        <v>505</v>
      </c>
      <c r="B471" s="5" t="s">
        <v>336</v>
      </c>
      <c r="C471" s="5" t="n">
        <v>1</v>
      </c>
      <c r="D471" s="5" t="n">
        <v>1</v>
      </c>
      <c r="E471" s="5" t="n">
        <v>1</v>
      </c>
      <c r="F471" s="5" t="n">
        <v>0</v>
      </c>
      <c r="G471" s="5" t="n">
        <v>0</v>
      </c>
      <c r="H471" s="5" t="n">
        <v>0</v>
      </c>
      <c r="I471" s="5" t="n">
        <v>1</v>
      </c>
      <c r="J471" s="5" t="n">
        <v>0</v>
      </c>
      <c r="K471" s="5" t="n">
        <v>1</v>
      </c>
      <c r="L471" s="5" t="n">
        <v>0</v>
      </c>
      <c r="M471" s="5" t="n">
        <v>0</v>
      </c>
      <c r="N471" s="5" t="n">
        <v>1</v>
      </c>
      <c r="O471" s="5" t="n">
        <v>1</v>
      </c>
      <c r="P471" s="5" t="n">
        <v>0</v>
      </c>
      <c r="Q471" s="5" t="n">
        <v>1</v>
      </c>
      <c r="R471" s="5" t="n">
        <v>0</v>
      </c>
      <c r="S471" s="5" t="n">
        <v>1</v>
      </c>
      <c r="T471" s="5" t="n">
        <v>0</v>
      </c>
      <c r="U471" s="5" t="n">
        <v>0</v>
      </c>
      <c r="V471" s="5" t="n">
        <v>0</v>
      </c>
      <c r="W471" s="5" t="n">
        <f aca="false">SUM(C471:V471)</f>
        <v>9</v>
      </c>
    </row>
    <row r="472" customFormat="false" ht="17.9" hidden="false" customHeight="false" outlineLevel="0" collapsed="false">
      <c r="A472" s="5" t="s">
        <v>506</v>
      </c>
      <c r="B472" s="5" t="s">
        <v>336</v>
      </c>
      <c r="C472" s="5" t="n">
        <v>0</v>
      </c>
      <c r="D472" s="5" t="n">
        <v>0</v>
      </c>
      <c r="E472" s="5" t="n">
        <v>0</v>
      </c>
      <c r="F472" s="5" t="n">
        <v>0</v>
      </c>
      <c r="G472" s="5" t="n">
        <v>0</v>
      </c>
      <c r="H472" s="5" t="n">
        <v>0</v>
      </c>
      <c r="I472" s="5" t="n">
        <v>0</v>
      </c>
      <c r="J472" s="5" t="n">
        <v>0</v>
      </c>
      <c r="K472" s="5" t="n">
        <v>0</v>
      </c>
      <c r="L472" s="5" t="n">
        <v>0</v>
      </c>
      <c r="M472" s="5" t="n">
        <v>0</v>
      </c>
      <c r="N472" s="5" t="n">
        <v>1</v>
      </c>
      <c r="O472" s="5" t="n">
        <v>0</v>
      </c>
      <c r="P472" s="5" t="n">
        <v>0</v>
      </c>
      <c r="Q472" s="5" t="n">
        <v>0</v>
      </c>
      <c r="R472" s="5" t="n">
        <v>0</v>
      </c>
      <c r="S472" s="5" t="n">
        <v>0</v>
      </c>
      <c r="T472" s="5" t="n">
        <v>0</v>
      </c>
      <c r="U472" s="5" t="n">
        <v>0</v>
      </c>
      <c r="V472" s="5" t="n">
        <v>0</v>
      </c>
      <c r="W472" s="5" t="n">
        <f aca="false">SUM(C472:V472)</f>
        <v>1</v>
      </c>
    </row>
    <row r="473" customFormat="false" ht="17.9" hidden="false" customHeight="false" outlineLevel="0" collapsed="false">
      <c r="A473" s="5" t="s">
        <v>507</v>
      </c>
      <c r="B473" s="5" t="s">
        <v>336</v>
      </c>
      <c r="C473" s="5" t="n">
        <v>0</v>
      </c>
      <c r="D473" s="5" t="n">
        <v>1</v>
      </c>
      <c r="E473" s="5" t="n">
        <v>0</v>
      </c>
      <c r="F473" s="5" t="n">
        <v>0</v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5" t="n">
        <v>0</v>
      </c>
      <c r="M473" s="5" t="n">
        <v>0</v>
      </c>
      <c r="N473" s="5" t="n">
        <v>0</v>
      </c>
      <c r="O473" s="5" t="n">
        <v>0</v>
      </c>
      <c r="P473" s="5" t="n">
        <v>0</v>
      </c>
      <c r="Q473" s="5" t="n">
        <v>0</v>
      </c>
      <c r="R473" s="5" t="n">
        <v>0</v>
      </c>
      <c r="S473" s="5" t="n">
        <v>0</v>
      </c>
      <c r="T473" s="5" t="n">
        <v>0</v>
      </c>
      <c r="U473" s="5" t="n">
        <v>0</v>
      </c>
      <c r="V473" s="5" t="n">
        <v>0</v>
      </c>
      <c r="W473" s="5" t="n">
        <f aca="false">SUM(C473:V473)</f>
        <v>1</v>
      </c>
    </row>
    <row r="474" customFormat="false" ht="17.9" hidden="false" customHeight="false" outlineLevel="0" collapsed="false">
      <c r="A474" s="5" t="s">
        <v>508</v>
      </c>
      <c r="B474" s="5" t="s">
        <v>336</v>
      </c>
      <c r="C474" s="5" t="n">
        <v>1</v>
      </c>
      <c r="D474" s="5" t="n">
        <v>1</v>
      </c>
      <c r="E474" s="5" t="n">
        <v>1</v>
      </c>
      <c r="F474" s="5" t="n">
        <v>1</v>
      </c>
      <c r="G474" s="5" t="n">
        <v>1</v>
      </c>
      <c r="H474" s="5" t="n">
        <v>1</v>
      </c>
      <c r="I474" s="5" t="n">
        <v>1</v>
      </c>
      <c r="J474" s="5" t="n">
        <v>1</v>
      </c>
      <c r="K474" s="5" t="n">
        <v>1</v>
      </c>
      <c r="L474" s="5" t="n">
        <v>1</v>
      </c>
      <c r="M474" s="5" t="n">
        <v>1</v>
      </c>
      <c r="N474" s="5" t="n">
        <v>1</v>
      </c>
      <c r="O474" s="5" t="n">
        <v>1</v>
      </c>
      <c r="P474" s="5" t="n">
        <v>0</v>
      </c>
      <c r="Q474" s="5" t="n">
        <v>1</v>
      </c>
      <c r="R474" s="5" t="n">
        <v>1</v>
      </c>
      <c r="S474" s="5" t="n">
        <v>1</v>
      </c>
      <c r="T474" s="5" t="n">
        <v>1</v>
      </c>
      <c r="U474" s="5" t="n">
        <v>1</v>
      </c>
      <c r="V474" s="5" t="n">
        <v>1</v>
      </c>
      <c r="W474" s="5" t="n">
        <f aca="false">SUM(C474:V474)</f>
        <v>19</v>
      </c>
    </row>
    <row r="475" customFormat="false" ht="17.9" hidden="false" customHeight="false" outlineLevel="0" collapsed="false">
      <c r="A475" s="5" t="s">
        <v>509</v>
      </c>
      <c r="B475" s="5" t="s">
        <v>336</v>
      </c>
      <c r="C475" s="5" t="n">
        <v>1</v>
      </c>
      <c r="D475" s="5" t="n">
        <v>1</v>
      </c>
      <c r="E475" s="5" t="n">
        <v>1</v>
      </c>
      <c r="F475" s="5" t="n">
        <v>1</v>
      </c>
      <c r="G475" s="5" t="n">
        <v>1</v>
      </c>
      <c r="H475" s="5" t="n">
        <v>1</v>
      </c>
      <c r="I475" s="5" t="n">
        <v>1</v>
      </c>
      <c r="J475" s="5" t="n">
        <v>1</v>
      </c>
      <c r="K475" s="5" t="n">
        <v>1</v>
      </c>
      <c r="L475" s="5" t="n">
        <v>1</v>
      </c>
      <c r="M475" s="5" t="n">
        <v>1</v>
      </c>
      <c r="N475" s="5" t="n">
        <v>1</v>
      </c>
      <c r="O475" s="5" t="n">
        <v>1</v>
      </c>
      <c r="P475" s="5" t="n">
        <v>1</v>
      </c>
      <c r="Q475" s="5" t="n">
        <v>1</v>
      </c>
      <c r="R475" s="5" t="n">
        <v>1</v>
      </c>
      <c r="S475" s="5" t="n">
        <v>1</v>
      </c>
      <c r="T475" s="5" t="n">
        <v>1</v>
      </c>
      <c r="U475" s="5" t="n">
        <v>0</v>
      </c>
      <c r="V475" s="5" t="n">
        <v>0</v>
      </c>
      <c r="W475" s="5" t="n">
        <f aca="false">SUM(C475:V475)</f>
        <v>18</v>
      </c>
    </row>
    <row r="476" customFormat="false" ht="17.9" hidden="false" customHeight="false" outlineLevel="0" collapsed="false">
      <c r="A476" s="5" t="s">
        <v>510</v>
      </c>
      <c r="B476" s="5" t="s">
        <v>336</v>
      </c>
      <c r="C476" s="5" t="n">
        <v>1</v>
      </c>
      <c r="D476" s="5" t="n">
        <v>1</v>
      </c>
      <c r="E476" s="5" t="n">
        <v>1</v>
      </c>
      <c r="F476" s="5" t="n">
        <v>1</v>
      </c>
      <c r="G476" s="5" t="n">
        <v>1</v>
      </c>
      <c r="H476" s="5" t="n">
        <v>1</v>
      </c>
      <c r="I476" s="5" t="n">
        <v>1</v>
      </c>
      <c r="J476" s="5" t="n">
        <v>1</v>
      </c>
      <c r="K476" s="5" t="n">
        <v>1</v>
      </c>
      <c r="L476" s="5" t="n">
        <v>1</v>
      </c>
      <c r="M476" s="5" t="n">
        <v>1</v>
      </c>
      <c r="N476" s="5" t="n">
        <v>1</v>
      </c>
      <c r="O476" s="5" t="n">
        <v>1</v>
      </c>
      <c r="P476" s="5" t="n">
        <v>1</v>
      </c>
      <c r="Q476" s="5" t="n">
        <v>1</v>
      </c>
      <c r="R476" s="5" t="n">
        <v>1</v>
      </c>
      <c r="S476" s="5" t="n">
        <v>1</v>
      </c>
      <c r="T476" s="5" t="n">
        <v>1</v>
      </c>
      <c r="U476" s="5" t="n">
        <v>1</v>
      </c>
      <c r="V476" s="5" t="n">
        <v>1</v>
      </c>
      <c r="W476" s="5" t="n">
        <f aca="false">SUM(C476:V476)</f>
        <v>20</v>
      </c>
    </row>
    <row r="477" customFormat="false" ht="17.9" hidden="false" customHeight="false" outlineLevel="0" collapsed="false">
      <c r="A477" s="5" t="s">
        <v>511</v>
      </c>
      <c r="B477" s="5" t="s">
        <v>336</v>
      </c>
      <c r="C477" s="5" t="n">
        <v>1</v>
      </c>
      <c r="D477" s="5" t="n">
        <v>0</v>
      </c>
      <c r="E477" s="5" t="n">
        <v>1</v>
      </c>
      <c r="F477" s="5" t="n">
        <v>0</v>
      </c>
      <c r="G477" s="5" t="n">
        <v>1</v>
      </c>
      <c r="H477" s="5" t="n">
        <v>0</v>
      </c>
      <c r="I477" s="5" t="n">
        <v>0</v>
      </c>
      <c r="J477" s="5" t="n">
        <v>0</v>
      </c>
      <c r="K477" s="5" t="n">
        <v>1</v>
      </c>
      <c r="L477" s="5" t="n">
        <v>0</v>
      </c>
      <c r="M477" s="5" t="n">
        <v>0</v>
      </c>
      <c r="N477" s="5" t="n">
        <v>1</v>
      </c>
      <c r="O477" s="5" t="n">
        <v>1</v>
      </c>
      <c r="P477" s="5" t="n">
        <v>0</v>
      </c>
      <c r="Q477" s="5" t="n">
        <v>1</v>
      </c>
      <c r="R477" s="5" t="n">
        <v>1</v>
      </c>
      <c r="S477" s="5" t="n">
        <v>1</v>
      </c>
      <c r="T477" s="5" t="n">
        <v>0</v>
      </c>
      <c r="U477" s="5" t="n">
        <v>0</v>
      </c>
      <c r="V477" s="5" t="n">
        <v>0</v>
      </c>
      <c r="W477" s="5" t="n">
        <f aca="false">SUM(C477:V477)</f>
        <v>9</v>
      </c>
    </row>
    <row r="478" customFormat="false" ht="17.9" hidden="false" customHeight="false" outlineLevel="0" collapsed="false">
      <c r="A478" s="5" t="s">
        <v>512</v>
      </c>
      <c r="B478" s="5" t="s">
        <v>336</v>
      </c>
      <c r="C478" s="5" t="n">
        <v>1</v>
      </c>
      <c r="D478" s="5" t="n">
        <v>1</v>
      </c>
      <c r="E478" s="5" t="n">
        <v>1</v>
      </c>
      <c r="F478" s="5" t="n">
        <v>0</v>
      </c>
      <c r="G478" s="5" t="n">
        <v>1</v>
      </c>
      <c r="H478" s="5" t="n">
        <v>1</v>
      </c>
      <c r="I478" s="5" t="n">
        <v>0</v>
      </c>
      <c r="J478" s="5" t="n">
        <v>1</v>
      </c>
      <c r="K478" s="5" t="n">
        <v>1</v>
      </c>
      <c r="L478" s="5" t="n">
        <v>1</v>
      </c>
      <c r="M478" s="5" t="n">
        <v>1</v>
      </c>
      <c r="N478" s="5" t="n">
        <v>1</v>
      </c>
      <c r="O478" s="5" t="n">
        <v>1</v>
      </c>
      <c r="P478" s="5" t="n">
        <v>0</v>
      </c>
      <c r="Q478" s="5" t="n">
        <v>1</v>
      </c>
      <c r="R478" s="5" t="n">
        <v>1</v>
      </c>
      <c r="S478" s="5" t="n">
        <v>1</v>
      </c>
      <c r="T478" s="5" t="n">
        <v>1</v>
      </c>
      <c r="U478" s="5" t="n">
        <v>1</v>
      </c>
      <c r="V478" s="5" t="n">
        <v>1</v>
      </c>
      <c r="W478" s="5" t="n">
        <f aca="false">SUM(C478:V478)</f>
        <v>17</v>
      </c>
    </row>
    <row r="479" customFormat="false" ht="17.9" hidden="false" customHeight="false" outlineLevel="0" collapsed="false">
      <c r="A479" s="5" t="s">
        <v>513</v>
      </c>
      <c r="B479" s="5" t="s">
        <v>336</v>
      </c>
      <c r="C479" s="5" t="n">
        <v>0</v>
      </c>
      <c r="D479" s="5" t="n">
        <v>1</v>
      </c>
      <c r="E479" s="5" t="n">
        <v>1</v>
      </c>
      <c r="F479" s="5" t="n">
        <v>0</v>
      </c>
      <c r="G479" s="5" t="n">
        <v>1</v>
      </c>
      <c r="H479" s="5" t="n">
        <v>1</v>
      </c>
      <c r="I479" s="5" t="n">
        <v>0</v>
      </c>
      <c r="J479" s="5" t="n">
        <v>0</v>
      </c>
      <c r="K479" s="5" t="n">
        <v>1</v>
      </c>
      <c r="L479" s="5" t="n">
        <v>0</v>
      </c>
      <c r="M479" s="5" t="n">
        <v>0</v>
      </c>
      <c r="N479" s="5" t="n">
        <v>1</v>
      </c>
      <c r="O479" s="5" t="n">
        <v>0</v>
      </c>
      <c r="P479" s="5" t="n">
        <v>0</v>
      </c>
      <c r="Q479" s="5" t="n">
        <v>1</v>
      </c>
      <c r="R479" s="5" t="n">
        <v>1</v>
      </c>
      <c r="S479" s="5" t="n">
        <v>1</v>
      </c>
      <c r="T479" s="5" t="n">
        <v>0</v>
      </c>
      <c r="U479" s="5" t="n">
        <v>0</v>
      </c>
      <c r="V479" s="5" t="n">
        <v>0</v>
      </c>
      <c r="W479" s="5" t="n">
        <f aca="false">SUM(C479:V479)</f>
        <v>9</v>
      </c>
    </row>
    <row r="480" customFormat="false" ht="17.9" hidden="false" customHeight="false" outlineLevel="0" collapsed="false">
      <c r="A480" s="5" t="s">
        <v>514</v>
      </c>
      <c r="B480" s="5" t="s">
        <v>336</v>
      </c>
      <c r="C480" s="5" t="n">
        <v>1</v>
      </c>
      <c r="D480" s="5" t="n">
        <v>0</v>
      </c>
      <c r="E480" s="5" t="n">
        <v>0</v>
      </c>
      <c r="F480" s="5" t="n">
        <v>0</v>
      </c>
      <c r="G480" s="5" t="n">
        <v>0</v>
      </c>
      <c r="H480" s="5" t="n">
        <v>0</v>
      </c>
      <c r="I480" s="5" t="n">
        <v>1</v>
      </c>
      <c r="J480" s="5" t="n">
        <v>0</v>
      </c>
      <c r="K480" s="5" t="n">
        <v>1</v>
      </c>
      <c r="L480" s="5" t="n">
        <v>0</v>
      </c>
      <c r="M480" s="5" t="n">
        <v>0</v>
      </c>
      <c r="N480" s="5" t="n">
        <v>1</v>
      </c>
      <c r="O480" s="5" t="n">
        <v>0</v>
      </c>
      <c r="P480" s="5" t="n">
        <v>0</v>
      </c>
      <c r="Q480" s="5" t="n">
        <v>1</v>
      </c>
      <c r="R480" s="5" t="n">
        <v>0</v>
      </c>
      <c r="S480" s="5" t="n">
        <v>1</v>
      </c>
      <c r="T480" s="5" t="n">
        <v>1</v>
      </c>
      <c r="U480" s="5" t="n">
        <v>1</v>
      </c>
      <c r="V480" s="5" t="n">
        <v>0</v>
      </c>
      <c r="W480" s="5" t="n">
        <f aca="false">SUM(C480:V480)</f>
        <v>8</v>
      </c>
    </row>
    <row r="481" customFormat="false" ht="17.9" hidden="false" customHeight="false" outlineLevel="0" collapsed="false">
      <c r="A481" s="5" t="s">
        <v>515</v>
      </c>
      <c r="B481" s="5" t="s">
        <v>336</v>
      </c>
      <c r="C481" s="5" t="n">
        <v>1</v>
      </c>
      <c r="D481" s="5" t="n">
        <v>1</v>
      </c>
      <c r="E481" s="5" t="n">
        <v>0</v>
      </c>
      <c r="F481" s="5" t="n">
        <v>1</v>
      </c>
      <c r="G481" s="5" t="n">
        <v>1</v>
      </c>
      <c r="H481" s="5" t="n">
        <v>1</v>
      </c>
      <c r="I481" s="5" t="n">
        <v>0</v>
      </c>
      <c r="J481" s="5" t="n">
        <v>1</v>
      </c>
      <c r="K481" s="5" t="n">
        <v>1</v>
      </c>
      <c r="L481" s="5" t="n">
        <v>1</v>
      </c>
      <c r="M481" s="5" t="n">
        <v>1</v>
      </c>
      <c r="N481" s="5" t="n">
        <v>1</v>
      </c>
      <c r="O481" s="5" t="n">
        <v>0</v>
      </c>
      <c r="P481" s="5" t="n">
        <v>0</v>
      </c>
      <c r="Q481" s="5" t="n">
        <v>1</v>
      </c>
      <c r="R481" s="5" t="n">
        <v>1</v>
      </c>
      <c r="S481" s="5" t="n">
        <v>1</v>
      </c>
      <c r="T481" s="5" t="n">
        <v>1</v>
      </c>
      <c r="U481" s="5" t="n">
        <v>1</v>
      </c>
      <c r="V481" s="5" t="n">
        <v>0</v>
      </c>
      <c r="W481" s="5" t="n">
        <f aca="false">SUM(C481:V481)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7.9" hidden="false" customHeight="false" outlineLevel="0" collapsed="false">
      <c r="A1" s="4" t="s">
        <v>516</v>
      </c>
      <c r="B1" s="4" t="s">
        <v>517</v>
      </c>
      <c r="C1" s="4" t="s">
        <v>518</v>
      </c>
      <c r="D1" s="4" t="s">
        <v>519</v>
      </c>
    </row>
    <row r="2" customFormat="false" ht="17.9" hidden="false" customHeight="false" outlineLevel="0" collapsed="false">
      <c r="A2" s="5" t="s">
        <v>13</v>
      </c>
      <c r="B2" s="6" t="n">
        <f aca="false">AVERAGEIF(البيانات!$B$2:$B$481,"عربية",البيانات!$C$2:$C$481)</f>
        <v>0.51</v>
      </c>
      <c r="C2" s="6" t="n">
        <f aca="false">AVERAGEIF(البيانات!$B$2:$B$481,"غير العربية",البيانات!$C$2:$C$481)</f>
        <v>0.55</v>
      </c>
      <c r="D2" s="6" t="n">
        <f aca="false">C2-B2</f>
        <v>0.04</v>
      </c>
    </row>
    <row r="3" customFormat="false" ht="17.9" hidden="false" customHeight="false" outlineLevel="0" collapsed="false">
      <c r="A3" s="5" t="s">
        <v>14</v>
      </c>
      <c r="B3" s="6" t="n">
        <f aca="false">AVERAGEIF(البيانات!$B$2:$B$481,"عربية",البيانات!$D$2:$D$481)</f>
        <v>0.513333333333333</v>
      </c>
      <c r="C3" s="6" t="n">
        <f aca="false">AVERAGEIF(البيانات!$B$2:$B$481,"غير العربية",البيانات!$D$2:$D$481)</f>
        <v>0.594444444444444</v>
      </c>
      <c r="D3" s="6" t="n">
        <f aca="false">C3-B3</f>
        <v>0.0811111111111111</v>
      </c>
    </row>
    <row r="4" customFormat="false" ht="17.9" hidden="false" customHeight="false" outlineLevel="0" collapsed="false">
      <c r="A4" s="5" t="s">
        <v>15</v>
      </c>
      <c r="B4" s="6" t="n">
        <f aca="false">AVERAGEIF(البيانات!$B$2:$B$481,"عربية",البيانات!$E$2:$E$481)</f>
        <v>0.653333333333333</v>
      </c>
      <c r="C4" s="6" t="n">
        <f aca="false">AVERAGEIF(البيانات!$B$2:$B$481,"غير العربية",البيانات!$E$2:$E$481)</f>
        <v>0.7</v>
      </c>
      <c r="D4" s="6" t="n">
        <f aca="false">C4-B4</f>
        <v>0.0466666666666666</v>
      </c>
    </row>
    <row r="5" customFormat="false" ht="17.9" hidden="false" customHeight="false" outlineLevel="0" collapsed="false">
      <c r="A5" s="5" t="s">
        <v>16</v>
      </c>
      <c r="B5" s="6" t="n">
        <f aca="false">AVERAGEIF(البيانات!$B$2:$B$481,"عربية",البيانات!$F$2:$F$481)</f>
        <v>0.14</v>
      </c>
      <c r="C5" s="6" t="n">
        <f aca="false">AVERAGEIF(البيانات!$B$2:$B$481,"غير العربية",البيانات!$F$2:$F$481)</f>
        <v>0.194444444444444</v>
      </c>
      <c r="D5" s="6" t="n">
        <f aca="false">C5-B5</f>
        <v>0.0544444444444444</v>
      </c>
    </row>
    <row r="6" customFormat="false" ht="17.9" hidden="false" customHeight="false" outlineLevel="0" collapsed="false">
      <c r="A6" s="5" t="s">
        <v>17</v>
      </c>
      <c r="B6" s="6" t="n">
        <f aca="false">AVERAGEIF(البيانات!$B$2:$B$481,"عربية",البيانات!$G$2:$G$481)</f>
        <v>0.323333333333333</v>
      </c>
      <c r="C6" s="6" t="n">
        <f aca="false">AVERAGEIF(البيانات!$B$2:$B$481,"غير العربية",البيانات!$G$2:$G$481)</f>
        <v>0.455555555555556</v>
      </c>
      <c r="D6" s="6" t="n">
        <f aca="false">C6-B6</f>
        <v>0.132222222222222</v>
      </c>
    </row>
    <row r="7" customFormat="false" ht="17.9" hidden="false" customHeight="false" outlineLevel="0" collapsed="false">
      <c r="A7" s="5" t="s">
        <v>18</v>
      </c>
      <c r="B7" s="6" t="n">
        <f aca="false">AVERAGEIF(البيانات!$B$2:$B$481,"عربية",البيانات!$H$2:$H$481)</f>
        <v>0.686666666666667</v>
      </c>
      <c r="C7" s="6" t="n">
        <f aca="false">AVERAGEIF(البيانات!$B$2:$B$481,"غير العربية",البيانات!$H$2:$H$481)</f>
        <v>0.461111111111111</v>
      </c>
      <c r="D7" s="6" t="n">
        <f aca="false">C7-B7</f>
        <v>-0.225555555555556</v>
      </c>
    </row>
    <row r="8" customFormat="false" ht="17.9" hidden="false" customHeight="false" outlineLevel="0" collapsed="false">
      <c r="A8" s="5" t="s">
        <v>19</v>
      </c>
      <c r="B8" s="6" t="n">
        <f aca="false">AVERAGEIF(البيانات!$B$2:$B$481,"عربية",البيانات!$I$2:$I$481)</f>
        <v>0.243333333333333</v>
      </c>
      <c r="C8" s="6" t="n">
        <f aca="false">AVERAGEIF(البيانات!$B$2:$B$481,"غير العربية",البيانات!$I$2:$I$481)</f>
        <v>0.322222222222222</v>
      </c>
      <c r="D8" s="6" t="n">
        <f aca="false">C8-B8</f>
        <v>0.0788888888888889</v>
      </c>
    </row>
    <row r="9" customFormat="false" ht="17.9" hidden="false" customHeight="false" outlineLevel="0" collapsed="false">
      <c r="A9" s="5" t="s">
        <v>20</v>
      </c>
      <c r="B9" s="6" t="n">
        <f aca="false">AVERAGEIF(البيانات!$B$2:$B$481,"عربية",البيانات!$J$2:$J$481)</f>
        <v>0.216666666666667</v>
      </c>
      <c r="C9" s="6" t="n">
        <f aca="false">AVERAGEIF(البيانات!$B$2:$B$481,"غير العربية",البيانات!$J$2:$J$481)</f>
        <v>0.272222222222222</v>
      </c>
      <c r="D9" s="6" t="n">
        <f aca="false">C9-B9</f>
        <v>0.0555555555555555</v>
      </c>
    </row>
    <row r="10" customFormat="false" ht="17.9" hidden="false" customHeight="false" outlineLevel="0" collapsed="false">
      <c r="A10" s="5" t="s">
        <v>21</v>
      </c>
      <c r="B10" s="6" t="n">
        <f aca="false">AVERAGEIF(البيانات!$B$2:$B$481,"عربية",البيانات!$K$2:$K$481)</f>
        <v>0.733333333333333</v>
      </c>
      <c r="C10" s="6" t="n">
        <f aca="false">AVERAGEIF(البيانات!$B$2:$B$481,"غير العربية",البيانات!$K$2:$K$481)</f>
        <v>0.755555555555556</v>
      </c>
      <c r="D10" s="6" t="n">
        <f aca="false">C10-B10</f>
        <v>0.0222222222222223</v>
      </c>
    </row>
    <row r="11" customFormat="false" ht="17.9" hidden="false" customHeight="false" outlineLevel="0" collapsed="false">
      <c r="A11" s="5" t="s">
        <v>22</v>
      </c>
      <c r="B11" s="6" t="n">
        <f aca="false">AVERAGEIF(البيانات!$B$2:$B$481,"عربية",البيانات!$L$2:$L$481)</f>
        <v>0.383333333333333</v>
      </c>
      <c r="C11" s="6" t="n">
        <f aca="false">AVERAGEIF(البيانات!$B$2:$B$481,"غير العربية",البيانات!$L$2:$L$481)</f>
        <v>0.394444444444444</v>
      </c>
      <c r="D11" s="6" t="n">
        <f aca="false">C11-B11</f>
        <v>0.0111111111111111</v>
      </c>
    </row>
    <row r="12" customFormat="false" ht="17.9" hidden="false" customHeight="false" outlineLevel="0" collapsed="false">
      <c r="A12" s="5" t="s">
        <v>23</v>
      </c>
      <c r="B12" s="6" t="n">
        <f aca="false">AVERAGEIF(البيانات!$B$2:$B$481,"عربية",البيانات!$M$2:$M$481)</f>
        <v>0.34</v>
      </c>
      <c r="C12" s="6" t="n">
        <f aca="false">AVERAGEIF(البيانات!$B$2:$B$481,"غير العربية",البيانات!$M$2:$M$481)</f>
        <v>0.483333333333333</v>
      </c>
      <c r="D12" s="6" t="n">
        <f aca="false">C12-B12</f>
        <v>0.143333333333333</v>
      </c>
    </row>
    <row r="13" customFormat="false" ht="17.9" hidden="false" customHeight="false" outlineLevel="0" collapsed="false">
      <c r="A13" s="5" t="s">
        <v>24</v>
      </c>
      <c r="B13" s="6" t="n">
        <f aca="false">AVERAGEIF(البيانات!$B$2:$B$481,"عربية",البيانات!$N$2:$N$481)</f>
        <v>0.873333333333333</v>
      </c>
      <c r="C13" s="6" t="n">
        <f aca="false">AVERAGEIF(البيانات!$B$2:$B$481,"غير العربية",البيانات!$N$2:$N$481)</f>
        <v>0.916666666666667</v>
      </c>
      <c r="D13" s="6" t="n">
        <f aca="false">C13-B13</f>
        <v>0.0433333333333333</v>
      </c>
    </row>
    <row r="14" customFormat="false" ht="17.9" hidden="false" customHeight="false" outlineLevel="0" collapsed="false">
      <c r="A14" s="5" t="s">
        <v>25</v>
      </c>
      <c r="B14" s="6" t="n">
        <f aca="false">AVERAGEIF(البيانات!$B$2:$B$481,"عربية",البيانات!$O$2:$O$481)</f>
        <v>0.433333333333333</v>
      </c>
      <c r="C14" s="6" t="n">
        <f aca="false">AVERAGEIF(البيانات!$B$2:$B$481,"غير العربية",البيانات!$O$2:$O$481)</f>
        <v>0.511111111111111</v>
      </c>
      <c r="D14" s="6" t="n">
        <f aca="false">C14-B14</f>
        <v>0.0777777777777777</v>
      </c>
    </row>
    <row r="15" customFormat="false" ht="17.9" hidden="false" customHeight="false" outlineLevel="0" collapsed="false">
      <c r="A15" s="5" t="s">
        <v>26</v>
      </c>
      <c r="B15" s="6" t="n">
        <f aca="false">AVERAGEIF(البيانات!$B$2:$B$481,"عربية",البيانات!$P$2:$P$481)</f>
        <v>0.283333333333333</v>
      </c>
      <c r="C15" s="6" t="n">
        <f aca="false">AVERAGEIF(البيانات!$B$2:$B$481,"غير العربية",البيانات!$P$2:$P$481)</f>
        <v>0.205555555555556</v>
      </c>
      <c r="D15" s="6" t="n">
        <f aca="false">C15-B15</f>
        <v>-0.0777777777777778</v>
      </c>
    </row>
    <row r="16" customFormat="false" ht="17.9" hidden="false" customHeight="false" outlineLevel="0" collapsed="false">
      <c r="A16" s="5" t="s">
        <v>27</v>
      </c>
      <c r="B16" s="6" t="n">
        <f aca="false">AVERAGEIF(البيانات!$B$2:$B$481,"عربية",البيانات!$Q$2:$Q$481)</f>
        <v>0.886666666666667</v>
      </c>
      <c r="C16" s="6" t="n">
        <f aca="false">AVERAGEIF(البيانات!$B$2:$B$481,"غير العربية",البيانات!$Q$2:$Q$481)</f>
        <v>0.883333333333333</v>
      </c>
      <c r="D16" s="6" t="n">
        <f aca="false">C16-B16</f>
        <v>-0.00333333333333341</v>
      </c>
    </row>
    <row r="17" customFormat="false" ht="17.9" hidden="false" customHeight="false" outlineLevel="0" collapsed="false">
      <c r="A17" s="5" t="s">
        <v>28</v>
      </c>
      <c r="B17" s="6" t="n">
        <f aca="false">AVERAGEIF(البيانات!$B$2:$B$481,"عربية",البيانات!$R$2:$R$481)</f>
        <v>0.52</v>
      </c>
      <c r="C17" s="6" t="n">
        <f aca="false">AVERAGEIF(البيانات!$B$2:$B$481,"غير العربية",البيانات!$R$2:$R$481)</f>
        <v>0.616666666666667</v>
      </c>
      <c r="D17" s="6" t="n">
        <f aca="false">C17-B17</f>
        <v>0.0966666666666667</v>
      </c>
    </row>
    <row r="18" customFormat="false" ht="17.9" hidden="false" customHeight="false" outlineLevel="0" collapsed="false">
      <c r="A18" s="5" t="s">
        <v>29</v>
      </c>
      <c r="B18" s="6" t="n">
        <f aca="false">AVERAGEIF(البيانات!$B$2:$B$481,"عربية",البيانات!$S$2:$S$481)</f>
        <v>0.61</v>
      </c>
      <c r="C18" s="6" t="n">
        <f aca="false">AVERAGEIF(البيانات!$B$2:$B$481,"غير العربية",البيانات!$S$2:$S$481)</f>
        <v>0.85</v>
      </c>
      <c r="D18" s="6" t="n">
        <f aca="false">C18-B18</f>
        <v>0.24</v>
      </c>
    </row>
    <row r="19" customFormat="false" ht="17.9" hidden="false" customHeight="false" outlineLevel="0" collapsed="false">
      <c r="A19" s="5" t="s">
        <v>30</v>
      </c>
      <c r="B19" s="6" t="n">
        <f aca="false">AVERAGEIF(البيانات!$B$2:$B$481,"عربية",البيانات!$T$2:$T$481)</f>
        <v>0.443333333333333</v>
      </c>
      <c r="C19" s="6" t="n">
        <f aca="false">AVERAGEIF(البيانات!$B$2:$B$481,"غير العربية",البيانات!$T$2:$T$481)</f>
        <v>0.544444444444444</v>
      </c>
      <c r="D19" s="6" t="n">
        <f aca="false">C19-B19</f>
        <v>0.101111111111111</v>
      </c>
    </row>
    <row r="20" customFormat="false" ht="17.9" hidden="false" customHeight="false" outlineLevel="0" collapsed="false">
      <c r="A20" s="5" t="s">
        <v>31</v>
      </c>
      <c r="B20" s="6" t="n">
        <f aca="false">AVERAGEIF(البيانات!$B$2:$B$481,"عربية",البيانات!$U$2:$U$481)</f>
        <v>0.3</v>
      </c>
      <c r="C20" s="6" t="n">
        <f aca="false">AVERAGEIF(البيانات!$B$2:$B$481,"غير العربية",البيانات!$U$2:$U$481)</f>
        <v>0.411111111111111</v>
      </c>
      <c r="D20" s="6" t="n">
        <f aca="false">C20-B20</f>
        <v>0.111111111111111</v>
      </c>
    </row>
    <row r="21" customFormat="false" ht="17.9" hidden="false" customHeight="false" outlineLevel="0" collapsed="false">
      <c r="A21" s="5" t="s">
        <v>32</v>
      </c>
      <c r="B21" s="6" t="n">
        <f aca="false">AVERAGEIF(البيانات!$B$2:$B$481,"عربية",البيانات!$V$2:$V$481)</f>
        <v>0.223333333333333</v>
      </c>
      <c r="C21" s="6" t="n">
        <f aca="false">AVERAGEIF(البيانات!$B$2:$B$481,"غير العربية",البيانات!$V$2:$V$481)</f>
        <v>0.283333333333333</v>
      </c>
      <c r="D21" s="6" t="n">
        <f aca="false">C21-B21</f>
        <v>0.06</v>
      </c>
    </row>
    <row r="23" customFormat="false" ht="15" hidden="false" customHeight="false" outlineLevel="0" collapsed="false">
      <c r="A23" s="3" t="s">
        <v>520</v>
      </c>
      <c r="B23" s="7" t="n">
        <f aca="false">AVERAGEIF(البيانات!$B$2:$B$481,"عربية",البيانات!$W$2:$W$481)</f>
        <v>9.31666666666667</v>
      </c>
      <c r="C23" s="7" t="n">
        <f aca="false">AVERAGEIF(البيانات!$B$2:$B$481,"غير العربية",البيانات!$W$2:$W$481)</f>
        <v>10.4055555555556</v>
      </c>
    </row>
    <row r="24" customFormat="false" ht="15" hidden="false" customHeight="false" outlineLevel="0" collapsed="false">
      <c r="A24" s="3" t="s">
        <v>521</v>
      </c>
      <c r="B24" s="8" t="n">
        <f aca="false">COUNTIF(البيانات!$B$2:$B$481,"عربية")</f>
        <v>300</v>
      </c>
      <c r="C24" s="8" t="n">
        <f aca="false">COUNTIF(البيانات!$B$2:$B$481,"غير العربية")</f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2" style="0" width="11"/>
    <col collapsed="false" customWidth="true" hidden="false" outlineLevel="0" max="13" min="13" style="0" width="18"/>
    <col collapsed="false" customWidth="true" hidden="false" outlineLevel="0" max="16" min="14" style="0" width="11"/>
    <col collapsed="false" customWidth="true" hidden="false" outlineLevel="0" max="17" min="17" style="0" width="13"/>
    <col collapsed="false" customWidth="true" hidden="false" outlineLevel="0" max="18" min="18" style="0" width="26"/>
  </cols>
  <sheetData>
    <row r="1" customFormat="false" ht="15" hidden="false" customHeight="false" outlineLevel="0" collapsed="false">
      <c r="A1" s="3" t="s">
        <v>522</v>
      </c>
      <c r="B1" s="9" t="s">
        <v>523</v>
      </c>
      <c r="C1" s="9" t="s">
        <v>524</v>
      </c>
      <c r="D1" s="9" t="s">
        <v>525</v>
      </c>
      <c r="E1" s="9" t="s">
        <v>524</v>
      </c>
      <c r="F1" s="9" t="s">
        <v>526</v>
      </c>
      <c r="G1" s="9" t="s">
        <v>524</v>
      </c>
      <c r="H1" s="9" t="s">
        <v>527</v>
      </c>
      <c r="I1" s="9" t="s">
        <v>524</v>
      </c>
      <c r="J1" s="9" t="s">
        <v>528</v>
      </c>
      <c r="K1" s="9" t="s">
        <v>524</v>
      </c>
      <c r="M1" s="9" t="s">
        <v>529</v>
      </c>
      <c r="N1" s="10" t="n">
        <v>0.05</v>
      </c>
    </row>
    <row r="2" customFormat="false" ht="15" hidden="false" customHeight="false" outlineLevel="0" collapsed="false">
      <c r="B2" s="10" t="n">
        <v>0</v>
      </c>
      <c r="C2" s="10" t="n">
        <v>4</v>
      </c>
      <c r="D2" s="10" t="n">
        <v>5</v>
      </c>
      <c r="E2" s="10" t="n">
        <v>8</v>
      </c>
      <c r="F2" s="10" t="n">
        <v>9</v>
      </c>
      <c r="G2" s="10" t="n">
        <v>12</v>
      </c>
      <c r="H2" s="10" t="n">
        <v>13</v>
      </c>
      <c r="I2" s="10" t="n">
        <v>16</v>
      </c>
      <c r="J2" s="10" t="n">
        <v>17</v>
      </c>
      <c r="K2" s="10" t="n">
        <v>20</v>
      </c>
      <c r="M2" s="9" t="s">
        <v>530</v>
      </c>
      <c r="N2" s="10" t="n">
        <v>0.1</v>
      </c>
    </row>
    <row r="5" customFormat="false" ht="34.3" hidden="false" customHeight="false" outlineLevel="0" collapsed="false">
      <c r="A5" s="4" t="s">
        <v>516</v>
      </c>
      <c r="B5" s="4" t="s">
        <v>531</v>
      </c>
      <c r="C5" s="4" t="s">
        <v>532</v>
      </c>
      <c r="D5" s="4" t="s">
        <v>533</v>
      </c>
      <c r="E5" s="4" t="s">
        <v>534</v>
      </c>
      <c r="F5" s="4" t="s">
        <v>535</v>
      </c>
      <c r="G5" s="4" t="s">
        <v>536</v>
      </c>
      <c r="H5" s="4" t="s">
        <v>537</v>
      </c>
      <c r="I5" s="4" t="s">
        <v>538</v>
      </c>
      <c r="J5" s="4" t="s">
        <v>539</v>
      </c>
      <c r="K5" s="4" t="s">
        <v>540</v>
      </c>
      <c r="L5" s="4" t="s">
        <v>541</v>
      </c>
      <c r="M5" s="4" t="s">
        <v>542</v>
      </c>
      <c r="N5" s="4" t="s">
        <v>543</v>
      </c>
      <c r="O5" s="4" t="s">
        <v>544</v>
      </c>
      <c r="P5" s="4" t="s">
        <v>545</v>
      </c>
      <c r="Q5" s="4" t="s">
        <v>546</v>
      </c>
      <c r="R5" s="4" t="s">
        <v>547</v>
      </c>
    </row>
    <row r="6" customFormat="false" ht="17.9" hidden="false" customHeight="false" outlineLevel="0" collapsed="false">
      <c r="A6" s="5" t="s">
        <v>13</v>
      </c>
      <c r="B6" s="5" t="n">
        <f aca="false">COUNTIFS(البيانات!$B$2:$B$481,"غير العربية",البيانات!$W$2:$W$481,"&gt;="&amp;$B$2,البيانات!$W$2:$W$481,"&lt;="&amp;$C$2)</f>
        <v>36</v>
      </c>
      <c r="C6" s="6" t="n">
        <f aca="false">IFERROR(AVERAGEIFS(البيانات!$C$2:$C$481,البيانات!$B$2:$B$481,"غير العربية",البيانات!$W$2:$W$481,"&gt;="&amp;$B$2,البيانات!$W$2:$W$481,"&lt;="&amp;$C$2),"")</f>
        <v>0.0833333333333333</v>
      </c>
      <c r="D6" s="6" t="n">
        <f aca="false">IFERROR(AVERAGEIFS(البيانات!$C$2:$C$481,البيانات!$B$2:$B$481,"عربية",البيانات!$W$2:$W$481,"&gt;="&amp;$B$2,البيانات!$W$2:$W$481,"&lt;="&amp;$C$2),"")</f>
        <v>0.105263157894737</v>
      </c>
      <c r="E6" s="5" t="n">
        <f aca="false">COUNTIFS(البيانات!$B$2:$B$481,"غير العربية",البيانات!$W$2:$W$481,"&gt;="&amp;$D$2,البيانات!$W$2:$W$481,"&lt;="&amp;$E$2)</f>
        <v>36</v>
      </c>
      <c r="F6" s="6" t="n">
        <f aca="false">IFERROR(AVERAGEIFS(البيانات!$C$2:$C$481,البيانات!$B$2:$B$481,"غير العربية",البيانات!$W$2:$W$481,"&gt;="&amp;$D$2,البيانات!$W$2:$W$481,"&lt;="&amp;$E$2),"")</f>
        <v>0.333333333333333</v>
      </c>
      <c r="G6" s="6" t="n">
        <f aca="false">IFERROR(AVERAGEIFS(البيانات!$C$2:$C$481,البيانات!$B$2:$B$481,"عربية",البيانات!$W$2:$W$481,"&gt;="&amp;$D$2,البيانات!$W$2:$W$481,"&lt;="&amp;$E$2),"")</f>
        <v>0.338461538461539</v>
      </c>
      <c r="H6" s="5" t="n">
        <f aca="false">COUNTIFS(البيانات!$B$2:$B$481,"غير العربية",البيانات!$W$2:$W$481,"&gt;="&amp;$F$2,البيانات!$W$2:$W$481,"&lt;="&amp;$G$2)</f>
        <v>37</v>
      </c>
      <c r="I6" s="6" t="n">
        <f aca="false">IFERROR(AVERAGEIFS(البيانات!$C$2:$C$481,البيانات!$B$2:$B$481,"غير العربية",البيانات!$W$2:$W$481,"&gt;="&amp;$F$2,البيانات!$W$2:$W$481,"&lt;="&amp;$G$2),"")</f>
        <v>0.513513513513514</v>
      </c>
      <c r="J6" s="6" t="n">
        <f aca="false">IFERROR(AVERAGEIFS(البيانات!$C$2:$C$481,البيانات!$B$2:$B$481,"عربية",البيانات!$W$2:$W$481,"&gt;="&amp;$F$2,البيانات!$W$2:$W$481,"&lt;="&amp;$G$2),"")</f>
        <v>0.605633802816901</v>
      </c>
      <c r="K6" s="5" t="n">
        <f aca="false">COUNTIFS(البيانات!$B$2:$B$481,"غير العربية",البيانات!$W$2:$W$481,"&gt;="&amp;$H$2,البيانات!$W$2:$W$481,"&lt;="&amp;$I$2)</f>
        <v>35</v>
      </c>
      <c r="L6" s="6" t="n">
        <f aca="false">IFERROR(AVERAGEIFS(البيانات!$C$2:$C$481,البيانات!$B$2:$B$481,"غير العربية",البيانات!$W$2:$W$481,"&gt;="&amp;$H$2,البيانات!$W$2:$W$481,"&lt;="&amp;$I$2),"")</f>
        <v>0.857142857142857</v>
      </c>
      <c r="M6" s="6" t="n">
        <f aca="false">IFERROR(AVERAGEIFS(البيانات!$C$2:$C$481,البيانات!$B$2:$B$481,"عربية",البيانات!$W$2:$W$481,"&gt;="&amp;$H$2,البيانات!$W$2:$W$481,"&lt;="&amp;$I$2),"")</f>
        <v>0.895833333333333</v>
      </c>
      <c r="N6" s="5" t="n">
        <f aca="false">COUNTIFS(البيانات!$B$2:$B$481,"غير العربية",البيانات!$W$2:$W$481,"&gt;="&amp;$J$2,البيانات!$W$2:$W$481,"&lt;="&amp;$K$2)</f>
        <v>36</v>
      </c>
      <c r="O6" s="6" t="n">
        <f aca="false">IFERROR(AVERAGEIFS(البيانات!$C$2:$C$481,البيانات!$B$2:$B$481,"غير العربية",البيانات!$W$2:$W$481,"&gt;="&amp;$J$2,البيانات!$W$2:$W$481,"&lt;="&amp;$K$2),"")</f>
        <v>0.972222222222222</v>
      </c>
      <c r="P6" s="6" t="n">
        <f aca="false">IFERROR(AVERAGEIFS(البيانات!$C$2:$C$481,البيانات!$B$2:$B$481,"عربية",البيانات!$W$2:$W$481,"&gt;="&amp;$J$2,البيانات!$W$2:$W$481,"&lt;="&amp;$K$2),"")</f>
        <v>0.925</v>
      </c>
      <c r="Q6" s="6" t="n">
        <f aca="false">(IF(AND(ISNUMBER(C6),ISNUMBER(D6)),B6*(C6-D6),0)+IF(AND(ISNUMBER(F6),ISNUMBER(G6)),E6*(F6-G6),0)+IF(AND(ISNUMBER(I6),ISNUMBER(J6)),H6*(I6-J6),0)+IF(AND(ISNUMBER(L6),ISNUMBER(M6)),K6*(L6-M6),0)+IF(AND(ISNUMBER(O6),ISNUMBER(P6)),N6*(O6-P6),0))/(IF(AND(ISNUMBER(C6),ISNUMBER(D6)),B6,0)+IF(AND(ISNUMBER(F6),ISNUMBER(G6)),E6,0)+IF(AND(ISNUMBER(I6),ISNUMBER(J6)),H6,0)+IF(AND(ISNUMBER(L6),ISNUMBER(M6)),K6,0)+IF(AND(ISNUMBER(O6),ISNUMBER(P6)),N6,0))</f>
        <v>-0.0224261468873219</v>
      </c>
      <c r="R6" s="5" t="str">
        <f aca="false">IF(ABS(Q6)&gt;$N$2,IF(Q6&lt;0,"فرق كبير ضد غير العربية","فرق كبير لصالح غير العربية"),IF(ABS(Q6)&gt;=$N$1,"يستحق الفحص","مهمل"))</f>
        <v>مهمل</v>
      </c>
    </row>
    <row r="7" customFormat="false" ht="17.9" hidden="false" customHeight="false" outlineLevel="0" collapsed="false">
      <c r="A7" s="5" t="s">
        <v>14</v>
      </c>
      <c r="B7" s="5" t="n">
        <f aca="false">COUNTIFS(البيانات!$B$2:$B$481,"غير العربية",البيانات!$W$2:$W$481,"&gt;="&amp;$B$2,البيانات!$W$2:$W$481,"&lt;="&amp;$C$2)</f>
        <v>36</v>
      </c>
      <c r="C7" s="6" t="n">
        <f aca="false">IFERROR(AVERAGEIFS(البيانات!$D$2:$D$481,البيانات!$B$2:$B$481,"غير العربية",البيانات!$W$2:$W$481,"&gt;="&amp;$B$2,البيانات!$W$2:$W$481,"&lt;="&amp;$C$2),"")</f>
        <v>0.111111111111111</v>
      </c>
      <c r="D7" s="6" t="n">
        <f aca="false">IFERROR(AVERAGEIFS(البيانات!$D$2:$D$481,البيانات!$B$2:$B$481,"عربية",البيانات!$W$2:$W$481,"&gt;="&amp;$B$2,البيانات!$W$2:$W$481,"&lt;="&amp;$C$2),"")</f>
        <v>0.118421052631579</v>
      </c>
      <c r="E7" s="5" t="n">
        <f aca="false">COUNTIFS(البيانات!$B$2:$B$481,"غير العربية",البيانات!$W$2:$W$481,"&gt;="&amp;$D$2,البيانات!$W$2:$W$481,"&lt;="&amp;$E$2)</f>
        <v>36</v>
      </c>
      <c r="F7" s="6" t="n">
        <f aca="false">IFERROR(AVERAGEIFS(البيانات!$D$2:$D$481,البيانات!$B$2:$B$481,"غير العربية",البيانات!$W$2:$W$481,"&gt;="&amp;$D$2,البيانات!$W$2:$W$481,"&lt;="&amp;$E$2),"")</f>
        <v>0.361111111111111</v>
      </c>
      <c r="G7" s="6" t="n">
        <f aca="false">IFERROR(AVERAGEIFS(البيانات!$D$2:$D$481,البيانات!$B$2:$B$481,"عربية",البيانات!$W$2:$W$481,"&gt;="&amp;$D$2,البيانات!$W$2:$W$481,"&lt;="&amp;$E$2),"")</f>
        <v>0.353846153846154</v>
      </c>
      <c r="H7" s="5" t="n">
        <f aca="false">COUNTIFS(البيانات!$B$2:$B$481,"غير العربية",البيانات!$W$2:$W$481,"&gt;="&amp;$F$2,البيانات!$W$2:$W$481,"&lt;="&amp;$G$2)</f>
        <v>37</v>
      </c>
      <c r="I7" s="6" t="n">
        <f aca="false">IFERROR(AVERAGEIFS(البيانات!$D$2:$D$481,البيانات!$B$2:$B$481,"غير العربية",البيانات!$W$2:$W$481,"&gt;="&amp;$F$2,البيانات!$W$2:$W$481,"&lt;="&amp;$G$2),"")</f>
        <v>0.702702702702703</v>
      </c>
      <c r="J7" s="6" t="n">
        <f aca="false">IFERROR(AVERAGEIFS(البيانات!$D$2:$D$481,البيانات!$B$2:$B$481,"عربية",البيانات!$W$2:$W$481,"&gt;="&amp;$F$2,البيانات!$W$2:$W$481,"&lt;="&amp;$G$2),"")</f>
        <v>0.633802816901409</v>
      </c>
      <c r="K7" s="5" t="n">
        <f aca="false">COUNTIFS(البيانات!$B$2:$B$481,"غير العربية",البيانات!$W$2:$W$481,"&gt;="&amp;$H$2,البيانات!$W$2:$W$481,"&lt;="&amp;$I$2)</f>
        <v>35</v>
      </c>
      <c r="L7" s="6" t="n">
        <f aca="false">IFERROR(AVERAGEIFS(البيانات!$D$2:$D$481,البيانات!$B$2:$B$481,"غير العربية",البيانات!$W$2:$W$481,"&gt;="&amp;$H$2,البيانات!$W$2:$W$481,"&lt;="&amp;$I$2),"")</f>
        <v>0.828571428571429</v>
      </c>
      <c r="M7" s="6" t="n">
        <f aca="false">IFERROR(AVERAGEIFS(البيانات!$D$2:$D$481,البيانات!$B$2:$B$481,"عربية",البيانات!$W$2:$W$481,"&gt;="&amp;$H$2,البيانات!$W$2:$W$481,"&lt;="&amp;$I$2),"")</f>
        <v>0.791666666666667</v>
      </c>
      <c r="N7" s="5" t="n">
        <f aca="false">COUNTIFS(البيانات!$B$2:$B$481,"غير العربية",البيانات!$W$2:$W$481,"&gt;="&amp;$J$2,البيانات!$W$2:$W$481,"&lt;="&amp;$K$2)</f>
        <v>36</v>
      </c>
      <c r="O7" s="6" t="n">
        <f aca="false">IFERROR(AVERAGEIFS(البيانات!$D$2:$D$481,البيانات!$B$2:$B$481,"غير العربية",البيانات!$W$2:$W$481,"&gt;="&amp;$J$2,البيانات!$W$2:$W$481,"&lt;="&amp;$K$2),"")</f>
        <v>0.972222222222222</v>
      </c>
      <c r="P7" s="6" t="n">
        <f aca="false">IFERROR(AVERAGEIFS(البيانات!$D$2:$D$481,البيانات!$B$2:$B$481,"عربية",البيانات!$W$2:$W$481,"&gt;="&amp;$J$2,البيانات!$W$2:$W$481,"&lt;="&amp;$K$2),"")</f>
        <v>0.975</v>
      </c>
      <c r="Q7" s="6" t="n">
        <f aca="false">(IF(AND(ISNUMBER(C7),ISNUMBER(D7)),B7*(C7-D7),0)+IF(AND(ISNUMBER(F7),ISNUMBER(G7)),E7*(F7-G7),0)+IF(AND(ISNUMBER(I7),ISNUMBER(J7)),H7*(I7-J7),0)+IF(AND(ISNUMBER(L7),ISNUMBER(M7)),K7*(L7-M7),0)+IF(AND(ISNUMBER(O7),ISNUMBER(P7)),N7*(O7-P7),0))/(IF(AND(ISNUMBER(C7),ISNUMBER(D7)),B7,0)+IF(AND(ISNUMBER(F7),ISNUMBER(G7)),E7,0)+IF(AND(ISNUMBER(I7),ISNUMBER(J7)),H7,0)+IF(AND(ISNUMBER(L7),ISNUMBER(M7)),K7,0)+IF(AND(ISNUMBER(O7),ISNUMBER(P7)),N7,0))</f>
        <v>0.0207741278228676</v>
      </c>
      <c r="R7" s="5" t="str">
        <f aca="false">IF(ABS(Q7)&gt;$N$2,IF(Q7&lt;0,"فرق كبير ضد غير العربية","فرق كبير لصالح غير العربية"),IF(ABS(Q7)&gt;=$N$1,"يستحق الفحص","مهمل"))</f>
        <v>مهمل</v>
      </c>
    </row>
    <row r="8" customFormat="false" ht="17.9" hidden="false" customHeight="false" outlineLevel="0" collapsed="false">
      <c r="A8" s="5" t="s">
        <v>15</v>
      </c>
      <c r="B8" s="5" t="n">
        <f aca="false">COUNTIFS(البيانات!$B$2:$B$481,"غير العربية",البيانات!$W$2:$W$481,"&gt;="&amp;$B$2,البيانات!$W$2:$W$481,"&lt;="&amp;$C$2)</f>
        <v>36</v>
      </c>
      <c r="C8" s="6" t="n">
        <f aca="false">IFERROR(AVERAGEIFS(البيانات!$E$2:$E$481,البيانات!$B$2:$B$481,"غير العربية",البيانات!$W$2:$W$481,"&gt;="&amp;$B$2,البيانات!$W$2:$W$481,"&lt;="&amp;$C$2),"")</f>
        <v>0.0277777777777778</v>
      </c>
      <c r="D8" s="6" t="n">
        <f aca="false">IFERROR(AVERAGEIFS(البيانات!$E$2:$E$481,البيانات!$B$2:$B$481,"عربية",البيانات!$W$2:$W$481,"&gt;="&amp;$B$2,البيانات!$W$2:$W$481,"&lt;="&amp;$C$2),"")</f>
        <v>0.0921052631578947</v>
      </c>
      <c r="E8" s="5" t="n">
        <f aca="false">COUNTIFS(البيانات!$B$2:$B$481,"غير العربية",البيانات!$W$2:$W$481,"&gt;="&amp;$D$2,البيانات!$W$2:$W$481,"&lt;="&amp;$E$2)</f>
        <v>36</v>
      </c>
      <c r="F8" s="6" t="n">
        <f aca="false">IFERROR(AVERAGEIFS(البيانات!$E$2:$E$481,البيانات!$B$2:$B$481,"غير العربية",البيانات!$W$2:$W$481,"&gt;="&amp;$D$2,البيانات!$W$2:$W$481,"&lt;="&amp;$E$2),"")</f>
        <v>0.611111111111111</v>
      </c>
      <c r="G8" s="6" t="n">
        <f aca="false">IFERROR(AVERAGEIFS(البيانات!$E$2:$E$481,البيانات!$B$2:$B$481,"عربية",البيانات!$W$2:$W$481,"&gt;="&amp;$D$2,البيانات!$W$2:$W$481,"&lt;="&amp;$E$2),"")</f>
        <v>0.661538461538462</v>
      </c>
      <c r="H8" s="5" t="n">
        <f aca="false">COUNTIFS(البيانات!$B$2:$B$481,"غير العربية",البيانات!$W$2:$W$481,"&gt;="&amp;$F$2,البيانات!$W$2:$W$481,"&lt;="&amp;$G$2)</f>
        <v>37</v>
      </c>
      <c r="I8" s="6" t="n">
        <f aca="false">IFERROR(AVERAGEIFS(البيانات!$E$2:$E$481,البيانات!$B$2:$B$481,"غير العربية",البيانات!$W$2:$W$481,"&gt;="&amp;$F$2,البيانات!$W$2:$W$481,"&lt;="&amp;$G$2),"")</f>
        <v>0.891891891891892</v>
      </c>
      <c r="J8" s="6" t="n">
        <f aca="false">IFERROR(AVERAGEIFS(البيانات!$E$2:$E$481,البيانات!$B$2:$B$481,"عربية",البيانات!$W$2:$W$481,"&gt;="&amp;$F$2,البيانات!$W$2:$W$481,"&lt;="&amp;$G$2),"")</f>
        <v>0.845070422535211</v>
      </c>
      <c r="K8" s="5" t="n">
        <f aca="false">COUNTIFS(البيانات!$B$2:$B$481,"غير العربية",البيانات!$W$2:$W$481,"&gt;="&amp;$H$2,البيانات!$W$2:$W$481,"&lt;="&amp;$I$2)</f>
        <v>35</v>
      </c>
      <c r="L8" s="6" t="n">
        <f aca="false">IFERROR(AVERAGEIFS(البيانات!$E$2:$E$481,البيانات!$B$2:$B$481,"غير العربية",البيانات!$W$2:$W$481,"&gt;="&amp;$H$2,البيانات!$W$2:$W$481,"&lt;="&amp;$I$2),"")</f>
        <v>0.971428571428571</v>
      </c>
      <c r="M8" s="6" t="n">
        <f aca="false">IFERROR(AVERAGEIFS(البيانات!$E$2:$E$481,البيانات!$B$2:$B$481,"عربية",البيانات!$W$2:$W$481,"&gt;="&amp;$H$2,البيانات!$W$2:$W$481,"&lt;="&amp;$I$2),"")</f>
        <v>0.979166666666667</v>
      </c>
      <c r="N8" s="5" t="n">
        <f aca="false">COUNTIFS(البيانات!$B$2:$B$481,"غير العربية",البيانات!$W$2:$W$481,"&gt;="&amp;$J$2,البيانات!$W$2:$W$481,"&lt;="&amp;$K$2)</f>
        <v>36</v>
      </c>
      <c r="O8" s="6" t="n">
        <f aca="false">IFERROR(AVERAGEIFS(البيانات!$E$2:$E$481,البيانات!$B$2:$B$481,"غير العربية",البيانات!$W$2:$W$481,"&gt;="&amp;$J$2,البيانات!$W$2:$W$481,"&lt;="&amp;$K$2),"")</f>
        <v>1</v>
      </c>
      <c r="P8" s="6" t="n">
        <f aca="false">IFERROR(AVERAGEIFS(البيانات!$E$2:$E$481,البيانات!$B$2:$B$481,"عربية",البيانات!$W$2:$W$481,"&gt;="&amp;$J$2,البيانات!$W$2:$W$481,"&lt;="&amp;$K$2),"")</f>
        <v>0.975</v>
      </c>
      <c r="Q8" s="6" t="n">
        <f aca="false">(IF(AND(ISNUMBER(C8),ISNUMBER(D8)),B8*(C8-D8),0)+IF(AND(ISNUMBER(F8),ISNUMBER(G8)),E8*(F8-G8),0)+IF(AND(ISNUMBER(I8),ISNUMBER(J8)),H8*(I8-J8),0)+IF(AND(ISNUMBER(L8),ISNUMBER(M8)),K8*(L8-M8),0)+IF(AND(ISNUMBER(O8),ISNUMBER(P8)),N8*(O8-P8),0))/(IF(AND(ISNUMBER(C8),ISNUMBER(D8)),B8,0)+IF(AND(ISNUMBER(F8),ISNUMBER(G8)),E8,0)+IF(AND(ISNUMBER(I8),ISNUMBER(J8)),H8,0)+IF(AND(ISNUMBER(L8),ISNUMBER(M8)),K8,0)+IF(AND(ISNUMBER(O8),ISNUMBER(P8)),N8,0))</f>
        <v>-0.00983118364558317</v>
      </c>
      <c r="R8" s="5" t="str">
        <f aca="false">IF(ABS(Q8)&gt;$N$2,IF(Q8&lt;0,"فرق كبير ضد غير العربية","فرق كبير لصالح غير العربية"),IF(ABS(Q8)&gt;=$N$1,"يستحق الفحص","مهمل"))</f>
        <v>مهمل</v>
      </c>
    </row>
    <row r="9" customFormat="false" ht="17.9" hidden="false" customHeight="false" outlineLevel="0" collapsed="false">
      <c r="A9" s="5" t="s">
        <v>16</v>
      </c>
      <c r="B9" s="5" t="n">
        <f aca="false">COUNTIFS(البيانات!$B$2:$B$481,"غير العربية",البيانات!$W$2:$W$481,"&gt;="&amp;$B$2,البيانات!$W$2:$W$481,"&lt;="&amp;$C$2)</f>
        <v>36</v>
      </c>
      <c r="C9" s="6" t="n">
        <f aca="false">IFERROR(AVERAGEIFS(البيانات!$F$2:$F$481,البيانات!$B$2:$B$481,"غير العربية",البيانات!$W$2:$W$481,"&gt;="&amp;$B$2,البيانات!$W$2:$W$481,"&lt;="&amp;$C$2),"")</f>
        <v>0</v>
      </c>
      <c r="D9" s="6" t="n">
        <f aca="false">IFERROR(AVERAGEIFS(البيانات!$F$2:$F$481,البيانات!$B$2:$B$481,"عربية",البيانات!$W$2:$W$481,"&gt;="&amp;$B$2,البيانات!$W$2:$W$481,"&lt;="&amp;$C$2),"")</f>
        <v>0</v>
      </c>
      <c r="E9" s="5" t="n">
        <f aca="false">COUNTIFS(البيانات!$B$2:$B$481,"غير العربية",البيانات!$W$2:$W$481,"&gt;="&amp;$D$2,البيانات!$W$2:$W$481,"&lt;="&amp;$E$2)</f>
        <v>36</v>
      </c>
      <c r="F9" s="6" t="n">
        <f aca="false">IFERROR(AVERAGEIFS(البيانات!$F$2:$F$481,البيانات!$B$2:$B$481,"غير العربية",البيانات!$W$2:$W$481,"&gt;="&amp;$D$2,البيانات!$W$2:$W$481,"&lt;="&amp;$E$2),"")</f>
        <v>0.0277777777777778</v>
      </c>
      <c r="G9" s="6" t="n">
        <f aca="false">IFERROR(AVERAGEIFS(البيانات!$F$2:$F$481,البيانات!$B$2:$B$481,"عربية",البيانات!$W$2:$W$481,"&gt;="&amp;$D$2,البيانات!$W$2:$W$481,"&lt;="&amp;$E$2),"")</f>
        <v>0.0307692307692308</v>
      </c>
      <c r="H9" s="5" t="n">
        <f aca="false">COUNTIFS(البيانات!$B$2:$B$481,"غير العربية",البيانات!$W$2:$W$481,"&gt;="&amp;$F$2,البيانات!$W$2:$W$481,"&lt;="&amp;$G$2)</f>
        <v>37</v>
      </c>
      <c r="I9" s="6" t="n">
        <f aca="false">IFERROR(AVERAGEIFS(البيانات!$F$2:$F$481,البيانات!$B$2:$B$481,"غير العربية",البيانات!$W$2:$W$481,"&gt;="&amp;$F$2,البيانات!$W$2:$W$481,"&lt;="&amp;$G$2),"")</f>
        <v>0.0540540540540541</v>
      </c>
      <c r="J9" s="6" t="n">
        <f aca="false">IFERROR(AVERAGEIFS(البيانات!$F$2:$F$481,البيانات!$B$2:$B$481,"عربية",البيانات!$W$2:$W$481,"&gt;="&amp;$F$2,البيانات!$W$2:$W$481,"&lt;="&amp;$G$2),"")</f>
        <v>0.0422535211267606</v>
      </c>
      <c r="K9" s="5" t="n">
        <f aca="false">COUNTIFS(البيانات!$B$2:$B$481,"غير العربية",البيانات!$W$2:$W$481,"&gt;="&amp;$H$2,البيانات!$W$2:$W$481,"&lt;="&amp;$I$2)</f>
        <v>35</v>
      </c>
      <c r="L9" s="6" t="n">
        <f aca="false">IFERROR(AVERAGEIFS(البيانات!$F$2:$F$481,البيانات!$B$2:$B$481,"غير العربية",البيانات!$W$2:$W$481,"&gt;="&amp;$H$2,البيانات!$W$2:$W$481,"&lt;="&amp;$I$2),"")</f>
        <v>0.171428571428571</v>
      </c>
      <c r="M9" s="6" t="n">
        <f aca="false">IFERROR(AVERAGEIFS(البيانات!$F$2:$F$481,البيانات!$B$2:$B$481,"عربية",البيانات!$W$2:$W$481,"&gt;="&amp;$H$2,البيانات!$W$2:$W$481,"&lt;="&amp;$I$2),"")</f>
        <v>0.208333333333333</v>
      </c>
      <c r="N9" s="5" t="n">
        <f aca="false">COUNTIFS(البيانات!$B$2:$B$481,"غير العربية",البيانات!$W$2:$W$481,"&gt;="&amp;$J$2,البيانات!$W$2:$W$481,"&lt;="&amp;$K$2)</f>
        <v>36</v>
      </c>
      <c r="O9" s="6" t="n">
        <f aca="false">IFERROR(AVERAGEIFS(البيانات!$F$2:$F$481,البيانات!$B$2:$B$481,"غير العربية",البيانات!$W$2:$W$481,"&gt;="&amp;$J$2,البيانات!$W$2:$W$481,"&lt;="&amp;$K$2),"")</f>
        <v>0.722222222222222</v>
      </c>
      <c r="P9" s="6" t="n">
        <f aca="false">IFERROR(AVERAGEIFS(البيانات!$F$2:$F$481,البيانات!$B$2:$B$481,"عربية",البيانات!$W$2:$W$481,"&gt;="&amp;$J$2,البيانات!$W$2:$W$481,"&lt;="&amp;$K$2),"")</f>
        <v>0.675</v>
      </c>
      <c r="Q9" s="6" t="n">
        <f aca="false">(IF(AND(ISNUMBER(C9),ISNUMBER(D9)),B9*(C9-D9),0)+IF(AND(ISNUMBER(F9),ISNUMBER(G9)),E9*(F9-G9),0)+IF(AND(ISNUMBER(I9),ISNUMBER(J9)),H9*(I9-J9),0)+IF(AND(ISNUMBER(L9),ISNUMBER(M9)),K9*(L9-M9),0)+IF(AND(ISNUMBER(O9),ISNUMBER(P9)),N9*(O9-P9),0))/(IF(AND(ISNUMBER(C9),ISNUMBER(D9)),B9,0)+IF(AND(ISNUMBER(F9),ISNUMBER(G9)),E9,0)+IF(AND(ISNUMBER(I9),ISNUMBER(J9)),H9,0)+IF(AND(ISNUMBER(L9),ISNUMBER(M9)),K9,0)+IF(AND(ISNUMBER(O9),ISNUMBER(P9)),N9,0))</f>
        <v>0.00409589302194935</v>
      </c>
      <c r="R9" s="5" t="str">
        <f aca="false">IF(ABS(Q9)&gt;$N$2,IF(Q9&lt;0,"فرق كبير ضد غير العربية","فرق كبير لصالح غير العربية"),IF(ABS(Q9)&gt;=$N$1,"يستحق الفحص","مهمل"))</f>
        <v>مهمل</v>
      </c>
    </row>
    <row r="10" customFormat="false" ht="17.9" hidden="false" customHeight="false" outlineLevel="0" collapsed="false">
      <c r="A10" s="5" t="s">
        <v>17</v>
      </c>
      <c r="B10" s="5" t="n">
        <f aca="false">COUNTIFS(البيانات!$B$2:$B$481,"غير العربية",البيانات!$W$2:$W$481,"&gt;="&amp;$B$2,البيانات!$W$2:$W$481,"&lt;="&amp;$C$2)</f>
        <v>36</v>
      </c>
      <c r="C10" s="6" t="n">
        <f aca="false">IFERROR(AVERAGEIFS(البيانات!$G$2:$G$481,البيانات!$B$2:$B$481,"غير العربية",البيانات!$W$2:$W$481,"&gt;="&amp;$B$2,البيانات!$W$2:$W$481,"&lt;="&amp;$C$2),"")</f>
        <v>0.0277777777777778</v>
      </c>
      <c r="D10" s="6" t="n">
        <f aca="false">IFERROR(AVERAGEIFS(البيانات!$G$2:$G$481,البيانات!$B$2:$B$481,"عربية",البيانات!$W$2:$W$481,"&gt;="&amp;$B$2,البيانات!$W$2:$W$481,"&lt;="&amp;$C$2),"")</f>
        <v>0</v>
      </c>
      <c r="E10" s="5" t="n">
        <f aca="false">COUNTIFS(البيانات!$B$2:$B$481,"غير العربية",البيانات!$W$2:$W$481,"&gt;="&amp;$D$2,البيانات!$W$2:$W$481,"&lt;="&amp;$E$2)</f>
        <v>36</v>
      </c>
      <c r="F10" s="6" t="n">
        <f aca="false">IFERROR(AVERAGEIFS(البيانات!$G$2:$G$481,البيانات!$B$2:$B$481,"غير العربية",البيانات!$W$2:$W$481,"&gt;="&amp;$D$2,البيانات!$W$2:$W$481,"&lt;="&amp;$E$2),"")</f>
        <v>0.138888888888889</v>
      </c>
      <c r="G10" s="6" t="n">
        <f aca="false">IFERROR(AVERAGEIFS(البيانات!$G$2:$G$481,البيانات!$B$2:$B$481,"عربية",البيانات!$W$2:$W$481,"&gt;="&amp;$D$2,البيانات!$W$2:$W$481,"&lt;="&amp;$E$2),"")</f>
        <v>0.0307692307692308</v>
      </c>
      <c r="H10" s="5" t="n">
        <f aca="false">COUNTIFS(البيانات!$B$2:$B$481,"غير العربية",البيانات!$W$2:$W$481,"&gt;="&amp;$F$2,البيانات!$W$2:$W$481,"&lt;="&amp;$G$2)</f>
        <v>37</v>
      </c>
      <c r="I10" s="6" t="n">
        <f aca="false">IFERROR(AVERAGEIFS(البيانات!$G$2:$G$481,البيانات!$B$2:$B$481,"غير العربية",البيانات!$W$2:$W$481,"&gt;="&amp;$F$2,البيانات!$W$2:$W$481,"&lt;="&amp;$G$2),"")</f>
        <v>0.432432432432432</v>
      </c>
      <c r="J10" s="6" t="n">
        <f aca="false">IFERROR(AVERAGEIFS(البيانات!$G$2:$G$481,البيانات!$B$2:$B$481,"عربية",البيانات!$W$2:$W$481,"&gt;="&amp;$F$2,البيانات!$W$2:$W$481,"&lt;="&amp;$G$2),"")</f>
        <v>0.309859154929577</v>
      </c>
      <c r="K10" s="5" t="n">
        <f aca="false">COUNTIFS(البيانات!$B$2:$B$481,"غير العربية",البيانات!$W$2:$W$481,"&gt;="&amp;$H$2,البيانات!$W$2:$W$481,"&lt;="&amp;$I$2)</f>
        <v>35</v>
      </c>
      <c r="L10" s="6" t="n">
        <f aca="false">IFERROR(AVERAGEIFS(البيانات!$G$2:$G$481,البيانات!$B$2:$B$481,"غير العربية",البيانات!$W$2:$W$481,"&gt;="&amp;$H$2,البيانات!$W$2:$W$481,"&lt;="&amp;$I$2),"")</f>
        <v>0.714285714285714</v>
      </c>
      <c r="M10" s="6" t="n">
        <f aca="false">IFERROR(AVERAGEIFS(البيانات!$G$2:$G$481,البيانات!$B$2:$B$481,"عربية",البيانات!$W$2:$W$481,"&gt;="&amp;$H$2,البيانات!$W$2:$W$481,"&lt;="&amp;$I$2),"")</f>
        <v>0.729166666666667</v>
      </c>
      <c r="N10" s="5" t="n">
        <f aca="false">COUNTIFS(البيانات!$B$2:$B$481,"غير العربية",البيانات!$W$2:$W$481,"&gt;="&amp;$J$2,البيانات!$W$2:$W$481,"&lt;="&amp;$K$2)</f>
        <v>36</v>
      </c>
      <c r="O10" s="6" t="n">
        <f aca="false">IFERROR(AVERAGEIFS(البيانات!$G$2:$G$481,البيانات!$B$2:$B$481,"غير العربية",البيانات!$W$2:$W$481,"&gt;="&amp;$J$2,البيانات!$W$2:$W$481,"&lt;="&amp;$K$2),"")</f>
        <v>0.972222222222222</v>
      </c>
      <c r="P10" s="6" t="n">
        <f aca="false">IFERROR(AVERAGEIFS(البيانات!$G$2:$G$481,البيانات!$B$2:$B$481,"عربية",البيانات!$W$2:$W$481,"&gt;="&amp;$J$2,البيانات!$W$2:$W$481,"&lt;="&amp;$K$2),"")</f>
        <v>0.95</v>
      </c>
      <c r="Q10" s="6" t="n">
        <f aca="false">(IF(AND(ISNUMBER(C10),ISNUMBER(D10)),B10*(C10-D10),0)+IF(AND(ISNUMBER(F10),ISNUMBER(G10)),E10*(F10-G10),0)+IF(AND(ISNUMBER(I10),ISNUMBER(J10)),H10*(I10-J10),0)+IF(AND(ISNUMBER(L10),ISNUMBER(M10)),K10*(L10-M10),0)+IF(AND(ISNUMBER(O10),ISNUMBER(P10)),N10*(O10-P10),0))/(IF(AND(ISNUMBER(C10),ISNUMBER(D10)),B10,0)+IF(AND(ISNUMBER(F10),ISNUMBER(G10)),E10,0)+IF(AND(ISNUMBER(I10),ISNUMBER(J10)),H10,0)+IF(AND(ISNUMBER(L10),ISNUMBER(M10)),K10,0)+IF(AND(ISNUMBER(O10),ISNUMBER(P10)),N10,0))</f>
        <v>0.0539260312587778</v>
      </c>
      <c r="R10" s="5" t="str">
        <f aca="false">IF(ABS(Q10)&gt;$N$2,IF(Q10&lt;0,"فرق كبير ضد غير العربية","فرق كبير لصالح غير العربية"),IF(ABS(Q10)&gt;=$N$1,"يستحق الفحص","مهمل"))</f>
        <v>يستحق الفحص</v>
      </c>
    </row>
    <row r="11" customFormat="false" ht="17.9" hidden="false" customHeight="false" outlineLevel="0" collapsed="false">
      <c r="A11" s="5" t="s">
        <v>18</v>
      </c>
      <c r="B11" s="5" t="n">
        <f aca="false">COUNTIFS(البيانات!$B$2:$B$481,"غير العربية",البيانات!$W$2:$W$481,"&gt;="&amp;$B$2,البيانات!$W$2:$W$481,"&lt;="&amp;$C$2)</f>
        <v>36</v>
      </c>
      <c r="C11" s="6" t="n">
        <f aca="false">IFERROR(AVERAGEIFS(البيانات!$H$2:$H$481,البيانات!$B$2:$B$481,"غير العربية",البيانات!$W$2:$W$481,"&gt;="&amp;$B$2,البيانات!$W$2:$W$481,"&lt;="&amp;$C$2),"")</f>
        <v>0.0277777777777778</v>
      </c>
      <c r="D11" s="6" t="n">
        <f aca="false">IFERROR(AVERAGEIFS(البيانات!$H$2:$H$481,البيانات!$B$2:$B$481,"عربية",البيانات!$W$2:$W$481,"&gt;="&amp;$B$2,البيانات!$W$2:$W$481,"&lt;="&amp;$C$2),"")</f>
        <v>0.210526315789474</v>
      </c>
      <c r="E11" s="5" t="n">
        <f aca="false">COUNTIFS(البيانات!$B$2:$B$481,"غير العربية",البيانات!$W$2:$W$481,"&gt;="&amp;$D$2,البيانات!$W$2:$W$481,"&lt;="&amp;$E$2)</f>
        <v>36</v>
      </c>
      <c r="F11" s="6" t="n">
        <f aca="false">IFERROR(AVERAGEIFS(البيانات!$H$2:$H$481,البيانات!$B$2:$B$481,"غير العربية",البيانات!$W$2:$W$481,"&gt;="&amp;$D$2,البيانات!$W$2:$W$481,"&lt;="&amp;$E$2),"")</f>
        <v>0.138888888888889</v>
      </c>
      <c r="G11" s="6" t="n">
        <f aca="false">IFERROR(AVERAGEIFS(البيانات!$H$2:$H$481,البيانات!$B$2:$B$481,"عربية",البيانات!$W$2:$W$481,"&gt;="&amp;$D$2,البيانات!$W$2:$W$481,"&lt;="&amp;$E$2),"")</f>
        <v>0.661538461538462</v>
      </c>
      <c r="H11" s="5" t="n">
        <f aca="false">COUNTIFS(البيانات!$B$2:$B$481,"غير العربية",البيانات!$W$2:$W$481,"&gt;="&amp;$F$2,البيانات!$W$2:$W$481,"&lt;="&amp;$G$2)</f>
        <v>37</v>
      </c>
      <c r="I11" s="6" t="n">
        <f aca="false">IFERROR(AVERAGEIFS(البيانات!$H$2:$H$481,البيانات!$B$2:$B$481,"غير العربية",البيانات!$W$2:$W$481,"&gt;="&amp;$F$2,البيانات!$W$2:$W$481,"&lt;="&amp;$G$2),"")</f>
        <v>0.513513513513514</v>
      </c>
      <c r="J11" s="6" t="n">
        <f aca="false">IFERROR(AVERAGEIFS(البيانات!$H$2:$H$481,البيانات!$B$2:$B$481,"عربية",البيانات!$W$2:$W$481,"&gt;="&amp;$F$2,البيانات!$W$2:$W$481,"&lt;="&amp;$G$2),"")</f>
        <v>0.845070422535211</v>
      </c>
      <c r="K11" s="5" t="n">
        <f aca="false">COUNTIFS(البيانات!$B$2:$B$481,"غير العربية",البيانات!$W$2:$W$481,"&gt;="&amp;$H$2,البيانات!$W$2:$W$481,"&lt;="&amp;$I$2)</f>
        <v>35</v>
      </c>
      <c r="L11" s="6" t="n">
        <f aca="false">IFERROR(AVERAGEIFS(البيانات!$H$2:$H$481,البيانات!$B$2:$B$481,"غير العربية",البيانات!$W$2:$W$481,"&gt;="&amp;$H$2,البيانات!$W$2:$W$481,"&lt;="&amp;$I$2),"")</f>
        <v>0.685714285714286</v>
      </c>
      <c r="M11" s="6" t="n">
        <f aca="false">IFERROR(AVERAGEIFS(البيانات!$H$2:$H$481,البيانات!$B$2:$B$481,"عربية",البيانات!$W$2:$W$481,"&gt;="&amp;$H$2,البيانات!$W$2:$W$481,"&lt;="&amp;$I$2),"")</f>
        <v>0.979166666666667</v>
      </c>
      <c r="N11" s="5" t="n">
        <f aca="false">COUNTIFS(البيانات!$B$2:$B$481,"غير العربية",البيانات!$W$2:$W$481,"&gt;="&amp;$J$2,البيانات!$W$2:$W$481,"&lt;="&amp;$K$2)</f>
        <v>36</v>
      </c>
      <c r="O11" s="6" t="n">
        <f aca="false">IFERROR(AVERAGEIFS(البيانات!$H$2:$H$481,البيانات!$B$2:$B$481,"غير العربية",البيانات!$W$2:$W$481,"&gt;="&amp;$J$2,البيانات!$W$2:$W$481,"&lt;="&amp;$K$2),"")</f>
        <v>0.944444444444444</v>
      </c>
      <c r="P11" s="6" t="n">
        <f aca="false">IFERROR(AVERAGEIFS(البيانات!$H$2:$H$481,البيانات!$B$2:$B$481,"عربية",البيانات!$W$2:$W$481,"&gt;="&amp;$J$2,البيانات!$W$2:$W$481,"&lt;="&amp;$K$2),"")</f>
        <v>1</v>
      </c>
      <c r="Q11" s="6" t="n">
        <f aca="false">(IF(AND(ISNUMBER(C11),ISNUMBER(D11)),B11*(C11-D11),0)+IF(AND(ISNUMBER(F11),ISNUMBER(G11)),E11*(F11-G11),0)+IF(AND(ISNUMBER(I11),ISNUMBER(J11)),H11*(I11-J11),0)+IF(AND(ISNUMBER(L11),ISNUMBER(M11)),K11*(L11-M11),0)+IF(AND(ISNUMBER(O11),ISNUMBER(P11)),N11*(O11-P11),0))/(IF(AND(ISNUMBER(C11),ISNUMBER(D11)),B11,0)+IF(AND(ISNUMBER(F11),ISNUMBER(G11)),E11,0)+IF(AND(ISNUMBER(I11),ISNUMBER(J11)),H11,0)+IF(AND(ISNUMBER(L11),ISNUMBER(M11)),K11,0)+IF(AND(ISNUMBER(O11),ISNUMBER(P11)),N11,0))</f>
        <v>-0.277404283060788</v>
      </c>
      <c r="R11" s="5" t="str">
        <f aca="false">IF(ABS(Q11)&gt;$N$2,IF(Q11&lt;0,"فرق كبير ضد غير العربية","فرق كبير لصالح غير العربية"),IF(ABS(Q11)&gt;=$N$1,"يستحق الفحص","مهمل"))</f>
        <v>فرق كبير ضد غير العربية</v>
      </c>
    </row>
    <row r="12" customFormat="false" ht="17.9" hidden="false" customHeight="false" outlineLevel="0" collapsed="false">
      <c r="A12" s="5" t="s">
        <v>19</v>
      </c>
      <c r="B12" s="5" t="n">
        <f aca="false">COUNTIFS(البيانات!$B$2:$B$481,"غير العربية",البيانات!$W$2:$W$481,"&gt;="&amp;$B$2,البيانات!$W$2:$W$481,"&lt;="&amp;$C$2)</f>
        <v>36</v>
      </c>
      <c r="C12" s="6" t="n">
        <f aca="false">IFERROR(AVERAGEIFS(البيانات!$I$2:$I$481,البيانات!$B$2:$B$481,"غير العربية",البيانات!$W$2:$W$481,"&gt;="&amp;$B$2,البيانات!$W$2:$W$481,"&lt;="&amp;$C$2),"")</f>
        <v>0.0555555555555556</v>
      </c>
      <c r="D12" s="6" t="n">
        <f aca="false">IFERROR(AVERAGEIFS(البيانات!$I$2:$I$481,البيانات!$B$2:$B$481,"عربية",البيانات!$W$2:$W$481,"&gt;="&amp;$B$2,البيانات!$W$2:$W$481,"&lt;="&amp;$C$2),"")</f>
        <v>0.0131578947368421</v>
      </c>
      <c r="E12" s="5" t="n">
        <f aca="false">COUNTIFS(البيانات!$B$2:$B$481,"غير العربية",البيانات!$W$2:$W$481,"&gt;="&amp;$D$2,البيانات!$W$2:$W$481,"&lt;="&amp;$E$2)</f>
        <v>36</v>
      </c>
      <c r="F12" s="6" t="n">
        <f aca="false">IFERROR(AVERAGEIFS(البيانات!$I$2:$I$481,البيانات!$B$2:$B$481,"غير العربية",البيانات!$W$2:$W$481,"&gt;="&amp;$D$2,البيانات!$W$2:$W$481,"&lt;="&amp;$E$2),"")</f>
        <v>0.0555555555555556</v>
      </c>
      <c r="G12" s="6" t="n">
        <f aca="false">IFERROR(AVERAGEIFS(البيانات!$I$2:$I$481,البيانات!$B$2:$B$481,"عربية",البيانات!$W$2:$W$481,"&gt;="&amp;$D$2,البيانات!$W$2:$W$481,"&lt;="&amp;$E$2),"")</f>
        <v>0.0615384615384615</v>
      </c>
      <c r="H12" s="5" t="n">
        <f aca="false">COUNTIFS(البيانات!$B$2:$B$481,"غير العربية",البيانات!$W$2:$W$481,"&gt;="&amp;$F$2,البيانات!$W$2:$W$481,"&lt;="&amp;$G$2)</f>
        <v>37</v>
      </c>
      <c r="I12" s="6" t="n">
        <f aca="false">IFERROR(AVERAGEIFS(البيانات!$I$2:$I$481,البيانات!$B$2:$B$481,"غير العربية",البيانات!$W$2:$W$481,"&gt;="&amp;$F$2,البيانات!$W$2:$W$481,"&lt;="&amp;$G$2),"")</f>
        <v>0.189189189189189</v>
      </c>
      <c r="J12" s="6" t="n">
        <f aca="false">IFERROR(AVERAGEIFS(البيانات!$I$2:$I$481,البيانات!$B$2:$B$481,"عربية",البيانات!$W$2:$W$481,"&gt;="&amp;$F$2,البيانات!$W$2:$W$481,"&lt;="&amp;$G$2),"")</f>
        <v>0.253521126760563</v>
      </c>
      <c r="K12" s="5" t="n">
        <f aca="false">COUNTIFS(البيانات!$B$2:$B$481,"غير العربية",البيانات!$W$2:$W$481,"&gt;="&amp;$H$2,البيانات!$W$2:$W$481,"&lt;="&amp;$I$2)</f>
        <v>35</v>
      </c>
      <c r="L12" s="6" t="n">
        <f aca="false">IFERROR(AVERAGEIFS(البيانات!$I$2:$I$481,البيانات!$B$2:$B$481,"غير العربية",البيانات!$W$2:$W$481,"&gt;="&amp;$H$2,البيانات!$W$2:$W$481,"&lt;="&amp;$I$2),"")</f>
        <v>0.4</v>
      </c>
      <c r="M12" s="6" t="n">
        <f aca="false">IFERROR(AVERAGEIFS(البيانات!$I$2:$I$481,البيانات!$B$2:$B$481,"عربية",البيانات!$W$2:$W$481,"&gt;="&amp;$H$2,البيانات!$W$2:$W$481,"&lt;="&amp;$I$2),"")</f>
        <v>0.333333333333333</v>
      </c>
      <c r="N12" s="5" t="n">
        <f aca="false">COUNTIFS(البيانات!$B$2:$B$481,"غير العربية",البيانات!$W$2:$W$481,"&gt;="&amp;$J$2,البيانات!$W$2:$W$481,"&lt;="&amp;$K$2)</f>
        <v>36</v>
      </c>
      <c r="O12" s="6" t="n">
        <f aca="false">IFERROR(AVERAGEIFS(البيانات!$I$2:$I$481,البيانات!$B$2:$B$481,"غير العربية",البيانات!$W$2:$W$481,"&gt;="&amp;$J$2,البيانات!$W$2:$W$481,"&lt;="&amp;$K$2),"")</f>
        <v>0.916666666666667</v>
      </c>
      <c r="P12" s="6" t="n">
        <f aca="false">IFERROR(AVERAGEIFS(البيانات!$I$2:$I$481,البيانات!$B$2:$B$481,"عربية",البيانات!$W$2:$W$481,"&gt;="&amp;$J$2,البيانات!$W$2:$W$481,"&lt;="&amp;$K$2),"")</f>
        <v>0.85</v>
      </c>
      <c r="Q12" s="6" t="n">
        <f aca="false">(IF(AND(ISNUMBER(C12),ISNUMBER(D12)),B12*(C12-D12),0)+IF(AND(ISNUMBER(F12),ISNUMBER(G12)),E12*(F12-G12),0)+IF(AND(ISNUMBER(I12),ISNUMBER(J12)),H12*(I12-J12),0)+IF(AND(ISNUMBER(L12),ISNUMBER(M12)),K12*(L12-M12),0)+IF(AND(ISNUMBER(O12),ISNUMBER(P12)),N12*(O12-P12),0))/(IF(AND(ISNUMBER(C12),ISNUMBER(D12)),B12,0)+IF(AND(ISNUMBER(F12),ISNUMBER(G12)),E12,0)+IF(AND(ISNUMBER(I12),ISNUMBER(J12)),H12,0)+IF(AND(ISNUMBER(L12),ISNUMBER(M12)),K12,0)+IF(AND(ISNUMBER(O12),ISNUMBER(P12)),N12,0))</f>
        <v>0.0203554600960087</v>
      </c>
      <c r="R12" s="5" t="str">
        <f aca="false">IF(ABS(Q12)&gt;$N$2,IF(Q12&lt;0,"فرق كبير ضد غير العربية","فرق كبير لصالح غير العربية"),IF(ABS(Q12)&gt;=$N$1,"يستحق الفحص","مهمل"))</f>
        <v>مهمل</v>
      </c>
    </row>
    <row r="13" customFormat="false" ht="17.9" hidden="false" customHeight="false" outlineLevel="0" collapsed="false">
      <c r="A13" s="5" t="s">
        <v>20</v>
      </c>
      <c r="B13" s="5" t="n">
        <f aca="false">COUNTIFS(البيانات!$B$2:$B$481,"غير العربية",البيانات!$W$2:$W$481,"&gt;="&amp;$B$2,البيانات!$W$2:$W$481,"&lt;="&amp;$C$2)</f>
        <v>36</v>
      </c>
      <c r="C13" s="6" t="n">
        <f aca="false">IFERROR(AVERAGEIFS(البيانات!$J$2:$J$481,البيانات!$B$2:$B$481,"غير العربية",البيانات!$W$2:$W$481,"&gt;="&amp;$B$2,البيانات!$W$2:$W$481,"&lt;="&amp;$C$2),"")</f>
        <v>0</v>
      </c>
      <c r="D13" s="6" t="n">
        <f aca="false">IFERROR(AVERAGEIFS(البيانات!$J$2:$J$481,البيانات!$B$2:$B$481,"عربية",البيانات!$W$2:$W$481,"&gt;="&amp;$B$2,البيانات!$W$2:$W$481,"&lt;="&amp;$C$2),"")</f>
        <v>0</v>
      </c>
      <c r="E13" s="5" t="n">
        <f aca="false">COUNTIFS(البيانات!$B$2:$B$481,"غير العربية",البيانات!$W$2:$W$481,"&gt;="&amp;$D$2,البيانات!$W$2:$W$481,"&lt;="&amp;$E$2)</f>
        <v>36</v>
      </c>
      <c r="F13" s="6" t="n">
        <f aca="false">IFERROR(AVERAGEIFS(البيانات!$J$2:$J$481,البيانات!$B$2:$B$481,"غير العربية",البيانات!$W$2:$W$481,"&gt;="&amp;$D$2,البيانات!$W$2:$W$481,"&lt;="&amp;$E$2),"")</f>
        <v>0.0277777777777778</v>
      </c>
      <c r="G13" s="6" t="n">
        <f aca="false">IFERROR(AVERAGEIFS(البيانات!$J$2:$J$481,البيانات!$B$2:$B$481,"عربية",البيانات!$W$2:$W$481,"&gt;="&amp;$D$2,البيانات!$W$2:$W$481,"&lt;="&amp;$E$2),"")</f>
        <v>0.0153846153846154</v>
      </c>
      <c r="H13" s="5" t="n">
        <f aca="false">COUNTIFS(البيانات!$B$2:$B$481,"غير العربية",البيانات!$W$2:$W$481,"&gt;="&amp;$F$2,البيانات!$W$2:$W$481,"&lt;="&amp;$G$2)</f>
        <v>37</v>
      </c>
      <c r="I13" s="6" t="n">
        <f aca="false">IFERROR(AVERAGEIFS(البيانات!$J$2:$J$481,البيانات!$B$2:$B$481,"غير العربية",البيانات!$W$2:$W$481,"&gt;="&amp;$F$2,البيانات!$W$2:$W$481,"&lt;="&amp;$G$2),"")</f>
        <v>0.189189189189189</v>
      </c>
      <c r="J13" s="6" t="n">
        <f aca="false">IFERROR(AVERAGEIFS(البيانات!$J$2:$J$481,البيانات!$B$2:$B$481,"عربية",البيانات!$W$2:$W$481,"&gt;="&amp;$F$2,البيانات!$W$2:$W$481,"&lt;="&amp;$G$2),"")</f>
        <v>0.140845070422535</v>
      </c>
      <c r="K13" s="5" t="n">
        <f aca="false">COUNTIFS(البيانات!$B$2:$B$481,"غير العربية",البيانات!$W$2:$W$481,"&gt;="&amp;$H$2,البيانات!$W$2:$W$481,"&lt;="&amp;$I$2)</f>
        <v>35</v>
      </c>
      <c r="L13" s="6" t="n">
        <f aca="false">IFERROR(AVERAGEIFS(البيانات!$J$2:$J$481,البيانات!$B$2:$B$481,"غير العربية",البيانات!$W$2:$W$481,"&gt;="&amp;$H$2,البيانات!$W$2:$W$481,"&lt;="&amp;$I$2),"")</f>
        <v>0.342857142857143</v>
      </c>
      <c r="M13" s="6" t="n">
        <f aca="false">IFERROR(AVERAGEIFS(البيانات!$J$2:$J$481,البيانات!$B$2:$B$481,"عربية",البيانات!$W$2:$W$481,"&gt;="&amp;$H$2,البيانات!$W$2:$W$481,"&lt;="&amp;$I$2),"")</f>
        <v>0.354166666666667</v>
      </c>
      <c r="N13" s="5" t="n">
        <f aca="false">COUNTIFS(البيانات!$B$2:$B$481,"غير العربية",البيانات!$W$2:$W$481,"&gt;="&amp;$J$2,البيانات!$W$2:$W$481,"&lt;="&amp;$K$2)</f>
        <v>36</v>
      </c>
      <c r="O13" s="6" t="n">
        <f aca="false">IFERROR(AVERAGEIFS(البيانات!$J$2:$J$481,البيانات!$B$2:$B$481,"غير العربية",البيانات!$W$2:$W$481,"&gt;="&amp;$J$2,البيانات!$W$2:$W$481,"&lt;="&amp;$K$2),"")</f>
        <v>0.805555555555556</v>
      </c>
      <c r="P13" s="6" t="n">
        <f aca="false">IFERROR(AVERAGEIFS(البيانات!$J$2:$J$481,البيانات!$B$2:$B$481,"عربية",البيانات!$W$2:$W$481,"&gt;="&amp;$J$2,البيانات!$W$2:$W$481,"&lt;="&amp;$K$2),"")</f>
        <v>0.925</v>
      </c>
      <c r="Q13" s="6" t="n">
        <f aca="false">(IF(AND(ISNUMBER(C13),ISNUMBER(D13)),B13*(C13-D13),0)+IF(AND(ISNUMBER(F13),ISNUMBER(G13)),E13*(F13-G13),0)+IF(AND(ISNUMBER(I13),ISNUMBER(J13)),H13*(I13-J13),0)+IF(AND(ISNUMBER(L13),ISNUMBER(M13)),K13*(L13-M13),0)+IF(AND(ISNUMBER(O13),ISNUMBER(P13)),N13*(O13-P13),0))/(IF(AND(ISNUMBER(C13),ISNUMBER(D13)),B13,0)+IF(AND(ISNUMBER(F13),ISNUMBER(G13)),E13,0)+IF(AND(ISNUMBER(I13),ISNUMBER(J13)),H13,0)+IF(AND(ISNUMBER(L13),ISNUMBER(M13)),K13,0)+IF(AND(ISNUMBER(O13),ISNUMBER(P13)),N13,0))</f>
        <v>-0.0136719282934072</v>
      </c>
      <c r="R13" s="5" t="str">
        <f aca="false">IF(ABS(Q13)&gt;$N$2,IF(Q13&lt;0,"فرق كبير ضد غير العربية","فرق كبير لصالح غير العربية"),IF(ABS(Q13)&gt;=$N$1,"يستحق الفحص","مهمل"))</f>
        <v>مهمل</v>
      </c>
    </row>
    <row r="14" customFormat="false" ht="17.9" hidden="false" customHeight="false" outlineLevel="0" collapsed="false">
      <c r="A14" s="5" t="s">
        <v>21</v>
      </c>
      <c r="B14" s="5" t="n">
        <f aca="false">COUNTIFS(البيانات!$B$2:$B$481,"غير العربية",البيانات!$W$2:$W$481,"&gt;="&amp;$B$2,البيانات!$W$2:$W$481,"&lt;="&amp;$C$2)</f>
        <v>36</v>
      </c>
      <c r="C14" s="6" t="n">
        <f aca="false">IFERROR(AVERAGEIFS(البيانات!$K$2:$K$481,البيانات!$B$2:$B$481,"غير العربية",البيانات!$W$2:$W$481,"&gt;="&amp;$B$2,البيانات!$W$2:$W$481,"&lt;="&amp;$C$2),"")</f>
        <v>0.194444444444444</v>
      </c>
      <c r="D14" s="6" t="n">
        <f aca="false">IFERROR(AVERAGEIFS(البيانات!$K$2:$K$481,البيانات!$B$2:$B$481,"عربية",البيانات!$W$2:$W$481,"&gt;="&amp;$B$2,البيانات!$W$2:$W$481,"&lt;="&amp;$C$2),"")</f>
        <v>0.263157894736842</v>
      </c>
      <c r="E14" s="5" t="n">
        <f aca="false">COUNTIFS(البيانات!$B$2:$B$481,"غير العربية",البيانات!$W$2:$W$481,"&gt;="&amp;$D$2,البيانات!$W$2:$W$481,"&lt;="&amp;$E$2)</f>
        <v>36</v>
      </c>
      <c r="F14" s="6" t="n">
        <f aca="false">IFERROR(AVERAGEIFS(البيانات!$K$2:$K$481,البيانات!$B$2:$B$481,"غير العربية",البيانات!$W$2:$W$481,"&gt;="&amp;$D$2,البيانات!$W$2:$W$481,"&lt;="&amp;$E$2),"")</f>
        <v>0.666666666666667</v>
      </c>
      <c r="G14" s="6" t="n">
        <f aca="false">IFERROR(AVERAGEIFS(البيانات!$K$2:$K$481,البيانات!$B$2:$B$481,"عربية",البيانات!$W$2:$W$481,"&gt;="&amp;$D$2,البيانات!$W$2:$W$481,"&lt;="&amp;$E$2),"")</f>
        <v>0.723076923076923</v>
      </c>
      <c r="H14" s="5" t="n">
        <f aca="false">COUNTIFS(البيانات!$B$2:$B$481,"غير العربية",البيانات!$W$2:$W$481,"&gt;="&amp;$F$2,البيانات!$W$2:$W$481,"&lt;="&amp;$G$2)</f>
        <v>37</v>
      </c>
      <c r="I14" s="6" t="n">
        <f aca="false">IFERROR(AVERAGEIFS(البيانات!$K$2:$K$481,البيانات!$B$2:$B$481,"غير العربية",البيانات!$W$2:$W$481,"&gt;="&amp;$F$2,البيانات!$W$2:$W$481,"&lt;="&amp;$G$2),"")</f>
        <v>0.918918918918919</v>
      </c>
      <c r="J14" s="6" t="n">
        <f aca="false">IFERROR(AVERAGEIFS(البيانات!$K$2:$K$481,البيانات!$B$2:$B$481,"عربية",البيانات!$W$2:$W$481,"&gt;="&amp;$F$2,البيانات!$W$2:$W$481,"&lt;="&amp;$G$2),"")</f>
        <v>0.929577464788732</v>
      </c>
      <c r="K14" s="5" t="n">
        <f aca="false">COUNTIFS(البيانات!$B$2:$B$481,"غير العربية",البيانات!$W$2:$W$481,"&gt;="&amp;$H$2,البيانات!$W$2:$W$481,"&lt;="&amp;$I$2)</f>
        <v>35</v>
      </c>
      <c r="L14" s="6" t="n">
        <f aca="false">IFERROR(AVERAGEIFS(البيانات!$K$2:$K$481,البيانات!$B$2:$B$481,"غير العربية",البيانات!$W$2:$W$481,"&gt;="&amp;$H$2,البيانات!$W$2:$W$481,"&lt;="&amp;$I$2),"")</f>
        <v>1</v>
      </c>
      <c r="M14" s="6" t="n">
        <f aca="false">IFERROR(AVERAGEIFS(البيانات!$K$2:$K$481,البيانات!$B$2:$B$481,"عربية",البيانات!$W$2:$W$481,"&gt;="&amp;$H$2,البيانات!$W$2:$W$481,"&lt;="&amp;$I$2),"")</f>
        <v>0.979166666666667</v>
      </c>
      <c r="N14" s="5" t="n">
        <f aca="false">COUNTIFS(البيانات!$B$2:$B$481,"غير العربية",البيانات!$W$2:$W$481,"&gt;="&amp;$J$2,البيانات!$W$2:$W$481,"&lt;="&amp;$K$2)</f>
        <v>36</v>
      </c>
      <c r="O14" s="6" t="n">
        <f aca="false">IFERROR(AVERAGEIFS(البيانات!$K$2:$K$481,البيانات!$B$2:$B$481,"غير العربية",البيانات!$W$2:$W$481,"&gt;="&amp;$J$2,البيانات!$W$2:$W$481,"&lt;="&amp;$K$2),"")</f>
        <v>1</v>
      </c>
      <c r="P14" s="6" t="n">
        <f aca="false">IFERROR(AVERAGEIFS(البيانات!$K$2:$K$481,البيانات!$B$2:$B$481,"عربية",البيانات!$W$2:$W$481,"&gt;="&amp;$J$2,البيانات!$W$2:$W$481,"&lt;="&amp;$K$2),"")</f>
        <v>1</v>
      </c>
      <c r="Q14" s="6" t="n">
        <f aca="false">(IF(AND(ISNUMBER(C14),ISNUMBER(D14)),B14*(C14-D14),0)+IF(AND(ISNUMBER(F14),ISNUMBER(G14)),E14*(F14-G14),0)+IF(AND(ISNUMBER(I14),ISNUMBER(J14)),H14*(I14-J14),0)+IF(AND(ISNUMBER(L14),ISNUMBER(M14)),K14*(L14-M14),0)+IF(AND(ISNUMBER(O14),ISNUMBER(P14)),N14*(O14-P14),0))/(IF(AND(ISNUMBER(C14),ISNUMBER(D14)),B14,0)+IF(AND(ISNUMBER(F14),ISNUMBER(G14)),E14,0)+IF(AND(ISNUMBER(I14),ISNUMBER(J14)),H14,0)+IF(AND(ISNUMBER(L14),ISNUMBER(M14)),K14,0)+IF(AND(ISNUMBER(O14),ISNUMBER(P14)),N14,0))</f>
        <v>-0.0231647387322888</v>
      </c>
      <c r="R14" s="5" t="str">
        <f aca="false">IF(ABS(Q14)&gt;$N$2,IF(Q14&lt;0,"فرق كبير ضد غير العربية","فرق كبير لصالح غير العربية"),IF(ABS(Q14)&gt;=$N$1,"يستحق الفحص","مهمل"))</f>
        <v>مهمل</v>
      </c>
    </row>
    <row r="15" customFormat="false" ht="17.9" hidden="false" customHeight="false" outlineLevel="0" collapsed="false">
      <c r="A15" s="5" t="s">
        <v>22</v>
      </c>
      <c r="B15" s="5" t="n">
        <f aca="false">COUNTIFS(البيانات!$B$2:$B$481,"غير العربية",البيانات!$W$2:$W$481,"&gt;="&amp;$B$2,البيانات!$W$2:$W$481,"&lt;="&amp;$C$2)</f>
        <v>36</v>
      </c>
      <c r="C15" s="6" t="n">
        <f aca="false">IFERROR(AVERAGEIFS(البيانات!$L$2:$L$481,البيانات!$B$2:$B$481,"غير العربية",البيانات!$W$2:$W$481,"&gt;="&amp;$B$2,البيانات!$W$2:$W$481,"&lt;="&amp;$C$2),"")</f>
        <v>0</v>
      </c>
      <c r="D15" s="6" t="n">
        <f aca="false">IFERROR(AVERAGEIFS(البيانات!$L$2:$L$481,البيانات!$B$2:$B$481,"عربية",البيانات!$W$2:$W$481,"&gt;="&amp;$B$2,البيانات!$W$2:$W$481,"&lt;="&amp;$C$2),"")</f>
        <v>0.0131578947368421</v>
      </c>
      <c r="E15" s="5" t="n">
        <f aca="false">COUNTIFS(البيانات!$B$2:$B$481,"غير العربية",البيانات!$W$2:$W$481,"&gt;="&amp;$D$2,البيانات!$W$2:$W$481,"&lt;="&amp;$E$2)</f>
        <v>36</v>
      </c>
      <c r="F15" s="6" t="n">
        <f aca="false">IFERROR(AVERAGEIFS(البيانات!$L$2:$L$481,البيانات!$B$2:$B$481,"غير العربية",البيانات!$W$2:$W$481,"&gt;="&amp;$D$2,البيانات!$W$2:$W$481,"&lt;="&amp;$E$2),"")</f>
        <v>0.138888888888889</v>
      </c>
      <c r="G15" s="6" t="n">
        <f aca="false">IFERROR(AVERAGEIFS(البيانات!$L$2:$L$481,البيانات!$B$2:$B$481,"عربية",البيانات!$W$2:$W$481,"&gt;="&amp;$D$2,البيانات!$W$2:$W$481,"&lt;="&amp;$E$2),"")</f>
        <v>0.169230769230769</v>
      </c>
      <c r="H15" s="5" t="n">
        <f aca="false">COUNTIFS(البيانات!$B$2:$B$481,"غير العربية",البيانات!$W$2:$W$481,"&gt;="&amp;$F$2,البيانات!$W$2:$W$481,"&lt;="&amp;$G$2)</f>
        <v>37</v>
      </c>
      <c r="I15" s="6" t="n">
        <f aca="false">IFERROR(AVERAGEIFS(البيانات!$L$2:$L$481,البيانات!$B$2:$B$481,"غير العربية",البيانات!$W$2:$W$481,"&gt;="&amp;$F$2,البيانات!$W$2:$W$481,"&lt;="&amp;$G$2),"")</f>
        <v>0.189189189189189</v>
      </c>
      <c r="J15" s="6" t="n">
        <f aca="false">IFERROR(AVERAGEIFS(البيانات!$L$2:$L$481,البيانات!$B$2:$B$481,"عربية",البيانات!$W$2:$W$481,"&gt;="&amp;$F$2,البيانات!$W$2:$W$481,"&lt;="&amp;$G$2),"")</f>
        <v>0.408450704225352</v>
      </c>
      <c r="K15" s="5" t="n">
        <f aca="false">COUNTIFS(البيانات!$B$2:$B$481,"غير العربية",البيانات!$W$2:$W$481,"&gt;="&amp;$H$2,البيانات!$W$2:$W$481,"&lt;="&amp;$I$2)</f>
        <v>35</v>
      </c>
      <c r="L15" s="6" t="n">
        <f aca="false">IFERROR(AVERAGEIFS(البيانات!$L$2:$L$481,البيانات!$B$2:$B$481,"غير العربية",البيانات!$W$2:$W$481,"&gt;="&amp;$H$2,البيانات!$W$2:$W$481,"&lt;="&amp;$I$2),"")</f>
        <v>0.714285714285714</v>
      </c>
      <c r="M15" s="6" t="n">
        <f aca="false">IFERROR(AVERAGEIFS(البيانات!$L$2:$L$481,البيانات!$B$2:$B$481,"عربية",البيانات!$W$2:$W$481,"&gt;="&amp;$H$2,البيانات!$W$2:$W$481,"&lt;="&amp;$I$2),"")</f>
        <v>0.75</v>
      </c>
      <c r="N15" s="5" t="n">
        <f aca="false">COUNTIFS(البيانات!$B$2:$B$481,"غير العربية",البيانات!$W$2:$W$481,"&gt;="&amp;$J$2,البيانات!$W$2:$W$481,"&lt;="&amp;$K$2)</f>
        <v>36</v>
      </c>
      <c r="O15" s="6" t="n">
        <f aca="false">IFERROR(AVERAGEIFS(البيانات!$L$2:$L$481,البيانات!$B$2:$B$481,"غير العربية",البيانات!$W$2:$W$481,"&gt;="&amp;$J$2,البيانات!$W$2:$W$481,"&lt;="&amp;$K$2),"")</f>
        <v>0.944444444444444</v>
      </c>
      <c r="P15" s="6" t="n">
        <f aca="false">IFERROR(AVERAGEIFS(البيانات!$L$2:$L$481,البيانات!$B$2:$B$481,"عربية",البيانات!$W$2:$W$481,"&gt;="&amp;$J$2,البيانات!$W$2:$W$481,"&lt;="&amp;$K$2),"")</f>
        <v>0.95</v>
      </c>
      <c r="Q15" s="6" t="n">
        <f aca="false">(IF(AND(ISNUMBER(C15),ISNUMBER(D15)),B15*(C15-D15),0)+IF(AND(ISNUMBER(F15),ISNUMBER(G15)),E15*(F15-G15),0)+IF(AND(ISNUMBER(I15),ISNUMBER(J15)),H15*(I15-J15),0)+IF(AND(ISNUMBER(L15),ISNUMBER(M15)),K15*(L15-M15),0)+IF(AND(ISNUMBER(O15),ISNUMBER(P15)),N15*(O15-P15),0))/(IF(AND(ISNUMBER(C15),ISNUMBER(D15)),B15,0)+IF(AND(ISNUMBER(F15),ISNUMBER(G15)),E15,0)+IF(AND(ISNUMBER(I15),ISNUMBER(J15)),H15,0)+IF(AND(ISNUMBER(L15),ISNUMBER(M15)),K15,0)+IF(AND(ISNUMBER(O15),ISNUMBER(P15)),N15,0))</f>
        <v>-0.0618259331065113</v>
      </c>
      <c r="R15" s="5" t="str">
        <f aca="false">IF(ABS(Q15)&gt;$N$2,IF(Q15&lt;0,"فرق كبير ضد غير العربية","فرق كبير لصالح غير العربية"),IF(ABS(Q15)&gt;=$N$1,"يستحق الفحص","مهمل"))</f>
        <v>يستحق الفحص</v>
      </c>
    </row>
    <row r="16" customFormat="false" ht="17.9" hidden="false" customHeight="false" outlineLevel="0" collapsed="false">
      <c r="A16" s="5" t="s">
        <v>23</v>
      </c>
      <c r="B16" s="5" t="n">
        <f aca="false">COUNTIFS(البيانات!$B$2:$B$481,"غير العربية",البيانات!$W$2:$W$481,"&gt;="&amp;$B$2,البيانات!$W$2:$W$481,"&lt;="&amp;$C$2)</f>
        <v>36</v>
      </c>
      <c r="C16" s="6" t="n">
        <f aca="false">IFERROR(AVERAGEIFS(البيانات!$M$2:$M$481,البيانات!$B$2:$B$481,"غير العربية",البيانات!$W$2:$W$481,"&gt;="&amp;$B$2,البيانات!$W$2:$W$481,"&lt;="&amp;$C$2),"")</f>
        <v>0</v>
      </c>
      <c r="D16" s="6" t="n">
        <f aca="false">IFERROR(AVERAGEIFS(البيانات!$M$2:$M$481,البيانات!$B$2:$B$481,"عربية",البيانات!$W$2:$W$481,"&gt;="&amp;$B$2,البيانات!$W$2:$W$481,"&lt;="&amp;$C$2),"")</f>
        <v>0</v>
      </c>
      <c r="E16" s="5" t="n">
        <f aca="false">COUNTIFS(البيانات!$B$2:$B$481,"غير العربية",البيانات!$W$2:$W$481,"&gt;="&amp;$D$2,البيانات!$W$2:$W$481,"&lt;="&amp;$E$2)</f>
        <v>36</v>
      </c>
      <c r="F16" s="6" t="n">
        <f aca="false">IFERROR(AVERAGEIFS(البيانات!$M$2:$M$481,البيانات!$B$2:$B$481,"غير العربية",البيانات!$W$2:$W$481,"&gt;="&amp;$D$2,البيانات!$W$2:$W$481,"&lt;="&amp;$E$2),"")</f>
        <v>0.138888888888889</v>
      </c>
      <c r="G16" s="6" t="n">
        <f aca="false">IFERROR(AVERAGEIFS(البيانات!$M$2:$M$481,البيانات!$B$2:$B$481,"عربية",البيانات!$W$2:$W$481,"&gt;="&amp;$D$2,البيانات!$W$2:$W$481,"&lt;="&amp;$E$2),"")</f>
        <v>0.0461538461538462</v>
      </c>
      <c r="H16" s="5" t="n">
        <f aca="false">COUNTIFS(البيانات!$B$2:$B$481,"غير العربية",البيانات!$W$2:$W$481,"&gt;="&amp;$F$2,البيانات!$W$2:$W$481,"&lt;="&amp;$G$2)</f>
        <v>37</v>
      </c>
      <c r="I16" s="6" t="n">
        <f aca="false">IFERROR(AVERAGEIFS(البيانات!$M$2:$M$481,البيانات!$B$2:$B$481,"غير العربية",البيانات!$W$2:$W$481,"&gt;="&amp;$F$2,البيانات!$W$2:$W$481,"&lt;="&amp;$G$2),"")</f>
        <v>0.513513513513514</v>
      </c>
      <c r="J16" s="6" t="n">
        <f aca="false">IFERROR(AVERAGEIFS(البيانات!$M$2:$M$481,البيانات!$B$2:$B$481,"عربية",البيانات!$W$2:$W$481,"&gt;="&amp;$F$2,البيانات!$W$2:$W$481,"&lt;="&amp;$G$2),"")</f>
        <v>0.295774647887324</v>
      </c>
      <c r="K16" s="5" t="n">
        <f aca="false">COUNTIFS(البيانات!$B$2:$B$481,"غير العربية",البيانات!$W$2:$W$481,"&gt;="&amp;$H$2,البيانات!$W$2:$W$481,"&lt;="&amp;$I$2)</f>
        <v>35</v>
      </c>
      <c r="L16" s="6" t="n">
        <f aca="false">IFERROR(AVERAGEIFS(البيانات!$M$2:$M$481,البيانات!$B$2:$B$481,"غير العربية",البيانات!$W$2:$W$481,"&gt;="&amp;$H$2,البيانات!$W$2:$W$481,"&lt;="&amp;$I$2),"")</f>
        <v>0.771428571428572</v>
      </c>
      <c r="M16" s="6" t="n">
        <f aca="false">IFERROR(AVERAGEIFS(البيانات!$M$2:$M$481,البيانات!$B$2:$B$481,"عربية",البيانات!$W$2:$W$481,"&gt;="&amp;$H$2,البيانات!$W$2:$W$481,"&lt;="&amp;$I$2),"")</f>
        <v>0.833333333333333</v>
      </c>
      <c r="N16" s="5" t="n">
        <f aca="false">COUNTIFS(البيانات!$B$2:$B$481,"غير العربية",البيانات!$W$2:$W$481,"&gt;="&amp;$J$2,البيانات!$W$2:$W$481,"&lt;="&amp;$K$2)</f>
        <v>36</v>
      </c>
      <c r="O16" s="6" t="n">
        <f aca="false">IFERROR(AVERAGEIFS(البيانات!$M$2:$M$481,البيانات!$B$2:$B$481,"غير العربية",البيانات!$W$2:$W$481,"&gt;="&amp;$J$2,البيانات!$W$2:$W$481,"&lt;="&amp;$K$2),"")</f>
        <v>1</v>
      </c>
      <c r="P16" s="6" t="n">
        <f aca="false">IFERROR(AVERAGEIFS(البيانات!$M$2:$M$481,البيانات!$B$2:$B$481,"عربية",البيانات!$W$2:$W$481,"&gt;="&amp;$J$2,البيانات!$W$2:$W$481,"&lt;="&amp;$K$2),"")</f>
        <v>0.95</v>
      </c>
      <c r="Q16" s="6" t="n">
        <f aca="false">(IF(AND(ISNUMBER(C16),ISNUMBER(D16)),B16*(C16-D16),0)+IF(AND(ISNUMBER(F16),ISNUMBER(G16)),E16*(F16-G16),0)+IF(AND(ISNUMBER(I16),ISNUMBER(J16)),H16*(I16-J16),0)+IF(AND(ISNUMBER(L16),ISNUMBER(M16)),K16*(L16-M16),0)+IF(AND(ISNUMBER(O16),ISNUMBER(P16)),N16*(O16-P16),0))/(IF(AND(ISNUMBER(C16),ISNUMBER(D16)),B16,0)+IF(AND(ISNUMBER(F16),ISNUMBER(G16)),E16,0)+IF(AND(ISNUMBER(I16),ISNUMBER(J16)),H16,0)+IF(AND(ISNUMBER(L16),ISNUMBER(M16)),K16,0)+IF(AND(ISNUMBER(O16),ISNUMBER(P16)),N16,0))</f>
        <v>0.0612674049997994</v>
      </c>
      <c r="R16" s="5" t="str">
        <f aca="false">IF(ABS(Q16)&gt;$N$2,IF(Q16&lt;0,"فرق كبير ضد غير العربية","فرق كبير لصالح غير العربية"),IF(ABS(Q16)&gt;=$N$1,"يستحق الفحص","مهمل"))</f>
        <v>يستحق الفحص</v>
      </c>
    </row>
    <row r="17" customFormat="false" ht="17.9" hidden="false" customHeight="false" outlineLevel="0" collapsed="false">
      <c r="A17" s="5" t="s">
        <v>24</v>
      </c>
      <c r="B17" s="5" t="n">
        <f aca="false">COUNTIFS(البيانات!$B$2:$B$481,"غير العربية",البيانات!$W$2:$W$481,"&gt;="&amp;$B$2,البيانات!$W$2:$W$481,"&lt;="&amp;$C$2)</f>
        <v>36</v>
      </c>
      <c r="C17" s="6" t="n">
        <f aca="false">IFERROR(AVERAGEIFS(البيانات!$N$2:$N$481,البيانات!$B$2:$B$481,"غير العربية",البيانات!$W$2:$W$481,"&gt;="&amp;$B$2,البيانات!$W$2:$W$481,"&lt;="&amp;$C$2),"")</f>
        <v>0.666666666666667</v>
      </c>
      <c r="D17" s="6" t="n">
        <f aca="false">IFERROR(AVERAGEIFS(البيانات!$N$2:$N$481,البيانات!$B$2:$B$481,"عربية",البيانات!$W$2:$W$481,"&gt;="&amp;$B$2,البيانات!$W$2:$W$481,"&lt;="&amp;$C$2),"")</f>
        <v>0.578947368421053</v>
      </c>
      <c r="E17" s="5" t="n">
        <f aca="false">COUNTIFS(البيانات!$B$2:$B$481,"غير العربية",البيانات!$W$2:$W$481,"&gt;="&amp;$D$2,البيانات!$W$2:$W$481,"&lt;="&amp;$E$2)</f>
        <v>36</v>
      </c>
      <c r="F17" s="6" t="n">
        <f aca="false">IFERROR(AVERAGEIFS(البيانات!$N$2:$N$481,البيانات!$B$2:$B$481,"غير العربية",البيانات!$W$2:$W$481,"&gt;="&amp;$D$2,البيانات!$W$2:$W$481,"&lt;="&amp;$E$2),"")</f>
        <v>0.944444444444444</v>
      </c>
      <c r="G17" s="6" t="n">
        <f aca="false">IFERROR(AVERAGEIFS(البيانات!$N$2:$N$481,البيانات!$B$2:$B$481,"عربية",البيانات!$W$2:$W$481,"&gt;="&amp;$D$2,البيانات!$W$2:$W$481,"&lt;="&amp;$E$2),"")</f>
        <v>0.938461538461539</v>
      </c>
      <c r="H17" s="5" t="n">
        <f aca="false">COUNTIFS(البيانات!$B$2:$B$481,"غير العربية",البيانات!$W$2:$W$481,"&gt;="&amp;$F$2,البيانات!$W$2:$W$481,"&lt;="&amp;$G$2)</f>
        <v>37</v>
      </c>
      <c r="I17" s="6" t="n">
        <f aca="false">IFERROR(AVERAGEIFS(البيانات!$N$2:$N$481,البيانات!$B$2:$B$481,"غير العربية",البيانات!$W$2:$W$481,"&gt;="&amp;$F$2,البيانات!$W$2:$W$481,"&lt;="&amp;$G$2),"")</f>
        <v>0.972972972972973</v>
      </c>
      <c r="J17" s="6" t="n">
        <f aca="false">IFERROR(AVERAGEIFS(البيانات!$N$2:$N$481,البيانات!$B$2:$B$481,"عربية",البيانات!$W$2:$W$481,"&gt;="&amp;$F$2,البيانات!$W$2:$W$481,"&lt;="&amp;$G$2),"")</f>
        <v>0.971830985915493</v>
      </c>
      <c r="K17" s="5" t="n">
        <f aca="false">COUNTIFS(البيانات!$B$2:$B$481,"غير العربية",البيانات!$W$2:$W$481,"&gt;="&amp;$H$2,البيانات!$W$2:$W$481,"&lt;="&amp;$I$2)</f>
        <v>35</v>
      </c>
      <c r="L17" s="6" t="n">
        <f aca="false">IFERROR(AVERAGEIFS(البيانات!$N$2:$N$481,البيانات!$B$2:$B$481,"غير العربية",البيانات!$W$2:$W$481,"&gt;="&amp;$H$2,البيانات!$W$2:$W$481,"&lt;="&amp;$I$2),"")</f>
        <v>1</v>
      </c>
      <c r="M17" s="6" t="n">
        <f aca="false">IFERROR(AVERAGEIFS(البيانات!$N$2:$N$481,البيانات!$B$2:$B$481,"عربية",البيانات!$W$2:$W$481,"&gt;="&amp;$H$2,البيانات!$W$2:$W$481,"&lt;="&amp;$I$2),"")</f>
        <v>1</v>
      </c>
      <c r="N17" s="5" t="n">
        <f aca="false">COUNTIFS(البيانات!$B$2:$B$481,"غير العربية",البيانات!$W$2:$W$481,"&gt;="&amp;$J$2,البيانات!$W$2:$W$481,"&lt;="&amp;$K$2)</f>
        <v>36</v>
      </c>
      <c r="O17" s="6" t="n">
        <f aca="false">IFERROR(AVERAGEIFS(البيانات!$N$2:$N$481,البيانات!$B$2:$B$481,"غير العربية",البيانات!$W$2:$W$481,"&gt;="&amp;$J$2,البيانات!$W$2:$W$481,"&lt;="&amp;$K$2),"")</f>
        <v>1</v>
      </c>
      <c r="P17" s="6" t="n">
        <f aca="false">IFERROR(AVERAGEIFS(البيانات!$N$2:$N$481,البيانات!$B$2:$B$481,"عربية",البيانات!$W$2:$W$481,"&gt;="&amp;$J$2,البيانات!$W$2:$W$481,"&lt;="&amp;$K$2),"")</f>
        <v>1</v>
      </c>
      <c r="Q17" s="6" t="n">
        <f aca="false">(IF(AND(ISNUMBER(C17),ISNUMBER(D17)),B17*(C17-D17),0)+IF(AND(ISNUMBER(F17),ISNUMBER(G17)),E17*(F17-G17),0)+IF(AND(ISNUMBER(I17),ISNUMBER(J17)),H17*(I17-J17),0)+IF(AND(ISNUMBER(L17),ISNUMBER(M17)),K17*(L17-M17),0)+IF(AND(ISNUMBER(O17),ISNUMBER(P17)),N17*(O17-P17),0))/(IF(AND(ISNUMBER(C17),ISNUMBER(D17)),B17,0)+IF(AND(ISNUMBER(F17),ISNUMBER(G17)),E17,0)+IF(AND(ISNUMBER(I17),ISNUMBER(J17)),H17,0)+IF(AND(ISNUMBER(L17),ISNUMBER(M17)),K17,0)+IF(AND(ISNUMBER(O17),ISNUMBER(P17)),N17,0))</f>
        <v>0.0189751826297416</v>
      </c>
      <c r="R17" s="5" t="str">
        <f aca="false">IF(ABS(Q17)&gt;$N$2,IF(Q17&lt;0,"فرق كبير ضد غير العربية","فرق كبير لصالح غير العربية"),IF(ABS(Q17)&gt;=$N$1,"يستحق الفحص","مهمل"))</f>
        <v>مهمل</v>
      </c>
    </row>
    <row r="18" customFormat="false" ht="17.9" hidden="false" customHeight="false" outlineLevel="0" collapsed="false">
      <c r="A18" s="5" t="s">
        <v>25</v>
      </c>
      <c r="B18" s="5" t="n">
        <f aca="false">COUNTIFS(البيانات!$B$2:$B$481,"غير العربية",البيانات!$W$2:$W$481,"&gt;="&amp;$B$2,البيانات!$W$2:$W$481,"&lt;="&amp;$C$2)</f>
        <v>36</v>
      </c>
      <c r="C18" s="6" t="n">
        <f aca="false">IFERROR(AVERAGEIFS(البيانات!$O$2:$O$481,البيانات!$B$2:$B$481,"غير العربية",البيانات!$W$2:$W$481,"&gt;="&amp;$B$2,البيانات!$W$2:$W$481,"&lt;="&amp;$C$2),"")</f>
        <v>0.0277777777777778</v>
      </c>
      <c r="D18" s="6" t="n">
        <f aca="false">IFERROR(AVERAGEIFS(البيانات!$O$2:$O$481,البيانات!$B$2:$B$481,"عربية",البيانات!$W$2:$W$481,"&gt;="&amp;$B$2,البيانات!$W$2:$W$481,"&lt;="&amp;$C$2),"")</f>
        <v>0.0789473684210526</v>
      </c>
      <c r="E18" s="5" t="n">
        <f aca="false">COUNTIFS(البيانات!$B$2:$B$481,"غير العربية",البيانات!$W$2:$W$481,"&gt;="&amp;$D$2,البيانات!$W$2:$W$481,"&lt;="&amp;$E$2)</f>
        <v>36</v>
      </c>
      <c r="F18" s="6" t="n">
        <f aca="false">IFERROR(AVERAGEIFS(البيانات!$O$2:$O$481,البيانات!$B$2:$B$481,"غير العربية",البيانات!$W$2:$W$481,"&gt;="&amp;$D$2,البيانات!$W$2:$W$481,"&lt;="&amp;$E$2),"")</f>
        <v>0.305555555555556</v>
      </c>
      <c r="G18" s="6" t="n">
        <f aca="false">IFERROR(AVERAGEIFS(البيانات!$O$2:$O$481,البيانات!$B$2:$B$481,"عربية",البيانات!$W$2:$W$481,"&gt;="&amp;$D$2,البيانات!$W$2:$W$481,"&lt;="&amp;$E$2),"")</f>
        <v>0.307692307692308</v>
      </c>
      <c r="H18" s="5" t="n">
        <f aca="false">COUNTIFS(البيانات!$B$2:$B$481,"غير العربية",البيانات!$W$2:$W$481,"&gt;="&amp;$F$2,البيانات!$W$2:$W$481,"&lt;="&amp;$G$2)</f>
        <v>37</v>
      </c>
      <c r="I18" s="6" t="n">
        <f aca="false">IFERROR(AVERAGEIFS(البيانات!$O$2:$O$481,البيانات!$B$2:$B$481,"غير العربية",البيانات!$W$2:$W$481,"&gt;="&amp;$F$2,البيانات!$W$2:$W$481,"&lt;="&amp;$G$2),"")</f>
        <v>0.594594594594595</v>
      </c>
      <c r="J18" s="6" t="n">
        <f aca="false">IFERROR(AVERAGEIFS(البيانات!$O$2:$O$481,البيانات!$B$2:$B$481,"عربية",البيانات!$W$2:$W$481,"&gt;="&amp;$F$2,البيانات!$W$2:$W$481,"&lt;="&amp;$G$2),"")</f>
        <v>0.492957746478873</v>
      </c>
      <c r="K18" s="5" t="n">
        <f aca="false">COUNTIFS(البيانات!$B$2:$B$481,"غير العربية",البيانات!$W$2:$W$481,"&gt;="&amp;$H$2,البيانات!$W$2:$W$481,"&lt;="&amp;$I$2)</f>
        <v>35</v>
      </c>
      <c r="L18" s="6" t="n">
        <f aca="false">IFERROR(AVERAGEIFS(البيانات!$O$2:$O$481,البيانات!$B$2:$B$481,"غير العربية",البيانات!$W$2:$W$481,"&gt;="&amp;$H$2,البيانات!$W$2:$W$481,"&lt;="&amp;$I$2),"")</f>
        <v>0.714285714285714</v>
      </c>
      <c r="M18" s="6" t="n">
        <f aca="false">IFERROR(AVERAGEIFS(البيانات!$O$2:$O$481,البيانات!$B$2:$B$481,"عربية",البيانات!$W$2:$W$481,"&gt;="&amp;$H$2,البيانات!$W$2:$W$481,"&lt;="&amp;$I$2),"")</f>
        <v>0.645833333333333</v>
      </c>
      <c r="N18" s="5" t="n">
        <f aca="false">COUNTIFS(البيانات!$B$2:$B$481,"غير العربية",البيانات!$W$2:$W$481,"&gt;="&amp;$J$2,البيانات!$W$2:$W$481,"&lt;="&amp;$K$2)</f>
        <v>36</v>
      </c>
      <c r="O18" s="6" t="n">
        <f aca="false">IFERROR(AVERAGEIFS(البيانات!$O$2:$O$481,البيانات!$B$2:$B$481,"غير العربية",البيانات!$W$2:$W$481,"&gt;="&amp;$J$2,البيانات!$W$2:$W$481,"&lt;="&amp;$K$2),"")</f>
        <v>0.916666666666667</v>
      </c>
      <c r="P18" s="6" t="n">
        <f aca="false">IFERROR(AVERAGEIFS(البيانات!$O$2:$O$481,البيانات!$B$2:$B$481,"عربية",البيانات!$W$2:$W$481,"&gt;="&amp;$J$2,البيانات!$W$2:$W$481,"&lt;="&amp;$K$2),"")</f>
        <v>0.95</v>
      </c>
      <c r="Q18" s="6" t="n">
        <f aca="false">(IF(AND(ISNUMBER(C18),ISNUMBER(D18)),B18*(C18-D18),0)+IF(AND(ISNUMBER(F18),ISNUMBER(G18)),E18*(F18-G18),0)+IF(AND(ISNUMBER(I18),ISNUMBER(J18)),H18*(I18-J18),0)+IF(AND(ISNUMBER(L18),ISNUMBER(M18)),K18*(L18-M18),0)+IF(AND(ISNUMBER(O18),ISNUMBER(P18)),N18*(O18-P18),0))/(IF(AND(ISNUMBER(C18),ISNUMBER(D18)),B18,0)+IF(AND(ISNUMBER(F18),ISNUMBER(G18)),E18,0)+IF(AND(ISNUMBER(I18),ISNUMBER(J18)),H18,0)+IF(AND(ISNUMBER(L18),ISNUMBER(M18)),K18,0)+IF(AND(ISNUMBER(O18),ISNUMBER(P18)),N18,0))</f>
        <v>0.0168742687418558</v>
      </c>
      <c r="R18" s="5" t="str">
        <f aca="false">IF(ABS(Q18)&gt;$N$2,IF(Q18&lt;0,"فرق كبير ضد غير العربية","فرق كبير لصالح غير العربية"),IF(ABS(Q18)&gt;=$N$1,"يستحق الفحص","مهمل"))</f>
        <v>مهمل</v>
      </c>
    </row>
    <row r="19" customFormat="false" ht="17.9" hidden="false" customHeight="false" outlineLevel="0" collapsed="false">
      <c r="A19" s="5" t="s">
        <v>26</v>
      </c>
      <c r="B19" s="5" t="n">
        <f aca="false">COUNTIFS(البيانات!$B$2:$B$481,"غير العربية",البيانات!$W$2:$W$481,"&gt;="&amp;$B$2,البيانات!$W$2:$W$481,"&lt;="&amp;$C$2)</f>
        <v>36</v>
      </c>
      <c r="C19" s="6" t="n">
        <f aca="false">IFERROR(AVERAGEIFS(البيانات!$P$2:$P$481,البيانات!$B$2:$B$481,"غير العربية",البيانات!$W$2:$W$481,"&gt;="&amp;$B$2,البيانات!$W$2:$W$481,"&lt;="&amp;$C$2),"")</f>
        <v>0</v>
      </c>
      <c r="D19" s="6" t="n">
        <f aca="false">IFERROR(AVERAGEIFS(البيانات!$P$2:$P$481,البيانات!$B$2:$B$481,"عربية",البيانات!$W$2:$W$481,"&gt;="&amp;$B$2,البيانات!$W$2:$W$481,"&lt;="&amp;$C$2),"")</f>
        <v>0.0394736842105263</v>
      </c>
      <c r="E19" s="5" t="n">
        <f aca="false">COUNTIFS(البيانات!$B$2:$B$481,"غير العربية",البيانات!$W$2:$W$481,"&gt;="&amp;$D$2,البيانات!$W$2:$W$481,"&lt;="&amp;$E$2)</f>
        <v>36</v>
      </c>
      <c r="F19" s="6" t="n">
        <f aca="false">IFERROR(AVERAGEIFS(البيانات!$P$2:$P$481,البيانات!$B$2:$B$481,"غير العربية",البيانات!$W$2:$W$481,"&gt;="&amp;$D$2,البيانات!$W$2:$W$481,"&lt;="&amp;$E$2),"")</f>
        <v>0.0833333333333333</v>
      </c>
      <c r="G19" s="6" t="n">
        <f aca="false">IFERROR(AVERAGEIFS(البيانات!$P$2:$P$481,البيانات!$B$2:$B$481,"عربية",البيانات!$W$2:$W$481,"&gt;="&amp;$D$2,البيانات!$W$2:$W$481,"&lt;="&amp;$E$2),"")</f>
        <v>0.107692307692308</v>
      </c>
      <c r="H19" s="5" t="n">
        <f aca="false">COUNTIFS(البيانات!$B$2:$B$481,"غير العربية",البيانات!$W$2:$W$481,"&gt;="&amp;$F$2,البيانات!$W$2:$W$481,"&lt;="&amp;$G$2)</f>
        <v>37</v>
      </c>
      <c r="I19" s="6" t="n">
        <f aca="false">IFERROR(AVERAGEIFS(البيانات!$P$2:$P$481,البيانات!$B$2:$B$481,"غير العربية",البيانات!$W$2:$W$481,"&gt;="&amp;$F$2,البيانات!$W$2:$W$481,"&lt;="&amp;$G$2),"")</f>
        <v>0.0810810810810811</v>
      </c>
      <c r="J19" s="6" t="n">
        <f aca="false">IFERROR(AVERAGEIFS(البيانات!$P$2:$P$481,البيانات!$B$2:$B$481,"عربية",البيانات!$W$2:$W$481,"&gt;="&amp;$F$2,البيانات!$W$2:$W$481,"&lt;="&amp;$G$2),"")</f>
        <v>0.23943661971831</v>
      </c>
      <c r="K19" s="5" t="n">
        <f aca="false">COUNTIFS(البيانات!$B$2:$B$481,"غير العربية",البيانات!$W$2:$W$481,"&gt;="&amp;$H$2,البيانات!$W$2:$W$481,"&lt;="&amp;$I$2)</f>
        <v>35</v>
      </c>
      <c r="L19" s="6" t="n">
        <f aca="false">IFERROR(AVERAGEIFS(البيانات!$P$2:$P$481,البيانات!$B$2:$B$481,"غير العربية",البيانات!$W$2:$W$481,"&gt;="&amp;$H$2,البيانات!$W$2:$W$481,"&lt;="&amp;$I$2),"")</f>
        <v>0.171428571428571</v>
      </c>
      <c r="M19" s="6" t="n">
        <f aca="false">IFERROR(AVERAGEIFS(البيانات!$P$2:$P$481,البيانات!$B$2:$B$481,"عربية",البيانات!$W$2:$W$481,"&gt;="&amp;$H$2,البيانات!$W$2:$W$481,"&lt;="&amp;$I$2),"")</f>
        <v>0.458333333333333</v>
      </c>
      <c r="N19" s="5" t="n">
        <f aca="false">COUNTIFS(البيانات!$B$2:$B$481,"غير العربية",البيانات!$W$2:$W$481,"&gt;="&amp;$J$2,البيانات!$W$2:$W$481,"&lt;="&amp;$K$2)</f>
        <v>36</v>
      </c>
      <c r="O19" s="6" t="n">
        <f aca="false">IFERROR(AVERAGEIFS(البيانات!$P$2:$P$481,البيانات!$B$2:$B$481,"غير العربية",البيانات!$W$2:$W$481,"&gt;="&amp;$J$2,البيانات!$W$2:$W$481,"&lt;="&amp;$K$2),"")</f>
        <v>0.694444444444444</v>
      </c>
      <c r="P19" s="6" t="n">
        <f aca="false">IFERROR(AVERAGEIFS(البيانات!$P$2:$P$481,البيانات!$B$2:$B$481,"عربية",البيانات!$W$2:$W$481,"&gt;="&amp;$J$2,البيانات!$W$2:$W$481,"&lt;="&amp;$K$2),"")</f>
        <v>0.9</v>
      </c>
      <c r="Q19" s="6" t="n">
        <f aca="false">(IF(AND(ISNUMBER(C19),ISNUMBER(D19)),B19*(C19-D19),0)+IF(AND(ISNUMBER(F19),ISNUMBER(G19)),E19*(F19-G19),0)+IF(AND(ISNUMBER(I19),ISNUMBER(J19)),H19*(I19-J19),0)+IF(AND(ISNUMBER(L19),ISNUMBER(M19)),K19*(L19-M19),0)+IF(AND(ISNUMBER(O19),ISNUMBER(P19)),N19*(O19-P19),0))/(IF(AND(ISNUMBER(C19),ISNUMBER(D19)),B19,0)+IF(AND(ISNUMBER(F19),ISNUMBER(G19)),E19,0)+IF(AND(ISNUMBER(I19),ISNUMBER(J19)),H19,0)+IF(AND(ISNUMBER(L19),ISNUMBER(M19)),K19,0)+IF(AND(ISNUMBER(O19),ISNUMBER(P19)),N19,0))</f>
        <v>-0.142215540581923</v>
      </c>
      <c r="R19" s="5" t="str">
        <f aca="false">IF(ABS(Q19)&gt;$N$2,IF(Q19&lt;0,"فرق كبير ضد غير العربية","فرق كبير لصالح غير العربية"),IF(ABS(Q19)&gt;=$N$1,"يستحق الفحص","مهمل"))</f>
        <v>فرق كبير ضد غير العربية</v>
      </c>
    </row>
    <row r="20" customFormat="false" ht="17.9" hidden="false" customHeight="false" outlineLevel="0" collapsed="false">
      <c r="A20" s="5" t="s">
        <v>27</v>
      </c>
      <c r="B20" s="5" t="n">
        <f aca="false">COUNTIFS(البيانات!$B$2:$B$481,"غير العربية",البيانات!$W$2:$W$481,"&gt;="&amp;$B$2,البيانات!$W$2:$W$481,"&lt;="&amp;$C$2)</f>
        <v>36</v>
      </c>
      <c r="C20" s="6" t="n">
        <f aca="false">IFERROR(AVERAGEIFS(البيانات!$Q$2:$Q$481,البيانات!$B$2:$B$481,"غير العربية",البيانات!$W$2:$W$481,"&gt;="&amp;$B$2,البيانات!$W$2:$W$481,"&lt;="&amp;$C$2),"")</f>
        <v>0.5</v>
      </c>
      <c r="D20" s="6" t="n">
        <f aca="false">IFERROR(AVERAGEIFS(البيانات!$Q$2:$Q$481,البيانات!$B$2:$B$481,"عربية",البيانات!$W$2:$W$481,"&gt;="&amp;$B$2,البيانات!$W$2:$W$481,"&lt;="&amp;$C$2),"")</f>
        <v>0.592105263157895</v>
      </c>
      <c r="E20" s="5" t="n">
        <f aca="false">COUNTIFS(البيانات!$B$2:$B$481,"غير العربية",البيانات!$W$2:$W$481,"&gt;="&amp;$D$2,البيانات!$W$2:$W$481,"&lt;="&amp;$E$2)</f>
        <v>36</v>
      </c>
      <c r="F20" s="6" t="n">
        <f aca="false">IFERROR(AVERAGEIFS(البيانات!$Q$2:$Q$481,البيانات!$B$2:$B$481,"غير العربية",البيانات!$W$2:$W$481,"&gt;="&amp;$D$2,البيانات!$W$2:$W$481,"&lt;="&amp;$E$2),"")</f>
        <v>0.944444444444444</v>
      </c>
      <c r="G20" s="6" t="n">
        <f aca="false">IFERROR(AVERAGEIFS(البيانات!$Q$2:$Q$481,البيانات!$B$2:$B$481,"عربية",البيانات!$W$2:$W$481,"&gt;="&amp;$D$2,البيانات!$W$2:$W$481,"&lt;="&amp;$E$2),"")</f>
        <v>0.953846153846154</v>
      </c>
      <c r="H20" s="5" t="n">
        <f aca="false">COUNTIFS(البيانات!$B$2:$B$481,"غير العربية",البيانات!$W$2:$W$481,"&gt;="&amp;$F$2,البيانات!$W$2:$W$481,"&lt;="&amp;$G$2)</f>
        <v>37</v>
      </c>
      <c r="I20" s="6" t="n">
        <f aca="false">IFERROR(AVERAGEIFS(البيانات!$Q$2:$Q$481,البيانات!$B$2:$B$481,"غير العربية",البيانات!$W$2:$W$481,"&gt;="&amp;$F$2,البيانات!$W$2:$W$481,"&lt;="&amp;$G$2),"")</f>
        <v>0.972972972972973</v>
      </c>
      <c r="J20" s="6" t="n">
        <f aca="false">IFERROR(AVERAGEIFS(البيانات!$Q$2:$Q$481,البيانات!$B$2:$B$481,"عربية",البيانات!$W$2:$W$481,"&gt;="&amp;$F$2,البيانات!$W$2:$W$481,"&lt;="&amp;$G$2),"")</f>
        <v>1</v>
      </c>
      <c r="K20" s="5" t="n">
        <f aca="false">COUNTIFS(البيانات!$B$2:$B$481,"غير العربية",البيانات!$W$2:$W$481,"&gt;="&amp;$H$2,البيانات!$W$2:$W$481,"&lt;="&amp;$I$2)</f>
        <v>35</v>
      </c>
      <c r="L20" s="6" t="n">
        <f aca="false">IFERROR(AVERAGEIFS(البيانات!$Q$2:$Q$481,البيانات!$B$2:$B$481,"غير العربية",البيانات!$W$2:$W$481,"&gt;="&amp;$H$2,البيانات!$W$2:$W$481,"&lt;="&amp;$I$2),"")</f>
        <v>1</v>
      </c>
      <c r="M20" s="6" t="n">
        <f aca="false">IFERROR(AVERAGEIFS(البيانات!$Q$2:$Q$481,البيانات!$B$2:$B$481,"عربية",البيانات!$W$2:$W$481,"&gt;="&amp;$H$2,البيانات!$W$2:$W$481,"&lt;="&amp;$I$2),"")</f>
        <v>1</v>
      </c>
      <c r="N20" s="5" t="n">
        <f aca="false">COUNTIFS(البيانات!$B$2:$B$481,"غير العربية",البيانات!$W$2:$W$481,"&gt;="&amp;$J$2,البيانات!$W$2:$W$481,"&lt;="&amp;$K$2)</f>
        <v>36</v>
      </c>
      <c r="O20" s="6" t="n">
        <f aca="false">IFERROR(AVERAGEIFS(البيانات!$Q$2:$Q$481,البيانات!$B$2:$B$481,"غير العربية",البيانات!$W$2:$W$481,"&gt;="&amp;$J$2,البيانات!$W$2:$W$481,"&lt;="&amp;$K$2),"")</f>
        <v>1</v>
      </c>
      <c r="P20" s="6" t="n">
        <f aca="false">IFERROR(AVERAGEIFS(البيانات!$Q$2:$Q$481,البيانات!$B$2:$B$481,"عربية",البيانات!$W$2:$W$481,"&gt;="&amp;$J$2,البيانات!$W$2:$W$481,"&lt;="&amp;$K$2),"")</f>
        <v>1</v>
      </c>
      <c r="Q20" s="6" t="n">
        <f aca="false">(IF(AND(ISNUMBER(C20),ISNUMBER(D20)),B20*(C20-D20),0)+IF(AND(ISNUMBER(F20),ISNUMBER(G20)),E20*(F20-G20),0)+IF(AND(ISNUMBER(I20),ISNUMBER(J20)),H20*(I20-J20),0)+IF(AND(ISNUMBER(L20),ISNUMBER(M20)),K20*(L20-M20),0)+IF(AND(ISNUMBER(O20),ISNUMBER(P20)),N20*(O20-P20),0))/(IF(AND(ISNUMBER(C20),ISNUMBER(D20)),B20,0)+IF(AND(ISNUMBER(F20),ISNUMBER(G20)),E20,0)+IF(AND(ISNUMBER(I20),ISNUMBER(J20)),H20,0)+IF(AND(ISNUMBER(L20),ISNUMBER(M20)),K20,0)+IF(AND(ISNUMBER(O20),ISNUMBER(P20)),N20,0))</f>
        <v>-0.0258569500674764</v>
      </c>
      <c r="R20" s="5" t="str">
        <f aca="false">IF(ABS(Q20)&gt;$N$2,IF(Q20&lt;0,"فرق كبير ضد غير العربية","فرق كبير لصالح غير العربية"),IF(ABS(Q20)&gt;=$N$1,"يستحق الفحص","مهمل"))</f>
        <v>مهمل</v>
      </c>
    </row>
    <row r="21" customFormat="false" ht="17.9" hidden="false" customHeight="false" outlineLevel="0" collapsed="false">
      <c r="A21" s="5" t="s">
        <v>28</v>
      </c>
      <c r="B21" s="5" t="n">
        <f aca="false">COUNTIFS(البيانات!$B$2:$B$481,"غير العربية",البيانات!$W$2:$W$481,"&gt;="&amp;$B$2,البيانات!$W$2:$W$481,"&lt;="&amp;$C$2)</f>
        <v>36</v>
      </c>
      <c r="C21" s="6" t="n">
        <f aca="false">IFERROR(AVERAGEIFS(البيانات!$R$2:$R$481,البيانات!$B$2:$B$481,"غير العربية",البيانات!$W$2:$W$481,"&gt;="&amp;$B$2,البيانات!$W$2:$W$481,"&lt;="&amp;$C$2),"")</f>
        <v>0.0277777777777778</v>
      </c>
      <c r="D21" s="6" t="n">
        <f aca="false">IFERROR(AVERAGEIFS(البيانات!$R$2:$R$481,البيانات!$B$2:$B$481,"عربية",البيانات!$W$2:$W$481,"&gt;="&amp;$B$2,البيانات!$W$2:$W$481,"&lt;="&amp;$C$2),"")</f>
        <v>0.0263157894736842</v>
      </c>
      <c r="E21" s="5" t="n">
        <f aca="false">COUNTIFS(البيانات!$B$2:$B$481,"غير العربية",البيانات!$W$2:$W$481,"&gt;="&amp;$D$2,البيانات!$W$2:$W$481,"&lt;="&amp;$E$2)</f>
        <v>36</v>
      </c>
      <c r="F21" s="6" t="n">
        <f aca="false">IFERROR(AVERAGEIFS(البيانات!$R$2:$R$481,البيانات!$B$2:$B$481,"غير العربية",البيانات!$W$2:$W$481,"&gt;="&amp;$D$2,البيانات!$W$2:$W$481,"&lt;="&amp;$E$2),"")</f>
        <v>0.416666666666667</v>
      </c>
      <c r="G21" s="6" t="n">
        <f aca="false">IFERROR(AVERAGEIFS(البيانات!$R$2:$R$481,البيانات!$B$2:$B$481,"عربية",البيانات!$W$2:$W$481,"&gt;="&amp;$D$2,البيانات!$W$2:$W$481,"&lt;="&amp;$E$2),"")</f>
        <v>0.307692307692308</v>
      </c>
      <c r="H21" s="5" t="n">
        <f aca="false">COUNTIFS(البيانات!$B$2:$B$481,"غير العربية",البيانات!$W$2:$W$481,"&gt;="&amp;$F$2,البيانات!$W$2:$W$481,"&lt;="&amp;$G$2)</f>
        <v>37</v>
      </c>
      <c r="I21" s="6" t="n">
        <f aca="false">IFERROR(AVERAGEIFS(البيانات!$R$2:$R$481,البيانات!$B$2:$B$481,"غير العربية",البيانات!$W$2:$W$481,"&gt;="&amp;$F$2,البيانات!$W$2:$W$481,"&lt;="&amp;$G$2),"")</f>
        <v>0.702702702702703</v>
      </c>
      <c r="J21" s="6" t="n">
        <f aca="false">IFERROR(AVERAGEIFS(البيانات!$R$2:$R$481,البيانات!$B$2:$B$481,"عربية",البيانات!$W$2:$W$481,"&gt;="&amp;$F$2,البيانات!$W$2:$W$481,"&lt;="&amp;$G$2),"")</f>
        <v>0.774647887323944</v>
      </c>
      <c r="K21" s="5" t="n">
        <f aca="false">COUNTIFS(البيانات!$B$2:$B$481,"غير العربية",البيانات!$W$2:$W$481,"&gt;="&amp;$H$2,البيانات!$W$2:$W$481,"&lt;="&amp;$I$2)</f>
        <v>35</v>
      </c>
      <c r="L21" s="6" t="n">
        <f aca="false">IFERROR(AVERAGEIFS(البيانات!$R$2:$R$481,البيانات!$B$2:$B$481,"غير العربية",البيانات!$W$2:$W$481,"&gt;="&amp;$H$2,البيانات!$W$2:$W$481,"&lt;="&amp;$I$2),"")</f>
        <v>0.971428571428571</v>
      </c>
      <c r="M21" s="6" t="n">
        <f aca="false">IFERROR(AVERAGEIFS(البيانات!$R$2:$R$481,البيانات!$B$2:$B$481,"عربية",البيانات!$W$2:$W$481,"&gt;="&amp;$H$2,البيانات!$W$2:$W$481,"&lt;="&amp;$I$2),"")</f>
        <v>0.833333333333333</v>
      </c>
      <c r="N21" s="5" t="n">
        <f aca="false">COUNTIFS(البيانات!$B$2:$B$481,"غير العربية",البيانات!$W$2:$W$481,"&gt;="&amp;$J$2,البيانات!$W$2:$W$481,"&lt;="&amp;$K$2)</f>
        <v>36</v>
      </c>
      <c r="O21" s="6" t="n">
        <f aca="false">IFERROR(AVERAGEIFS(البيانات!$R$2:$R$481,البيانات!$B$2:$B$481,"غير العربية",البيانات!$W$2:$W$481,"&gt;="&amp;$J$2,البيانات!$W$2:$W$481,"&lt;="&amp;$K$2),"")</f>
        <v>0.972222222222222</v>
      </c>
      <c r="P21" s="6" t="n">
        <f aca="false">IFERROR(AVERAGEIFS(البيانات!$R$2:$R$481,البيانات!$B$2:$B$481,"عربية",البيانات!$W$2:$W$481,"&gt;="&amp;$J$2,البيانات!$W$2:$W$481,"&lt;="&amp;$K$2),"")</f>
        <v>0.975</v>
      </c>
      <c r="Q21" s="6" t="n">
        <f aca="false">(IF(AND(ISNUMBER(C21),ISNUMBER(D21)),B21*(C21-D21),0)+IF(AND(ISNUMBER(F21),ISNUMBER(G21)),E21*(F21-G21),0)+IF(AND(ISNUMBER(I21),ISNUMBER(J21)),H21*(I21-J21),0)+IF(AND(ISNUMBER(L21),ISNUMBER(M21)),K21*(L21-M21),0)+IF(AND(ISNUMBER(O21),ISNUMBER(P21)),N21*(O21-P21),0))/(IF(AND(ISNUMBER(C21),ISNUMBER(D21)),B21,0)+IF(AND(ISNUMBER(F21),ISNUMBER(G21)),E21,0)+IF(AND(ISNUMBER(I21),ISNUMBER(J21)),H21,0)+IF(AND(ISNUMBER(L21),ISNUMBER(M21)),K21,0)+IF(AND(ISNUMBER(O21),ISNUMBER(P21)),N21,0))</f>
        <v>0.0335948333576206</v>
      </c>
      <c r="R21" s="5" t="str">
        <f aca="false">IF(ABS(Q21)&gt;$N$2,IF(Q21&lt;0,"فرق كبير ضد غير العربية","فرق كبير لصالح غير العربية"),IF(ABS(Q21)&gt;=$N$1,"يستحق الفحص","مهمل"))</f>
        <v>مهمل</v>
      </c>
    </row>
    <row r="22" customFormat="false" ht="17.9" hidden="false" customHeight="false" outlineLevel="0" collapsed="false">
      <c r="A22" s="5" t="s">
        <v>29</v>
      </c>
      <c r="B22" s="5" t="n">
        <f aca="false">COUNTIFS(البيانات!$B$2:$B$481,"غير العربية",البيانات!$W$2:$W$481,"&gt;="&amp;$B$2,البيانات!$W$2:$W$481,"&lt;="&amp;$C$2)</f>
        <v>36</v>
      </c>
      <c r="C22" s="6" t="n">
        <f aca="false">IFERROR(AVERAGEIFS(البيانات!$S$2:$S$481,البيانات!$B$2:$B$481,"غير العربية",البيانات!$W$2:$W$481,"&gt;="&amp;$B$2,البيانات!$W$2:$W$481,"&lt;="&amp;$C$2),"")</f>
        <v>0.333333333333333</v>
      </c>
      <c r="D22" s="6" t="n">
        <f aca="false">IFERROR(AVERAGEIFS(البيانات!$S$2:$S$481,البيانات!$B$2:$B$481,"عربية",البيانات!$W$2:$W$481,"&gt;="&amp;$B$2,البيانات!$W$2:$W$481,"&lt;="&amp;$C$2),"")</f>
        <v>0.118421052631579</v>
      </c>
      <c r="E22" s="5" t="n">
        <f aca="false">COUNTIFS(البيانات!$B$2:$B$481,"غير العربية",البيانات!$W$2:$W$481,"&gt;="&amp;$D$2,البيانات!$W$2:$W$481,"&lt;="&amp;$E$2)</f>
        <v>36</v>
      </c>
      <c r="F22" s="6" t="n">
        <f aca="false">IFERROR(AVERAGEIFS(البيانات!$S$2:$S$481,البيانات!$B$2:$B$481,"غير العربية",البيانات!$W$2:$W$481,"&gt;="&amp;$D$2,البيانات!$W$2:$W$481,"&lt;="&amp;$E$2),"")</f>
        <v>0.944444444444444</v>
      </c>
      <c r="G22" s="6" t="n">
        <f aca="false">IFERROR(AVERAGEIFS(البيانات!$S$2:$S$481,البيانات!$B$2:$B$481,"عربية",البيانات!$W$2:$W$481,"&gt;="&amp;$D$2,البيانات!$W$2:$W$481,"&lt;="&amp;$E$2),"")</f>
        <v>0.476923076923077</v>
      </c>
      <c r="H22" s="5" t="n">
        <f aca="false">COUNTIFS(البيانات!$B$2:$B$481,"غير العربية",البيانات!$W$2:$W$481,"&gt;="&amp;$F$2,البيانات!$W$2:$W$481,"&lt;="&amp;$G$2)</f>
        <v>37</v>
      </c>
      <c r="I22" s="6" t="n">
        <f aca="false">IFERROR(AVERAGEIFS(البيانات!$S$2:$S$481,البيانات!$B$2:$B$481,"غير العربية",البيانات!$W$2:$W$481,"&gt;="&amp;$F$2,البيانات!$W$2:$W$481,"&lt;="&amp;$G$2),"")</f>
        <v>0.972972972972973</v>
      </c>
      <c r="J22" s="6" t="n">
        <f aca="false">IFERROR(AVERAGEIFS(البيانات!$S$2:$S$481,البيانات!$B$2:$B$481,"عربية",البيانات!$W$2:$W$481,"&gt;="&amp;$F$2,البيانات!$W$2:$W$481,"&lt;="&amp;$G$2),"")</f>
        <v>0.816901408450704</v>
      </c>
      <c r="K22" s="5" t="n">
        <f aca="false">COUNTIFS(البيانات!$B$2:$B$481,"غير العربية",البيانات!$W$2:$W$481,"&gt;="&amp;$H$2,البيانات!$W$2:$W$481,"&lt;="&amp;$I$2)</f>
        <v>35</v>
      </c>
      <c r="L22" s="6" t="n">
        <f aca="false">IFERROR(AVERAGEIFS(البيانات!$S$2:$S$481,البيانات!$B$2:$B$481,"غير العربية",البيانات!$W$2:$W$481,"&gt;="&amp;$H$2,البيانات!$W$2:$W$481,"&lt;="&amp;$I$2),"")</f>
        <v>1</v>
      </c>
      <c r="M22" s="6" t="n">
        <f aca="false">IFERROR(AVERAGEIFS(البيانات!$S$2:$S$481,البيانات!$B$2:$B$481,"عربية",البيانات!$W$2:$W$481,"&gt;="&amp;$H$2,البيانات!$W$2:$W$481,"&lt;="&amp;$I$2),"")</f>
        <v>0.9375</v>
      </c>
      <c r="N22" s="5" t="n">
        <f aca="false">COUNTIFS(البيانات!$B$2:$B$481,"غير العربية",البيانات!$W$2:$W$481,"&gt;="&amp;$J$2,البيانات!$W$2:$W$481,"&lt;="&amp;$K$2)</f>
        <v>36</v>
      </c>
      <c r="O22" s="6" t="n">
        <f aca="false">IFERROR(AVERAGEIFS(البيانات!$S$2:$S$481,البيانات!$B$2:$B$481,"غير العربية",البيانات!$W$2:$W$481,"&gt;="&amp;$J$2,البيانات!$W$2:$W$481,"&lt;="&amp;$K$2),"")</f>
        <v>1</v>
      </c>
      <c r="P22" s="6" t="n">
        <f aca="false">IFERROR(AVERAGEIFS(البيانات!$S$2:$S$481,البيانات!$B$2:$B$481,"عربية",البيانات!$W$2:$W$481,"&gt;="&amp;$J$2,البيانات!$W$2:$W$481,"&lt;="&amp;$K$2),"")</f>
        <v>1</v>
      </c>
      <c r="Q22" s="6" t="n">
        <f aca="false">(IF(AND(ISNUMBER(C22),ISNUMBER(D22)),B22*(C22-D22),0)+IF(AND(ISNUMBER(F22),ISNUMBER(G22)),E22*(F22-G22),0)+IF(AND(ISNUMBER(I22),ISNUMBER(J22)),H22*(I22-J22),0)+IF(AND(ISNUMBER(L22),ISNUMBER(M22)),K22*(L22-M22),0)+IF(AND(ISNUMBER(O22),ISNUMBER(P22)),N22*(O22-P22),0))/(IF(AND(ISNUMBER(C22),ISNUMBER(D22)),B22,0)+IF(AND(ISNUMBER(F22),ISNUMBER(G22)),E22,0)+IF(AND(ISNUMBER(I22),ISNUMBER(J22)),H22,0)+IF(AND(ISNUMBER(L22),ISNUMBER(M22)),K22,0)+IF(AND(ISNUMBER(O22),ISNUMBER(P22)),N22,0))</f>
        <v>0.180720884574202</v>
      </c>
      <c r="R22" s="5" t="str">
        <f aca="false">IF(ABS(Q22)&gt;$N$2,IF(Q22&lt;0,"فرق كبير ضد غير العربية","فرق كبير لصالح غير العربية"),IF(ABS(Q22)&gt;=$N$1,"يستحق الفحص","مهمل"))</f>
        <v>فرق كبير لصالح غير العربية</v>
      </c>
    </row>
    <row r="23" customFormat="false" ht="17.9" hidden="false" customHeight="false" outlineLevel="0" collapsed="false">
      <c r="A23" s="5" t="s">
        <v>30</v>
      </c>
      <c r="B23" s="5" t="n">
        <f aca="false">COUNTIFS(البيانات!$B$2:$B$481,"غير العربية",البيانات!$W$2:$W$481,"&gt;="&amp;$B$2,البيانات!$W$2:$W$481,"&lt;="&amp;$C$2)</f>
        <v>36</v>
      </c>
      <c r="C23" s="6" t="n">
        <f aca="false">IFERROR(AVERAGEIFS(البيانات!$T$2:$T$481,البيانات!$B$2:$B$481,"غير العربية",البيانات!$W$2:$W$481,"&gt;="&amp;$B$2,البيانات!$W$2:$W$481,"&lt;="&amp;$C$2),"")</f>
        <v>0.0555555555555556</v>
      </c>
      <c r="D23" s="6" t="n">
        <f aca="false">IFERROR(AVERAGEIFS(البيانات!$T$2:$T$481,البيانات!$B$2:$B$481,"عربية",البيانات!$W$2:$W$481,"&gt;="&amp;$B$2,البيانات!$W$2:$W$481,"&lt;="&amp;$C$2),"")</f>
        <v>0.0526315789473684</v>
      </c>
      <c r="E23" s="5" t="n">
        <f aca="false">COUNTIFS(البيانات!$B$2:$B$481,"غير العربية",البيانات!$W$2:$W$481,"&gt;="&amp;$D$2,البيانات!$W$2:$W$481,"&lt;="&amp;$E$2)</f>
        <v>36</v>
      </c>
      <c r="F23" s="6" t="n">
        <f aca="false">IFERROR(AVERAGEIFS(البيانات!$T$2:$T$481,البيانات!$B$2:$B$481,"غير العربية",البيانات!$W$2:$W$481,"&gt;="&amp;$D$2,البيانات!$W$2:$W$481,"&lt;="&amp;$E$2),"")</f>
        <v>0.305555555555556</v>
      </c>
      <c r="G23" s="6" t="n">
        <f aca="false">IFERROR(AVERAGEIFS(البيانات!$T$2:$T$481,البيانات!$B$2:$B$481,"عربية",البيانات!$W$2:$W$481,"&gt;="&amp;$D$2,البيانات!$W$2:$W$481,"&lt;="&amp;$E$2),"")</f>
        <v>0.261538461538462</v>
      </c>
      <c r="H23" s="5" t="n">
        <f aca="false">COUNTIFS(البيانات!$B$2:$B$481,"غير العربية",البيانات!$W$2:$W$481,"&gt;="&amp;$F$2,البيانات!$W$2:$W$481,"&lt;="&amp;$G$2)</f>
        <v>37</v>
      </c>
      <c r="I23" s="6" t="n">
        <f aca="false">IFERROR(AVERAGEIFS(البيانات!$T$2:$T$481,البيانات!$B$2:$B$481,"غير العربية",البيانات!$W$2:$W$481,"&gt;="&amp;$F$2,البيانات!$W$2:$W$481,"&lt;="&amp;$G$2),"")</f>
        <v>0.513513513513514</v>
      </c>
      <c r="J23" s="6" t="n">
        <f aca="false">IFERROR(AVERAGEIFS(البيانات!$T$2:$T$481,البيانات!$B$2:$B$481,"عربية",البيانات!$W$2:$W$481,"&gt;="&amp;$F$2,البيانات!$W$2:$W$481,"&lt;="&amp;$G$2),"")</f>
        <v>0.549295774647887</v>
      </c>
      <c r="K23" s="5" t="n">
        <f aca="false">COUNTIFS(البيانات!$B$2:$B$481,"غير العربية",البيانات!$W$2:$W$481,"&gt;="&amp;$H$2,البيانات!$W$2:$W$481,"&lt;="&amp;$I$2)</f>
        <v>35</v>
      </c>
      <c r="L23" s="6" t="n">
        <f aca="false">IFERROR(AVERAGEIFS(البيانات!$T$2:$T$481,البيانات!$B$2:$B$481,"غير العربية",البيانات!$W$2:$W$481,"&gt;="&amp;$H$2,البيانات!$W$2:$W$481,"&lt;="&amp;$I$2),"")</f>
        <v>0.885714285714286</v>
      </c>
      <c r="M23" s="6" t="n">
        <f aca="false">IFERROR(AVERAGEIFS(البيانات!$T$2:$T$481,البيانات!$B$2:$B$481,"عربية",البيانات!$W$2:$W$481,"&gt;="&amp;$H$2,البيانات!$W$2:$W$481,"&lt;="&amp;$I$2),"")</f>
        <v>0.75</v>
      </c>
      <c r="N23" s="5" t="n">
        <f aca="false">COUNTIFS(البيانات!$B$2:$B$481,"غير العربية",البيانات!$W$2:$W$481,"&gt;="&amp;$J$2,البيانات!$W$2:$W$481,"&lt;="&amp;$K$2)</f>
        <v>36</v>
      </c>
      <c r="O23" s="6" t="n">
        <f aca="false">IFERROR(AVERAGEIFS(البيانات!$T$2:$T$481,البيانات!$B$2:$B$481,"غير العربية",البيانات!$W$2:$W$481,"&gt;="&amp;$J$2,البيانات!$W$2:$W$481,"&lt;="&amp;$K$2),"")</f>
        <v>0.972222222222222</v>
      </c>
      <c r="P23" s="6" t="n">
        <f aca="false">IFERROR(AVERAGEIFS(البيانات!$T$2:$T$481,البيانات!$B$2:$B$481,"عربية",البيانات!$W$2:$W$481,"&gt;="&amp;$J$2,البيانات!$W$2:$W$481,"&lt;="&amp;$K$2),"")</f>
        <v>0.925</v>
      </c>
      <c r="Q23" s="6" t="n">
        <f aca="false">(IF(AND(ISNUMBER(C23),ISNUMBER(D23)),B23*(C23-D23),0)+IF(AND(ISNUMBER(F23),ISNUMBER(G23)),E23*(F23-G23),0)+IF(AND(ISNUMBER(I23),ISNUMBER(J23)),H23*(I23-J23),0)+IF(AND(ISNUMBER(L23),ISNUMBER(M23)),K23*(L23-M23),0)+IF(AND(ISNUMBER(O23),ISNUMBER(P23)),N23*(O23-P23),0))/(IF(AND(ISNUMBER(C23),ISNUMBER(D23)),B23,0)+IF(AND(ISNUMBER(F23),ISNUMBER(G23)),E23,0)+IF(AND(ISNUMBER(I23),ISNUMBER(J23)),H23,0)+IF(AND(ISNUMBER(L23),ISNUMBER(M23)),K23,0)+IF(AND(ISNUMBER(O23),ISNUMBER(P23)),N23,0))</f>
        <v>0.0378663048918794</v>
      </c>
      <c r="R23" s="5" t="str">
        <f aca="false">IF(ABS(Q23)&gt;$N$2,IF(Q23&lt;0,"فرق كبير ضد غير العربية","فرق كبير لصالح غير العربية"),IF(ABS(Q23)&gt;=$N$1,"يستحق الفحص","مهمل"))</f>
        <v>مهمل</v>
      </c>
    </row>
    <row r="24" customFormat="false" ht="17.9" hidden="false" customHeight="false" outlineLevel="0" collapsed="false">
      <c r="A24" s="5" t="s">
        <v>31</v>
      </c>
      <c r="B24" s="5" t="n">
        <f aca="false">COUNTIFS(البيانات!$B$2:$B$481,"غير العربية",البيانات!$W$2:$W$481,"&gt;="&amp;$B$2,البيانات!$W$2:$W$481,"&lt;="&amp;$C$2)</f>
        <v>36</v>
      </c>
      <c r="C24" s="6" t="n">
        <f aca="false">IFERROR(AVERAGEIFS(البيانات!$U$2:$U$481,البيانات!$B$2:$B$481,"غير العربية",البيانات!$W$2:$W$481,"&gt;="&amp;$B$2,البيانات!$W$2:$W$481,"&lt;="&amp;$C$2),"")</f>
        <v>0</v>
      </c>
      <c r="D24" s="6" t="n">
        <f aca="false">IFERROR(AVERAGEIFS(البيانات!$U$2:$U$481,البيانات!$B$2:$B$481,"عربية",البيانات!$W$2:$W$481,"&gt;="&amp;$B$2,البيانات!$W$2:$W$481,"&lt;="&amp;$C$2),"")</f>
        <v>0</v>
      </c>
      <c r="E24" s="5" t="n">
        <f aca="false">COUNTIFS(البيانات!$B$2:$B$481,"غير العربية",البيانات!$W$2:$W$481,"&gt;="&amp;$D$2,البيانات!$W$2:$W$481,"&lt;="&amp;$E$2)</f>
        <v>36</v>
      </c>
      <c r="F24" s="6" t="n">
        <f aca="false">IFERROR(AVERAGEIFS(البيانات!$U$2:$U$481,البيانات!$B$2:$B$481,"غير العربية",البيانات!$W$2:$W$481,"&gt;="&amp;$D$2,البيانات!$W$2:$W$481,"&lt;="&amp;$E$2),"")</f>
        <v>0.166666666666667</v>
      </c>
      <c r="G24" s="6" t="n">
        <f aca="false">IFERROR(AVERAGEIFS(البيانات!$U$2:$U$481,البيانات!$B$2:$B$481,"عربية",البيانات!$W$2:$W$481,"&gt;="&amp;$D$2,البيانات!$W$2:$W$481,"&lt;="&amp;$E$2),"")</f>
        <v>0.0769230769230769</v>
      </c>
      <c r="H24" s="5" t="n">
        <f aca="false">COUNTIFS(البيانات!$B$2:$B$481,"غير العربية",البيانات!$W$2:$W$481,"&gt;="&amp;$F$2,البيانات!$W$2:$W$481,"&lt;="&amp;$G$2)</f>
        <v>37</v>
      </c>
      <c r="I24" s="6" t="n">
        <f aca="false">IFERROR(AVERAGEIFS(البيانات!$U$2:$U$481,البيانات!$B$2:$B$481,"غير العربية",البيانات!$W$2:$W$481,"&gt;="&amp;$F$2,البيانات!$W$2:$W$481,"&lt;="&amp;$G$2),"")</f>
        <v>0.243243243243243</v>
      </c>
      <c r="J24" s="6" t="n">
        <f aca="false">IFERROR(AVERAGEIFS(البيانات!$U$2:$U$481,البيانات!$B$2:$B$481,"عربية",البيانات!$W$2:$W$481,"&gt;="&amp;$F$2,البيانات!$W$2:$W$481,"&lt;="&amp;$G$2),"")</f>
        <v>0.267605633802817</v>
      </c>
      <c r="K24" s="5" t="n">
        <f aca="false">COUNTIFS(البيانات!$B$2:$B$481,"غير العربية",البيانات!$W$2:$W$481,"&gt;="&amp;$H$2,البيانات!$W$2:$W$481,"&lt;="&amp;$I$2)</f>
        <v>35</v>
      </c>
      <c r="L24" s="6" t="n">
        <f aca="false">IFERROR(AVERAGEIFS(البيانات!$U$2:$U$481,البيانات!$B$2:$B$481,"غير العربية",البيانات!$W$2:$W$481,"&gt;="&amp;$H$2,البيانات!$W$2:$W$481,"&lt;="&amp;$I$2),"")</f>
        <v>0.685714285714286</v>
      </c>
      <c r="M24" s="6" t="n">
        <f aca="false">IFERROR(AVERAGEIFS(البيانات!$U$2:$U$481,البيانات!$B$2:$B$481,"عربية",البيانات!$W$2:$W$481,"&gt;="&amp;$H$2,البيانات!$W$2:$W$481,"&lt;="&amp;$I$2),"")</f>
        <v>0.604166666666667</v>
      </c>
      <c r="N24" s="5" t="n">
        <f aca="false">COUNTIFS(البيانات!$B$2:$B$481,"غير العربية",البيانات!$W$2:$W$481,"&gt;="&amp;$J$2,البيانات!$W$2:$W$481,"&lt;="&amp;$K$2)</f>
        <v>36</v>
      </c>
      <c r="O24" s="6" t="n">
        <f aca="false">IFERROR(AVERAGEIFS(البيانات!$U$2:$U$481,البيانات!$B$2:$B$481,"غير العربية",البيانات!$W$2:$W$481,"&gt;="&amp;$J$2,البيانات!$W$2:$W$481,"&lt;="&amp;$K$2),"")</f>
        <v>0.972222222222222</v>
      </c>
      <c r="P24" s="6" t="n">
        <f aca="false">IFERROR(AVERAGEIFS(البيانات!$U$2:$U$481,البيانات!$B$2:$B$481,"عربية",البيانات!$W$2:$W$481,"&gt;="&amp;$J$2,البيانات!$W$2:$W$481,"&lt;="&amp;$K$2),"")</f>
        <v>0.925</v>
      </c>
      <c r="Q24" s="6" t="n">
        <f aca="false">(IF(AND(ISNUMBER(C24),ISNUMBER(D24)),B24*(C24-D24),0)+IF(AND(ISNUMBER(F24),ISNUMBER(G24)),E24*(F24-G24),0)+IF(AND(ISNUMBER(I24),ISNUMBER(J24)),H24*(I24-J24),0)+IF(AND(ISNUMBER(L24),ISNUMBER(M24)),K24*(L24-M24),0)+IF(AND(ISNUMBER(O24),ISNUMBER(P24)),N24*(O24-P24),0))/(IF(AND(ISNUMBER(C24),ISNUMBER(D24)),B24,0)+IF(AND(ISNUMBER(F24),ISNUMBER(G24)),E24,0)+IF(AND(ISNUMBER(I24),ISNUMBER(J24)),H24,0)+IF(AND(ISNUMBER(L24),ISNUMBER(M24)),K24,0)+IF(AND(ISNUMBER(O24),ISNUMBER(P24)),N24,0))</f>
        <v>0.0382418191485093</v>
      </c>
      <c r="R24" s="5" t="str">
        <f aca="false">IF(ABS(Q24)&gt;$N$2,IF(Q24&lt;0,"فرق كبير ضد غير العربية","فرق كبير لصالح غير العربية"),IF(ABS(Q24)&gt;=$N$1,"يستحق الفحص","مهمل"))</f>
        <v>مهمل</v>
      </c>
    </row>
    <row r="25" customFormat="false" ht="17.9" hidden="false" customHeight="false" outlineLevel="0" collapsed="false">
      <c r="A25" s="5" t="s">
        <v>32</v>
      </c>
      <c r="B25" s="5" t="n">
        <f aca="false">COUNTIFS(البيانات!$B$2:$B$481,"غير العربية",البيانات!$W$2:$W$481,"&gt;="&amp;$B$2,البيانات!$W$2:$W$481,"&lt;="&amp;$C$2)</f>
        <v>36</v>
      </c>
      <c r="C25" s="6" t="n">
        <f aca="false">IFERROR(AVERAGEIFS(البيانات!$V$2:$V$481,البيانات!$B$2:$B$481,"غير العربية",البيانات!$W$2:$W$481,"&gt;="&amp;$B$2,البيانات!$W$2:$W$481,"&lt;="&amp;$C$2),"")</f>
        <v>0</v>
      </c>
      <c r="D25" s="6" t="n">
        <f aca="false">IFERROR(AVERAGEIFS(البيانات!$V$2:$V$481,البيانات!$B$2:$B$481,"عربية",البيانات!$W$2:$W$481,"&gt;="&amp;$B$2,البيانات!$W$2:$W$481,"&lt;="&amp;$C$2),"")</f>
        <v>0</v>
      </c>
      <c r="E25" s="5" t="n">
        <f aca="false">COUNTIFS(البيانات!$B$2:$B$481,"غير العربية",البيانات!$W$2:$W$481,"&gt;="&amp;$D$2,البيانات!$W$2:$W$481,"&lt;="&amp;$E$2)</f>
        <v>36</v>
      </c>
      <c r="F25" s="6" t="n">
        <f aca="false">IFERROR(AVERAGEIFS(البيانات!$V$2:$V$481,البيانات!$B$2:$B$481,"غير العربية",البيانات!$W$2:$W$481,"&gt;="&amp;$D$2,البيانات!$W$2:$W$481,"&lt;="&amp;$E$2),"")</f>
        <v>0.0277777777777778</v>
      </c>
      <c r="G25" s="6" t="n">
        <f aca="false">IFERROR(AVERAGEIFS(البيانات!$V$2:$V$481,البيانات!$B$2:$B$481,"عربية",البيانات!$W$2:$W$481,"&gt;="&amp;$D$2,البيانات!$W$2:$W$481,"&lt;="&amp;$E$2),"")</f>
        <v>0.0461538461538462</v>
      </c>
      <c r="H25" s="5" t="n">
        <f aca="false">COUNTIFS(البيانات!$B$2:$B$481,"غير العربية",البيانات!$W$2:$W$481,"&gt;="&amp;$F$2,البيانات!$W$2:$W$481,"&lt;="&amp;$G$2)</f>
        <v>37</v>
      </c>
      <c r="I25" s="6" t="n">
        <f aca="false">IFERROR(AVERAGEIFS(البيانات!$V$2:$V$481,البيانات!$B$2:$B$481,"غير العربية",البيانات!$W$2:$W$481,"&gt;="&amp;$F$2,البيانات!$W$2:$W$481,"&lt;="&amp;$G$2),"")</f>
        <v>0.135135135135135</v>
      </c>
      <c r="J25" s="6" t="n">
        <f aca="false">IFERROR(AVERAGEIFS(البيانات!$V$2:$V$481,البيانات!$B$2:$B$481,"عربية",البيانات!$W$2:$W$481,"&gt;="&amp;$F$2,البيانات!$W$2:$W$481,"&lt;="&amp;$G$2),"")</f>
        <v>0.140845070422535</v>
      </c>
      <c r="K25" s="5" t="n">
        <f aca="false">COUNTIFS(البيانات!$B$2:$B$481,"غير العربية",البيانات!$W$2:$W$481,"&gt;="&amp;$H$2,البيانات!$W$2:$W$481,"&lt;="&amp;$I$2)</f>
        <v>35</v>
      </c>
      <c r="L25" s="6" t="n">
        <f aca="false">IFERROR(AVERAGEIFS(البيانات!$V$2:$V$481,البيانات!$B$2:$B$481,"غير العربية",البيانات!$W$2:$W$481,"&gt;="&amp;$H$2,البيانات!$W$2:$W$481,"&lt;="&amp;$I$2),"")</f>
        <v>0.457142857142857</v>
      </c>
      <c r="M25" s="6" t="n">
        <f aca="false">IFERROR(AVERAGEIFS(البيانات!$V$2:$V$481,البيانات!$B$2:$B$481,"عربية",البيانات!$W$2:$W$481,"&gt;="&amp;$H$2,البيانات!$W$2:$W$481,"&lt;="&amp;$I$2),"")</f>
        <v>0.375</v>
      </c>
      <c r="N25" s="5" t="n">
        <f aca="false">COUNTIFS(البيانات!$B$2:$B$481,"غير العربية",البيانات!$W$2:$W$481,"&gt;="&amp;$J$2,البيانات!$W$2:$W$481,"&lt;="&amp;$K$2)</f>
        <v>36</v>
      </c>
      <c r="O25" s="6" t="n">
        <f aca="false">IFERROR(AVERAGEIFS(البيانات!$V$2:$V$481,البيانات!$B$2:$B$481,"غير العربية",البيانات!$W$2:$W$481,"&gt;="&amp;$J$2,البيانات!$W$2:$W$481,"&lt;="&amp;$K$2),"")</f>
        <v>0.805555555555556</v>
      </c>
      <c r="P25" s="6" t="n">
        <f aca="false">IFERROR(AVERAGEIFS(البيانات!$V$2:$V$481,البيانات!$B$2:$B$481,"عربية",البيانات!$W$2:$W$481,"&gt;="&amp;$J$2,البيانات!$W$2:$W$481,"&lt;="&amp;$K$2),"")</f>
        <v>0.9</v>
      </c>
      <c r="Q25" s="6" t="n">
        <f aca="false">(IF(AND(ISNUMBER(C25),ISNUMBER(D25)),B25*(C25-D25),0)+IF(AND(ISNUMBER(F25),ISNUMBER(G25)),E25*(F25-G25),0)+IF(AND(ISNUMBER(I25),ISNUMBER(J25)),H25*(I25-J25),0)+IF(AND(ISNUMBER(L25),ISNUMBER(M25)),K25*(L25-M25),0)+IF(AND(ISNUMBER(O25),ISNUMBER(P25)),N25*(O25-P25),0))/(IF(AND(ISNUMBER(C25),ISNUMBER(D25)),B25,0)+IF(AND(ISNUMBER(F25),ISNUMBER(G25)),E25,0)+IF(AND(ISNUMBER(I25),ISNUMBER(J25)),H25,0)+IF(AND(ISNUMBER(L25),ISNUMBER(M25)),K25,0)+IF(AND(ISNUMBER(O25),ISNUMBER(P25)),N25,0))</f>
        <v>-0.00776558926206814</v>
      </c>
      <c r="R25" s="5" t="str">
        <f aca="false">IF(ABS(Q25)&gt;$N$2,IF(Q25&lt;0,"فرق كبير ضد غير العربية","فرق كبير لصالح غير العربية"),IF(ABS(Q25)&gt;=$N$1,"يستحق الفحص","مهمل"))</f>
        <v>مهمل</v>
      </c>
    </row>
  </sheetData>
  <conditionalFormatting sqref="R6:R25">
    <cfRule type="expression" priority="2" aboveAverage="0" equalAverage="0" bottom="0" percent="0" rank="0" text="" dxfId="0">
      <formula>LEFT(R6,7)="فرق كبي"</formula>
    </cfRule>
    <cfRule type="expression" priority="3" aboveAverage="0" equalAverage="0" bottom="0" percent="0" rank="0" text="" dxfId="1">
      <formula>R6="يستحق الفحص"</formula>
    </cfRule>
    <cfRule type="expression" priority="4" aboveAverage="0" equalAverage="0" bottom="0" percent="0" rank="0" text="" dxfId="2">
      <formula>R6="مهمل"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2026-10-05T15:42:20Z</dcterms:created>
  <dc:creator>openpyxl</dc:creator>
  <dc:description/>
  <dc:language>en-US</dc:language>
  <cp:lastModifiedBy/>
  <dcterms:modified xsi:type="dcterms:W3CDTF">2026-10-05T15:42:21Z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