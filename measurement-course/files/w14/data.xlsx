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بيانات" sheetId="2" state="visible" r:id="rId4"/>
    <sheet name="الملخص" sheetId="3" state="visible" r:id="rId5"/>
    <sheet name="حسب المستوى القبلي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FreeSans"/>
            <family val="2"/>
          </rPr>
          <t xml:space="preserve">إرشاد تقريبي شائع </t>
        </r>
        <r>
          <rPr>
            <sz val="10"/>
            <rFont val="Arial"/>
            <family val="2"/>
          </rPr>
          <t xml:space="preserve">(Cohen, 1988): 0.2 </t>
        </r>
        <r>
          <rPr>
            <sz val="10"/>
            <rFont val="FreeSans"/>
            <family val="2"/>
          </rPr>
          <t xml:space="preserve">صغير، و</t>
        </r>
        <r>
          <rPr>
            <sz val="10"/>
            <rFont val="Arial"/>
            <family val="2"/>
          </rPr>
          <t xml:space="preserve">0.5 متوسط، و0.8 كبير. في البحث الإجرائي بصف واحد، فسّره بحذر شديد.</t>
        </r>
      </text>
    </comment>
    <comment ref="A12" authorId="0">
      <text>
        <r>
          <rPr>
            <sz val="10"/>
            <rFont val="FreeSans"/>
            <family val="2"/>
          </rPr>
          <t xml:space="preserve">مؤشر يستخدم في تعليم العلوم </t>
        </r>
        <r>
          <rPr>
            <sz val="10"/>
            <rFont val="Arial"/>
            <family val="2"/>
          </rPr>
          <t xml:space="preserve">(Hake, 1998): (</t>
        </r>
        <r>
          <rPr>
            <sz val="10"/>
            <rFont val="FreeSans"/>
            <family val="2"/>
          </rPr>
          <t xml:space="preserve">البعدي − القبلي</t>
        </r>
        <r>
          <rPr>
            <sz val="10"/>
            <rFont val="Arial"/>
            <family val="2"/>
          </rPr>
          <t xml:space="preserve">) ÷ (</t>
        </r>
        <r>
          <rPr>
            <sz val="10"/>
            <rFont val="FreeSans"/>
            <family val="2"/>
          </rPr>
          <t xml:space="preserve">الدرجة العظمى − القبلي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، محسوباً على متوسطي الصف</t>
        </r>
        <r>
          <rPr>
            <sz val="10"/>
            <rFont val="Arial"/>
            <family val="2"/>
          </rPr>
          <t xml:space="preserve">.</t>
        </r>
      </text>
    </comment>
    <comment ref="A16" authorId="0">
      <text>
        <r>
          <rPr>
            <sz val="10"/>
            <rFont val="FreeSans"/>
            <family val="2"/>
          </rPr>
          <t xml:space="preserve">شعبة المقارنة تحسنت أيضاً بسبب التدريس العادي والنضج والتعرّف على الاختبار. الفرق بين المكسبين أقرب إلى أثر الإجراء، لكنه ليس دليلاً قاطعاً: الشعبتان لم تُوزَّعا عشوائياً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FreeSans"/>
            <family val="2"/>
          </rPr>
          <t xml:space="preserve">مكسب أكبر للفئة الدنيا قد يعكس أثراً حقيقياً، لكن جزءاً منه انحدار نحو المتوسط، وجزءاً آخر سقف للفئة العليا التي لا تستطيع أن تكسب كثيراً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<sst xmlns="http://schemas.openxmlformats.org/spreadsheetml/2006/main" count="153" uniqueCount="99">
  <si>
    <t xml:space="preserve">مشغل الأسبوع 14 — تحليل بيانات البحث الإجرائي</t>
  </si>
  <si>
    <t xml:space="preserve">مساق القياس والتقويم التربوي — دبلوم الدراسات العليا المهني في التدريس</t>
  </si>
  <si>
    <t xml:space="preserve">تنبيه: البيانات محاكاة حاسوبية لأغراض التدريب، وليست لطلبة حقيقيين.</t>
  </si>
  <si>
    <t xml:space="preserve">معلمة علوم للصف الثامن جرّبت أسئلة مفصلية أسبوعية مع تغذية راجعة فورية في شعبتها (شعبة التجربة)، ودرّست شعبة موازية بالطريقة المعتادة (شعبة المقارنة).</t>
  </si>
  <si>
    <t xml:space="preserve">طُبّق الاختبار نفسه قبل الوحدة وبعدها، والدرجة من 20.</t>
  </si>
  <si>
    <t xml:space="preserve">أوراق المصنف:</t>
  </si>
  <si>
    <t xml:space="preserve">البيانات: درجات القبلي والبعدي لكل طالب في الشعبتين. الخلية الفارغة تعني غياب الطالب عن الاختبار البعدي.</t>
  </si>
  <si>
    <t xml:space="preserve">الملخص: المتوسطات والمكسب وحجم الأثر لكل شعبة، والفرق بين مكسبي الشعبتين.</t>
  </si>
  <si>
    <t xml:space="preserve">حسب المستوى القبلي: مكسب الطلبة الأضعف مقارنة بالأقوى في شعبة التجربة.</t>
  </si>
  <si>
    <t xml:space="preserve">الفكرة الأساسية: التحسن في شعبة التجربة وحده لا يثبت أثر الإجراء. اسأل دائماً: كم كان سيتحسن الطلبة دون الإجراء؟</t>
  </si>
  <si>
    <t xml:space="preserve">الطالب</t>
  </si>
  <si>
    <t xml:space="preserve">الشعبة</t>
  </si>
  <si>
    <t xml:space="preserve">القبلي</t>
  </si>
  <si>
    <t xml:space="preserve">البعدي</t>
  </si>
  <si>
    <t xml:space="preserve">المكسب</t>
  </si>
  <si>
    <t xml:space="preserve">بلغ الدرجة العظمى</t>
  </si>
  <si>
    <t xml:space="preserve">T01</t>
  </si>
  <si>
    <t xml:space="preserve">التجربة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</si>
  <si>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</si>
  <si>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</si>
  <si>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</si>
  <si>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</si>
  <si>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</si>
  <si>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</si>
  <si>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</si>
  <si>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</si>
  <si>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</si>
  <si>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</si>
  <si>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</si>
  <si>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</si>
  <si>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</si>
  <si>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</si>
  <si>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</si>
  <si>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</si>
  <si>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</si>
  <si>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</si>
  <si>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</si>
  <si>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</si>
  <si>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</si>
  <si>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</si>
  <si>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</si>
  <si>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</si>
  <si>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</si>
  <si>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</si>
  <si>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</si>
  <si>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C01</t>
  </si>
  <si>
    <t xml:space="preserve">المقارنة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</si>
  <si>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</si>
  <si>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</si>
  <si>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</si>
  <si>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</si>
  <si>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</si>
  <si>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</si>
  <si>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</si>
  <si>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</si>
  <si>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</si>
  <si>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</si>
  <si>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</si>
  <si>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</si>
  <si>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</si>
  <si>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</si>
  <si>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</si>
  <si>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</si>
  <si>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</si>
  <si>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</si>
  <si>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</si>
  <si>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</si>
  <si>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</si>
  <si>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</si>
  <si>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</si>
  <si>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</si>
  <si>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</si>
  <si>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</si>
  <si>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الدرجة العظمى</t>
  </si>
  <si>
    <t xml:space="preserve">المؤشر</t>
  </si>
  <si>
    <t xml:space="preserve">شعبة التجربة</t>
  </si>
  <si>
    <t xml:space="preserve">شعبة المقارنة</t>
  </si>
  <si>
    <t xml:space="preserve">عدد الطلبة في القبلي</t>
  </si>
  <si>
    <t xml:space="preserve">عدد من لهم قبلي وبعدي</t>
  </si>
  <si>
    <t xml:space="preserve">متوسط القبلي (لمن لهم الاختباران)</t>
  </si>
  <si>
    <t xml:space="preserve">متوسط البعدي</t>
  </si>
  <si>
    <t xml:space="preserve">متوسط المكسب</t>
  </si>
  <si>
    <t xml:space="preserve">الانحراف المعياري للقبلي</t>
  </si>
  <si>
    <t xml:space="preserve">الانحراف المعياري للبعدي</t>
  </si>
  <si>
    <t xml:space="preserve">حجم الأثر (المكسب ÷ الانحراف المعياري المجمّع)</t>
  </si>
  <si>
    <t xml:space="preserve">المكسب المعياري (نسبة ما تحقق من المكسب الممكن)</t>
  </si>
  <si>
    <t xml:space="preserve">نسبة من تحسّنت درجتهم</t>
  </si>
  <si>
    <t xml:space="preserve">عدد من بلغوا الدرجة العظمى في البعدي</t>
  </si>
  <si>
    <t xml:space="preserve">الفرق بين مكسبي الشعبتين (أثر أقرب إلى الواقع)</t>
  </si>
  <si>
    <t xml:space="preserve">الطلبة الغائبون عن البعدي في شعبة التجربة</t>
  </si>
  <si>
    <t xml:space="preserve">شعبة التجربة فقط، لمن لهم الاختباران</t>
  </si>
  <si>
    <r>
      <rPr>
        <sz val="11"/>
        <color theme="1"/>
        <rFont val="FreeSans"/>
        <family val="2"/>
      </rPr>
      <t xml:space="preserve">حد الفئة الدنيا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القبلي أقل من أو يساوي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</si>
  <si>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حد الفئة العليا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القبلي أكبر من أو يساوي</t>
    </r>
    <r>
      <rPr>
        <sz val="11"/>
        <color theme="1"/>
        <rFont val="Calibri"/>
        <family val="2"/>
        <charset val="1"/>
      </rPr>
      <t xml:space="preserve">)</t>
    </r>
  </si>
  <si>
    <t xml:space="preserve">الفئة</t>
  </si>
  <si>
    <t xml:space="preserve">عدد الطلبة</t>
  </si>
  <si>
    <t xml:space="preserve">متوسط القبلي</t>
  </si>
  <si>
    <t xml:space="preserve">الدنيا</t>
  </si>
  <si>
    <t xml:space="preserve">الوسطى</t>
  </si>
  <si>
    <t xml:space="preserve">العليا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</si>
</sst>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1"/>
      <color theme="1"/>
      <name val="FreeSans"/>
      <family val="2"/>
    </font>
    <font>
      <sz val="11"/>
      <color rgb="FF0000FF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7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9" hidden="false" customHeight="false" outlineLevel="0" collapsed="false">
      <c r="A8" s="3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7.9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6"/>
  </cols>
  <sheetData>
    <row r="1" customFormat="false" ht="17.9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customFormat="false" ht="17.9" hidden="false" customHeight="false" outlineLevel="0" collapsed="false">
      <c r="A2" s="5" t="s">
        <v>16</v>
      </c>
      <c r="B2" s="5" t="s">
        <v>17</v>
      </c>
      <c r="C2" s="5" t="n">
        <v>11</v>
      </c>
      <c r="D2" s="5" t="n">
        <v>19</v>
      </c>
      <c r="E2" s="5" t="n">
        <f aca="false">IF(D2="","",D2-C2)</f>
        <v>8</v>
      </c>
      <c r="F2" s="5" t="str">
        <f aca="false">IF(D2="","",IF(D2=الملخص!$C$1,"نعم",""))</f>
        <v/>
      </c>
    </row>
    <row r="3" customFormat="false" ht="17.9" hidden="false" customHeight="false" outlineLevel="0" collapsed="false">
      <c r="A3" s="5" t="s">
        <v>18</v>
      </c>
      <c r="B3" s="5" t="s">
        <v>17</v>
      </c>
      <c r="C3" s="5" t="n">
        <v>11</v>
      </c>
      <c r="D3" s="5" t="n">
        <v>18</v>
      </c>
      <c r="E3" s="5" t="n">
        <f aca="false">IF(D3="","",D3-C3)</f>
        <v>7</v>
      </c>
      <c r="F3" s="5" t="str">
        <f aca="false">IF(D3="","",IF(D3=الملخص!$C$1,"نعم",""))</f>
        <v/>
      </c>
    </row>
    <row r="4" customFormat="false" ht="17.9" hidden="false" customHeight="false" outlineLevel="0" collapsed="false">
      <c r="A4" s="5" t="s">
        <v>19</v>
      </c>
      <c r="B4" s="5" t="s">
        <v>17</v>
      </c>
      <c r="C4" s="5" t="n">
        <v>9</v>
      </c>
      <c r="D4" s="5" t="n">
        <v>9</v>
      </c>
      <c r="E4" s="5" t="n">
        <f aca="false">IF(D4="","",D4-C4)</f>
        <v>0</v>
      </c>
      <c r="F4" s="5" t="str">
        <f aca="false">IF(D4="","",IF(D4=الملخص!$C$1,"نعم",""))</f>
        <v/>
      </c>
    </row>
    <row r="5" customFormat="false" ht="17.9" hidden="false" customHeight="false" outlineLevel="0" collapsed="false">
      <c r="A5" s="5" t="s">
        <v>20</v>
      </c>
      <c r="B5" s="5" t="s">
        <v>17</v>
      </c>
      <c r="C5" s="5" t="n">
        <v>4</v>
      </c>
      <c r="D5" s="5" t="n">
        <v>9</v>
      </c>
      <c r="E5" s="5" t="n">
        <f aca="false">IF(D5="","",D5-C5)</f>
        <v>5</v>
      </c>
      <c r="F5" s="5" t="str">
        <f aca="false">IF(D5="","",IF(D5=الملخص!$C$1,"نعم",""))</f>
        <v/>
      </c>
    </row>
    <row r="6" customFormat="false" ht="17.9" hidden="false" customHeight="false" outlineLevel="0" collapsed="false">
      <c r="A6" s="5" t="s">
        <v>21</v>
      </c>
      <c r="B6" s="5" t="s">
        <v>17</v>
      </c>
      <c r="C6" s="5" t="n">
        <v>9</v>
      </c>
      <c r="D6" s="5" t="n">
        <v>15</v>
      </c>
      <c r="E6" s="5" t="n">
        <f aca="false">IF(D6="","",D6-C6)</f>
        <v>6</v>
      </c>
      <c r="F6" s="5" t="str">
        <f aca="false">IF(D6="","",IF(D6=الملخص!$C$1,"نعم",""))</f>
        <v/>
      </c>
    </row>
    <row r="7" customFormat="false" ht="17.9" hidden="false" customHeight="false" outlineLevel="0" collapsed="false">
      <c r="A7" s="5" t="s">
        <v>22</v>
      </c>
      <c r="B7" s="5" t="s">
        <v>17</v>
      </c>
      <c r="C7" s="5" t="n">
        <v>9</v>
      </c>
      <c r="D7" s="5"/>
      <c r="E7" s="5" t="str">
        <f aca="false">IF(D7="","",D7-C7)</f>
        <v/>
      </c>
      <c r="F7" s="5" t="str">
        <f aca="false">IF(D7="","",IF(D7=الملخص!$C$1,"نعم",""))</f>
        <v/>
      </c>
    </row>
    <row r="8" customFormat="false" ht="17.9" hidden="false" customHeight="false" outlineLevel="0" collapsed="false">
      <c r="A8" s="5" t="s">
        <v>23</v>
      </c>
      <c r="B8" s="5" t="s">
        <v>17</v>
      </c>
      <c r="C8" s="5" t="n">
        <v>14</v>
      </c>
      <c r="D8" s="5" t="n">
        <v>17</v>
      </c>
      <c r="E8" s="5" t="n">
        <f aca="false">IF(D8="","",D8-C8)</f>
        <v>3</v>
      </c>
      <c r="F8" s="5" t="str">
        <f aca="false">IF(D8="","",IF(D8=الملخص!$C$1,"نعم",""))</f>
        <v/>
      </c>
    </row>
    <row r="9" customFormat="false" ht="17.9" hidden="false" customHeight="false" outlineLevel="0" collapsed="false">
      <c r="A9" s="5" t="s">
        <v>24</v>
      </c>
      <c r="B9" s="5" t="s">
        <v>17</v>
      </c>
      <c r="C9" s="5" t="n">
        <v>10</v>
      </c>
      <c r="D9" s="5" t="n">
        <v>14</v>
      </c>
      <c r="E9" s="5" t="n">
        <f aca="false">IF(D9="","",D9-C9)</f>
        <v>4</v>
      </c>
      <c r="F9" s="5" t="str">
        <f aca="false">IF(D9="","",IF(D9=الملخص!$C$1,"نعم",""))</f>
        <v/>
      </c>
    </row>
    <row r="10" customFormat="false" ht="17.9" hidden="false" customHeight="false" outlineLevel="0" collapsed="false">
      <c r="A10" s="5" t="s">
        <v>25</v>
      </c>
      <c r="B10" s="5" t="s">
        <v>17</v>
      </c>
      <c r="C10" s="5" t="n">
        <v>9</v>
      </c>
      <c r="D10" s="5" t="n">
        <v>13</v>
      </c>
      <c r="E10" s="5" t="n">
        <f aca="false">IF(D10="","",D10-C10)</f>
        <v>4</v>
      </c>
      <c r="F10" s="5" t="str">
        <f aca="false">IF(D10="","",IF(D10=الملخص!$C$1,"نعم",""))</f>
        <v/>
      </c>
    </row>
    <row r="11" customFormat="false" ht="17.9" hidden="false" customHeight="false" outlineLevel="0" collapsed="false">
      <c r="A11" s="5" t="s">
        <v>26</v>
      </c>
      <c r="B11" s="5" t="s">
        <v>17</v>
      </c>
      <c r="C11" s="5" t="n">
        <v>15</v>
      </c>
      <c r="D11" s="5" t="n">
        <v>17</v>
      </c>
      <c r="E11" s="5" t="n">
        <f aca="false">IF(D11="","",D11-C11)</f>
        <v>2</v>
      </c>
      <c r="F11" s="5" t="str">
        <f aca="false">IF(D11="","",IF(D11=الملخص!$C$1,"نعم",""))</f>
        <v/>
      </c>
    </row>
    <row r="12" customFormat="false" ht="17.9" hidden="false" customHeight="false" outlineLevel="0" collapsed="false">
      <c r="A12" s="5" t="s">
        <v>27</v>
      </c>
      <c r="B12" s="5" t="s">
        <v>17</v>
      </c>
      <c r="C12" s="5" t="n">
        <v>8</v>
      </c>
      <c r="D12" s="5" t="n">
        <v>15</v>
      </c>
      <c r="E12" s="5" t="n">
        <f aca="false">IF(D12="","",D12-C12)</f>
        <v>7</v>
      </c>
      <c r="F12" s="5" t="str">
        <f aca="false">IF(D12="","",IF(D12=الملخص!$C$1,"نعم",""))</f>
        <v/>
      </c>
    </row>
    <row r="13" customFormat="false" ht="17.9" hidden="false" customHeight="false" outlineLevel="0" collapsed="false">
      <c r="A13" s="5" t="s">
        <v>28</v>
      </c>
      <c r="B13" s="5" t="s">
        <v>17</v>
      </c>
      <c r="C13" s="5" t="n">
        <v>17</v>
      </c>
      <c r="D13" s="5" t="n">
        <v>13</v>
      </c>
      <c r="E13" s="5" t="n">
        <f aca="false">IF(D13="","",D13-C13)</f>
        <v>-4</v>
      </c>
      <c r="F13" s="5" t="str">
        <f aca="false">IF(D13="","",IF(D13=الملخص!$C$1,"نعم",""))</f>
        <v/>
      </c>
    </row>
    <row r="14" customFormat="false" ht="17.9" hidden="false" customHeight="false" outlineLevel="0" collapsed="false">
      <c r="A14" s="5" t="s">
        <v>29</v>
      </c>
      <c r="B14" s="5" t="s">
        <v>17</v>
      </c>
      <c r="C14" s="5" t="n">
        <v>7</v>
      </c>
      <c r="D14" s="5" t="n">
        <v>11</v>
      </c>
      <c r="E14" s="5" t="n">
        <f aca="false">IF(D14="","",D14-C14)</f>
        <v>4</v>
      </c>
      <c r="F14" s="5" t="str">
        <f aca="false">IF(D14="","",IF(D14=الملخص!$C$1,"نعم",""))</f>
        <v/>
      </c>
    </row>
    <row r="15" customFormat="false" ht="17.9" hidden="false" customHeight="false" outlineLevel="0" collapsed="false">
      <c r="A15" s="5" t="s">
        <v>30</v>
      </c>
      <c r="B15" s="5" t="s">
        <v>17</v>
      </c>
      <c r="C15" s="5" t="n">
        <v>10</v>
      </c>
      <c r="D15" s="5" t="n">
        <v>14</v>
      </c>
      <c r="E15" s="5" t="n">
        <f aca="false">IF(D15="","",D15-C15)</f>
        <v>4</v>
      </c>
      <c r="F15" s="5" t="str">
        <f aca="false">IF(D15="","",IF(D15=الملخص!$C$1,"نعم",""))</f>
        <v/>
      </c>
    </row>
    <row r="16" customFormat="false" ht="17.9" hidden="false" customHeight="false" outlineLevel="0" collapsed="false">
      <c r="A16" s="5" t="s">
        <v>31</v>
      </c>
      <c r="B16" s="5" t="s">
        <v>17</v>
      </c>
      <c r="C16" s="5" t="n">
        <v>7</v>
      </c>
      <c r="D16" s="5" t="n">
        <v>13</v>
      </c>
      <c r="E16" s="5" t="n">
        <f aca="false">IF(D16="","",D16-C16)</f>
        <v>6</v>
      </c>
      <c r="F16" s="5" t="str">
        <f aca="false">IF(D16="","",IF(D16=الملخص!$C$1,"نعم",""))</f>
        <v/>
      </c>
    </row>
    <row r="17" customFormat="false" ht="17.9" hidden="false" customHeight="false" outlineLevel="0" collapsed="false">
      <c r="A17" s="5" t="s">
        <v>32</v>
      </c>
      <c r="B17" s="5" t="s">
        <v>17</v>
      </c>
      <c r="C17" s="5" t="n">
        <v>10</v>
      </c>
      <c r="D17" s="5" t="n">
        <v>12</v>
      </c>
      <c r="E17" s="5" t="n">
        <f aca="false">IF(D17="","",D17-C17)</f>
        <v>2</v>
      </c>
      <c r="F17" s="5" t="str">
        <f aca="false">IF(D17="","",IF(D17=الملخص!$C$1,"نعم",""))</f>
        <v/>
      </c>
    </row>
    <row r="18" customFormat="false" ht="17.9" hidden="false" customHeight="false" outlineLevel="0" collapsed="false">
      <c r="A18" s="5" t="s">
        <v>33</v>
      </c>
      <c r="B18" s="5" t="s">
        <v>17</v>
      </c>
      <c r="C18" s="5" t="n">
        <v>6</v>
      </c>
      <c r="D18" s="5" t="n">
        <v>12</v>
      </c>
      <c r="E18" s="5" t="n">
        <f aca="false">IF(D18="","",D18-C18)</f>
        <v>6</v>
      </c>
      <c r="F18" s="5" t="str">
        <f aca="false">IF(D18="","",IF(D18=الملخص!$C$1,"نعم",""))</f>
        <v/>
      </c>
    </row>
    <row r="19" customFormat="false" ht="17.9" hidden="false" customHeight="false" outlineLevel="0" collapsed="false">
      <c r="A19" s="5" t="s">
        <v>34</v>
      </c>
      <c r="B19" s="5" t="s">
        <v>17</v>
      </c>
      <c r="C19" s="5" t="n">
        <v>9</v>
      </c>
      <c r="D19" s="5"/>
      <c r="E19" s="5" t="str">
        <f aca="false">IF(D19="","",D19-C19)</f>
        <v/>
      </c>
      <c r="F19" s="5" t="str">
        <f aca="false">IF(D19="","",IF(D19=الملخص!$C$1,"نعم",""))</f>
        <v/>
      </c>
    </row>
    <row r="20" customFormat="false" ht="17.9" hidden="false" customHeight="false" outlineLevel="0" collapsed="false">
      <c r="A20" s="5" t="s">
        <v>35</v>
      </c>
      <c r="B20" s="5" t="s">
        <v>17</v>
      </c>
      <c r="C20" s="5" t="n">
        <v>8</v>
      </c>
      <c r="D20" s="5" t="n">
        <v>10</v>
      </c>
      <c r="E20" s="5" t="n">
        <f aca="false">IF(D20="","",D20-C20)</f>
        <v>2</v>
      </c>
      <c r="F20" s="5" t="str">
        <f aca="false">IF(D20="","",IF(D20=الملخص!$C$1,"نعم",""))</f>
        <v/>
      </c>
    </row>
    <row r="21" customFormat="false" ht="17.9" hidden="false" customHeight="false" outlineLevel="0" collapsed="false">
      <c r="A21" s="5" t="s">
        <v>36</v>
      </c>
      <c r="B21" s="5" t="s">
        <v>17</v>
      </c>
      <c r="C21" s="5" t="n">
        <v>10</v>
      </c>
      <c r="D21" s="5" t="n">
        <v>12</v>
      </c>
      <c r="E21" s="5" t="n">
        <f aca="false">IF(D21="","",D21-C21)</f>
        <v>2</v>
      </c>
      <c r="F21" s="5" t="str">
        <f aca="false">IF(D21="","",IF(D21=الملخص!$C$1,"نعم",""))</f>
        <v/>
      </c>
    </row>
    <row r="22" customFormat="false" ht="17.9" hidden="false" customHeight="false" outlineLevel="0" collapsed="false">
      <c r="A22" s="5" t="s">
        <v>37</v>
      </c>
      <c r="B22" s="5" t="s">
        <v>17</v>
      </c>
      <c r="C22" s="5" t="n">
        <v>11</v>
      </c>
      <c r="D22" s="5" t="n">
        <v>15</v>
      </c>
      <c r="E22" s="5" t="n">
        <f aca="false">IF(D22="","",D22-C22)</f>
        <v>4</v>
      </c>
      <c r="F22" s="5" t="str">
        <f aca="false">IF(D22="","",IF(D22=الملخص!$C$1,"نعم",""))</f>
        <v/>
      </c>
    </row>
    <row r="23" customFormat="false" ht="17.9" hidden="false" customHeight="false" outlineLevel="0" collapsed="false">
      <c r="A23" s="5" t="s">
        <v>38</v>
      </c>
      <c r="B23" s="5" t="s">
        <v>17</v>
      </c>
      <c r="C23" s="5" t="n">
        <v>10</v>
      </c>
      <c r="D23" s="5" t="n">
        <v>13</v>
      </c>
      <c r="E23" s="5" t="n">
        <f aca="false">IF(D23="","",D23-C23)</f>
        <v>3</v>
      </c>
      <c r="F23" s="5" t="str">
        <f aca="false">IF(D23="","",IF(D23=الملخص!$C$1,"نعم",""))</f>
        <v/>
      </c>
    </row>
    <row r="24" customFormat="false" ht="17.9" hidden="false" customHeight="false" outlineLevel="0" collapsed="false">
      <c r="A24" s="5" t="s">
        <v>39</v>
      </c>
      <c r="B24" s="5" t="s">
        <v>17</v>
      </c>
      <c r="C24" s="5" t="n">
        <v>11</v>
      </c>
      <c r="D24" s="5" t="n">
        <v>14</v>
      </c>
      <c r="E24" s="5" t="n">
        <f aca="false">IF(D24="","",D24-C24)</f>
        <v>3</v>
      </c>
      <c r="F24" s="5" t="str">
        <f aca="false">IF(D24="","",IF(D24=الملخص!$C$1,"نعم",""))</f>
        <v/>
      </c>
    </row>
    <row r="25" customFormat="false" ht="17.9" hidden="false" customHeight="false" outlineLevel="0" collapsed="false">
      <c r="A25" s="5" t="s">
        <v>40</v>
      </c>
      <c r="B25" s="5" t="s">
        <v>17</v>
      </c>
      <c r="C25" s="5" t="n">
        <v>10</v>
      </c>
      <c r="D25" s="5"/>
      <c r="E25" s="5" t="str">
        <f aca="false">IF(D25="","",D25-C25)</f>
        <v/>
      </c>
      <c r="F25" s="5" t="str">
        <f aca="false">IF(D25="","",IF(D25=الملخص!$C$1,"نعم",""))</f>
        <v/>
      </c>
    </row>
    <row r="26" customFormat="false" ht="17.9" hidden="false" customHeight="false" outlineLevel="0" collapsed="false">
      <c r="A26" s="5" t="s">
        <v>41</v>
      </c>
      <c r="B26" s="5" t="s">
        <v>17</v>
      </c>
      <c r="C26" s="5" t="n">
        <v>10</v>
      </c>
      <c r="D26" s="5" t="n">
        <v>12</v>
      </c>
      <c r="E26" s="5" t="n">
        <f aca="false">IF(D26="","",D26-C26)</f>
        <v>2</v>
      </c>
      <c r="F26" s="5" t="str">
        <f aca="false">IF(D26="","",IF(D26=الملخص!$C$1,"نعم",""))</f>
        <v/>
      </c>
    </row>
    <row r="27" customFormat="false" ht="17.9" hidden="false" customHeight="false" outlineLevel="0" collapsed="false">
      <c r="A27" s="5" t="s">
        <v>42</v>
      </c>
      <c r="B27" s="5" t="s">
        <v>17</v>
      </c>
      <c r="C27" s="5" t="n">
        <v>10</v>
      </c>
      <c r="D27" s="5" t="n">
        <v>14</v>
      </c>
      <c r="E27" s="5" t="n">
        <f aca="false">IF(D27="","",D27-C27)</f>
        <v>4</v>
      </c>
      <c r="F27" s="5" t="str">
        <f aca="false">IF(D27="","",IF(D27=الملخص!$C$1,"نعم",""))</f>
        <v/>
      </c>
    </row>
    <row r="28" customFormat="false" ht="17.9" hidden="false" customHeight="false" outlineLevel="0" collapsed="false">
      <c r="A28" s="5" t="s">
        <v>43</v>
      </c>
      <c r="B28" s="5" t="s">
        <v>17</v>
      </c>
      <c r="C28" s="5" t="n">
        <v>7</v>
      </c>
      <c r="D28" s="5" t="n">
        <v>9</v>
      </c>
      <c r="E28" s="5" t="n">
        <f aca="false">IF(D28="","",D28-C28)</f>
        <v>2</v>
      </c>
      <c r="F28" s="5" t="str">
        <f aca="false">IF(D28="","",IF(D28=الملخص!$C$1,"نعم",""))</f>
        <v/>
      </c>
    </row>
    <row r="29" customFormat="false" ht="17.9" hidden="false" customHeight="false" outlineLevel="0" collapsed="false">
      <c r="A29" s="5" t="s">
        <v>44</v>
      </c>
      <c r="B29" s="5" t="s">
        <v>17</v>
      </c>
      <c r="C29" s="5" t="n">
        <v>8</v>
      </c>
      <c r="D29" s="5" t="n">
        <v>11</v>
      </c>
      <c r="E29" s="5" t="n">
        <f aca="false">IF(D29="","",D29-C29)</f>
        <v>3</v>
      </c>
      <c r="F29" s="5" t="str">
        <f aca="false">IF(D29="","",IF(D29=الملخص!$C$1,"نعم",""))</f>
        <v/>
      </c>
    </row>
    <row r="30" customFormat="false" ht="17.9" hidden="false" customHeight="false" outlineLevel="0" collapsed="false">
      <c r="A30" s="5" t="s">
        <v>45</v>
      </c>
      <c r="B30" s="5" t="s">
        <v>46</v>
      </c>
      <c r="C30" s="5" t="n">
        <v>13</v>
      </c>
      <c r="D30" s="5" t="n">
        <v>11</v>
      </c>
      <c r="E30" s="5" t="n">
        <f aca="false">IF(D30="","",D30-C30)</f>
        <v>-2</v>
      </c>
      <c r="F30" s="5" t="str">
        <f aca="false">IF(D30="","",IF(D30=الملخص!$C$1,"نعم",""))</f>
        <v/>
      </c>
    </row>
    <row r="31" customFormat="false" ht="17.9" hidden="false" customHeight="false" outlineLevel="0" collapsed="false">
      <c r="A31" s="5" t="s">
        <v>47</v>
      </c>
      <c r="B31" s="5" t="s">
        <v>46</v>
      </c>
      <c r="C31" s="5" t="n">
        <v>9</v>
      </c>
      <c r="D31" s="5" t="n">
        <v>15</v>
      </c>
      <c r="E31" s="5" t="n">
        <f aca="false">IF(D31="","",D31-C31)</f>
        <v>6</v>
      </c>
      <c r="F31" s="5" t="str">
        <f aca="false">IF(D31="","",IF(D31=الملخص!$C$1,"نعم",""))</f>
        <v/>
      </c>
    </row>
    <row r="32" customFormat="false" ht="17.9" hidden="false" customHeight="false" outlineLevel="0" collapsed="false">
      <c r="A32" s="5" t="s">
        <v>48</v>
      </c>
      <c r="B32" s="5" t="s">
        <v>46</v>
      </c>
      <c r="C32" s="5" t="n">
        <v>12</v>
      </c>
      <c r="D32" s="5" t="n">
        <v>11</v>
      </c>
      <c r="E32" s="5" t="n">
        <f aca="false">IF(D32="","",D32-C32)</f>
        <v>-1</v>
      </c>
      <c r="F32" s="5" t="str">
        <f aca="false">IF(D32="","",IF(D32=الملخص!$C$1,"نعم",""))</f>
        <v/>
      </c>
    </row>
    <row r="33" customFormat="false" ht="17.9" hidden="false" customHeight="false" outlineLevel="0" collapsed="false">
      <c r="A33" s="5" t="s">
        <v>49</v>
      </c>
      <c r="B33" s="5" t="s">
        <v>46</v>
      </c>
      <c r="C33" s="5" t="n">
        <v>10</v>
      </c>
      <c r="D33" s="5" t="n">
        <v>8</v>
      </c>
      <c r="E33" s="5" t="n">
        <f aca="false">IF(D33="","",D33-C33)</f>
        <v>-2</v>
      </c>
      <c r="F33" s="5" t="str">
        <f aca="false">IF(D33="","",IF(D33=الملخص!$C$1,"نعم",""))</f>
        <v/>
      </c>
    </row>
    <row r="34" customFormat="false" ht="17.9" hidden="false" customHeight="false" outlineLevel="0" collapsed="false">
      <c r="A34" s="5" t="s">
        <v>50</v>
      </c>
      <c r="B34" s="5" t="s">
        <v>46</v>
      </c>
      <c r="C34" s="5" t="n">
        <v>9</v>
      </c>
      <c r="D34" s="5" t="n">
        <v>9</v>
      </c>
      <c r="E34" s="5" t="n">
        <f aca="false">IF(D34="","",D34-C34)</f>
        <v>0</v>
      </c>
      <c r="F34" s="5" t="str">
        <f aca="false">IF(D34="","",IF(D34=الملخص!$C$1,"نعم",""))</f>
        <v/>
      </c>
    </row>
    <row r="35" customFormat="false" ht="17.9" hidden="false" customHeight="false" outlineLevel="0" collapsed="false">
      <c r="A35" s="5" t="s">
        <v>51</v>
      </c>
      <c r="B35" s="5" t="s">
        <v>46</v>
      </c>
      <c r="C35" s="5" t="n">
        <v>12</v>
      </c>
      <c r="D35" s="5" t="n">
        <v>15</v>
      </c>
      <c r="E35" s="5" t="n">
        <f aca="false">IF(D35="","",D35-C35)</f>
        <v>3</v>
      </c>
      <c r="F35" s="5" t="str">
        <f aca="false">IF(D35="","",IF(D35=الملخص!$C$1,"نعم",""))</f>
        <v/>
      </c>
    </row>
    <row r="36" customFormat="false" ht="17.9" hidden="false" customHeight="false" outlineLevel="0" collapsed="false">
      <c r="A36" s="5" t="s">
        <v>52</v>
      </c>
      <c r="B36" s="5" t="s">
        <v>46</v>
      </c>
      <c r="C36" s="5" t="n">
        <v>10</v>
      </c>
      <c r="D36" s="5" t="n">
        <v>11</v>
      </c>
      <c r="E36" s="5" t="n">
        <f aca="false">IF(D36="","",D36-C36)</f>
        <v>1</v>
      </c>
      <c r="F36" s="5" t="str">
        <f aca="false">IF(D36="","",IF(D36=الملخص!$C$1,"نعم",""))</f>
        <v/>
      </c>
    </row>
    <row r="37" customFormat="false" ht="17.9" hidden="false" customHeight="false" outlineLevel="0" collapsed="false">
      <c r="A37" s="5" t="s">
        <v>53</v>
      </c>
      <c r="B37" s="5" t="s">
        <v>46</v>
      </c>
      <c r="C37" s="5" t="n">
        <v>11</v>
      </c>
      <c r="D37" s="5" t="n">
        <v>11</v>
      </c>
      <c r="E37" s="5" t="n">
        <f aca="false">IF(D37="","",D37-C37)</f>
        <v>0</v>
      </c>
      <c r="F37" s="5" t="str">
        <f aca="false">IF(D37="","",IF(D37=الملخص!$C$1,"نعم",""))</f>
        <v/>
      </c>
    </row>
    <row r="38" customFormat="false" ht="17.9" hidden="false" customHeight="false" outlineLevel="0" collapsed="false">
      <c r="A38" s="5" t="s">
        <v>54</v>
      </c>
      <c r="B38" s="5" t="s">
        <v>46</v>
      </c>
      <c r="C38" s="5" t="n">
        <v>7</v>
      </c>
      <c r="D38" s="5" t="n">
        <v>9</v>
      </c>
      <c r="E38" s="5" t="n">
        <f aca="false">IF(D38="","",D38-C38)</f>
        <v>2</v>
      </c>
      <c r="F38" s="5" t="str">
        <f aca="false">IF(D38="","",IF(D38=الملخص!$C$1,"نعم",""))</f>
        <v/>
      </c>
    </row>
    <row r="39" customFormat="false" ht="17.9" hidden="false" customHeight="false" outlineLevel="0" collapsed="false">
      <c r="A39" s="5" t="s">
        <v>55</v>
      </c>
      <c r="B39" s="5" t="s">
        <v>46</v>
      </c>
      <c r="C39" s="5" t="n">
        <v>5</v>
      </c>
      <c r="D39" s="5" t="n">
        <v>4</v>
      </c>
      <c r="E39" s="5" t="n">
        <f aca="false">IF(D39="","",D39-C39)</f>
        <v>-1</v>
      </c>
      <c r="F39" s="5" t="str">
        <f aca="false">IF(D39="","",IF(D39=الملخص!$C$1,"نعم",""))</f>
        <v/>
      </c>
    </row>
    <row r="40" customFormat="false" ht="17.9" hidden="false" customHeight="false" outlineLevel="0" collapsed="false">
      <c r="A40" s="5" t="s">
        <v>56</v>
      </c>
      <c r="B40" s="5" t="s">
        <v>46</v>
      </c>
      <c r="C40" s="5" t="n">
        <v>10</v>
      </c>
      <c r="D40" s="5" t="n">
        <v>16</v>
      </c>
      <c r="E40" s="5" t="n">
        <f aca="false">IF(D40="","",D40-C40)</f>
        <v>6</v>
      </c>
      <c r="F40" s="5" t="str">
        <f aca="false">IF(D40="","",IF(D40=الملخص!$C$1,"نعم",""))</f>
        <v/>
      </c>
    </row>
    <row r="41" customFormat="false" ht="17.9" hidden="false" customHeight="false" outlineLevel="0" collapsed="false">
      <c r="A41" s="5" t="s">
        <v>57</v>
      </c>
      <c r="B41" s="5" t="s">
        <v>46</v>
      </c>
      <c r="C41" s="5" t="n">
        <v>15</v>
      </c>
      <c r="D41" s="5" t="n">
        <v>18</v>
      </c>
      <c r="E41" s="5" t="n">
        <f aca="false">IF(D41="","",D41-C41)</f>
        <v>3</v>
      </c>
      <c r="F41" s="5" t="str">
        <f aca="false">IF(D41="","",IF(D41=الملخص!$C$1,"نعم",""))</f>
        <v/>
      </c>
    </row>
    <row r="42" customFormat="false" ht="17.9" hidden="false" customHeight="false" outlineLevel="0" collapsed="false">
      <c r="A42" s="5" t="s">
        <v>58</v>
      </c>
      <c r="B42" s="5" t="s">
        <v>46</v>
      </c>
      <c r="C42" s="5" t="n">
        <v>13</v>
      </c>
      <c r="D42" s="5" t="n">
        <v>10</v>
      </c>
      <c r="E42" s="5" t="n">
        <f aca="false">IF(D42="","",D42-C42)</f>
        <v>-3</v>
      </c>
      <c r="F42" s="5" t="str">
        <f aca="false">IF(D42="","",IF(D42=الملخص!$C$1,"نعم",""))</f>
        <v/>
      </c>
    </row>
    <row r="43" customFormat="false" ht="17.9" hidden="false" customHeight="false" outlineLevel="0" collapsed="false">
      <c r="A43" s="5" t="s">
        <v>59</v>
      </c>
      <c r="B43" s="5" t="s">
        <v>46</v>
      </c>
      <c r="C43" s="5" t="n">
        <v>11</v>
      </c>
      <c r="D43" s="5" t="n">
        <v>15</v>
      </c>
      <c r="E43" s="5" t="n">
        <f aca="false">IF(D43="","",D43-C43)</f>
        <v>4</v>
      </c>
      <c r="F43" s="5" t="str">
        <f aca="false">IF(D43="","",IF(D43=الملخص!$C$1,"نعم",""))</f>
        <v/>
      </c>
    </row>
    <row r="44" customFormat="false" ht="17.9" hidden="false" customHeight="false" outlineLevel="0" collapsed="false">
      <c r="A44" s="5" t="s">
        <v>60</v>
      </c>
      <c r="B44" s="5" t="s">
        <v>46</v>
      </c>
      <c r="C44" s="5" t="n">
        <v>7</v>
      </c>
      <c r="D44" s="5" t="n">
        <v>11</v>
      </c>
      <c r="E44" s="5" t="n">
        <f aca="false">IF(D44="","",D44-C44)</f>
        <v>4</v>
      </c>
      <c r="F44" s="5" t="str">
        <f aca="false">IF(D44="","",IF(D44=الملخص!$C$1,"نعم",""))</f>
        <v/>
      </c>
    </row>
    <row r="45" customFormat="false" ht="17.9" hidden="false" customHeight="false" outlineLevel="0" collapsed="false">
      <c r="A45" s="5" t="s">
        <v>61</v>
      </c>
      <c r="B45" s="5" t="s">
        <v>46</v>
      </c>
      <c r="C45" s="5" t="n">
        <v>8</v>
      </c>
      <c r="D45" s="5" t="n">
        <v>7</v>
      </c>
      <c r="E45" s="5" t="n">
        <f aca="false">IF(D45="","",D45-C45)</f>
        <v>-1</v>
      </c>
      <c r="F45" s="5" t="str">
        <f aca="false">IF(D45="","",IF(D45=الملخص!$C$1,"نعم",""))</f>
        <v/>
      </c>
    </row>
    <row r="46" customFormat="false" ht="17.9" hidden="false" customHeight="false" outlineLevel="0" collapsed="false">
      <c r="A46" s="5" t="s">
        <v>62</v>
      </c>
      <c r="B46" s="5" t="s">
        <v>46</v>
      </c>
      <c r="C46" s="5" t="n">
        <v>20</v>
      </c>
      <c r="D46" s="5" t="n">
        <v>20</v>
      </c>
      <c r="E46" s="5" t="n">
        <f aca="false">IF(D46="","",D46-C46)</f>
        <v>0</v>
      </c>
      <c r="F46" s="5" t="str">
        <f aca="false">IF(D46="","",IF(D46=الملخص!$C$1,"نعم",""))</f>
        <v>نعم</v>
      </c>
    </row>
    <row r="47" customFormat="false" ht="17.9" hidden="false" customHeight="false" outlineLevel="0" collapsed="false">
      <c r="A47" s="5" t="s">
        <v>63</v>
      </c>
      <c r="B47" s="5" t="s">
        <v>46</v>
      </c>
      <c r="C47" s="5" t="n">
        <v>11</v>
      </c>
      <c r="D47" s="5" t="n">
        <v>18</v>
      </c>
      <c r="E47" s="5" t="n">
        <f aca="false">IF(D47="","",D47-C47)</f>
        <v>7</v>
      </c>
      <c r="F47" s="5" t="str">
        <f aca="false">IF(D47="","",IF(D47=الملخص!$C$1,"نعم",""))</f>
        <v/>
      </c>
    </row>
    <row r="48" customFormat="false" ht="17.9" hidden="false" customHeight="false" outlineLevel="0" collapsed="false">
      <c r="A48" s="5" t="s">
        <v>64</v>
      </c>
      <c r="B48" s="5" t="s">
        <v>46</v>
      </c>
      <c r="C48" s="5" t="n">
        <v>2</v>
      </c>
      <c r="D48" s="5" t="n">
        <v>8</v>
      </c>
      <c r="E48" s="5" t="n">
        <f aca="false">IF(D48="","",D48-C48)</f>
        <v>6</v>
      </c>
      <c r="F48" s="5" t="str">
        <f aca="false">IF(D48="","",IF(D48=الملخص!$C$1,"نعم",""))</f>
        <v/>
      </c>
    </row>
    <row r="49" customFormat="false" ht="17.9" hidden="false" customHeight="false" outlineLevel="0" collapsed="false">
      <c r="A49" s="5" t="s">
        <v>65</v>
      </c>
      <c r="B49" s="5" t="s">
        <v>46</v>
      </c>
      <c r="C49" s="5" t="n">
        <v>10</v>
      </c>
      <c r="D49" s="5" t="n">
        <v>9</v>
      </c>
      <c r="E49" s="5" t="n">
        <f aca="false">IF(D49="","",D49-C49)</f>
        <v>-1</v>
      </c>
      <c r="F49" s="5" t="str">
        <f aca="false">IF(D49="","",IF(D49=الملخص!$C$1,"نعم",""))</f>
        <v/>
      </c>
    </row>
    <row r="50" customFormat="false" ht="17.9" hidden="false" customHeight="false" outlineLevel="0" collapsed="false">
      <c r="A50" s="5" t="s">
        <v>66</v>
      </c>
      <c r="B50" s="5" t="s">
        <v>46</v>
      </c>
      <c r="C50" s="5" t="n">
        <v>9</v>
      </c>
      <c r="D50" s="5" t="n">
        <v>12</v>
      </c>
      <c r="E50" s="5" t="n">
        <f aca="false">IF(D50="","",D50-C50)</f>
        <v>3</v>
      </c>
      <c r="F50" s="5" t="str">
        <f aca="false">IF(D50="","",IF(D50=الملخص!$C$1,"نعم",""))</f>
        <v/>
      </c>
    </row>
    <row r="51" customFormat="false" ht="17.9" hidden="false" customHeight="false" outlineLevel="0" collapsed="false">
      <c r="A51" s="5" t="s">
        <v>67</v>
      </c>
      <c r="B51" s="5" t="s">
        <v>46</v>
      </c>
      <c r="C51" s="5" t="n">
        <v>11</v>
      </c>
      <c r="D51" s="5" t="n">
        <v>11</v>
      </c>
      <c r="E51" s="5" t="n">
        <f aca="false">IF(D51="","",D51-C51)</f>
        <v>0</v>
      </c>
      <c r="F51" s="5" t="str">
        <f aca="false">IF(D51="","",IF(D51=الملخص!$C$1,"نعم",""))</f>
        <v/>
      </c>
    </row>
    <row r="52" customFormat="false" ht="17.9" hidden="false" customHeight="false" outlineLevel="0" collapsed="false">
      <c r="A52" s="5" t="s">
        <v>68</v>
      </c>
      <c r="B52" s="5" t="s">
        <v>46</v>
      </c>
      <c r="C52" s="5" t="n">
        <v>3</v>
      </c>
      <c r="D52" s="5" t="n">
        <v>0</v>
      </c>
      <c r="E52" s="5" t="n">
        <f aca="false">IF(D52="","",D52-C52)</f>
        <v>-3</v>
      </c>
      <c r="F52" s="5" t="str">
        <f aca="false">IF(D52="","",IF(D52=الملخص!$C$1,"نعم",""))</f>
        <v/>
      </c>
    </row>
    <row r="53" customFormat="false" ht="17.9" hidden="false" customHeight="false" outlineLevel="0" collapsed="false">
      <c r="A53" s="5" t="s">
        <v>69</v>
      </c>
      <c r="B53" s="5" t="s">
        <v>46</v>
      </c>
      <c r="C53" s="5" t="n">
        <v>10</v>
      </c>
      <c r="D53" s="5" t="n">
        <v>12</v>
      </c>
      <c r="E53" s="5" t="n">
        <f aca="false">IF(D53="","",D53-C53)</f>
        <v>2</v>
      </c>
      <c r="F53" s="5" t="str">
        <f aca="false">IF(D53="","",IF(D53=الملخص!$C$1,"نعم",""))</f>
        <v/>
      </c>
    </row>
    <row r="54" customFormat="false" ht="17.9" hidden="false" customHeight="false" outlineLevel="0" collapsed="false">
      <c r="A54" s="5" t="s">
        <v>70</v>
      </c>
      <c r="B54" s="5" t="s">
        <v>46</v>
      </c>
      <c r="C54" s="5" t="n">
        <v>12</v>
      </c>
      <c r="D54" s="5" t="n">
        <v>13</v>
      </c>
      <c r="E54" s="5" t="n">
        <f aca="false">IF(D54="","",D54-C54)</f>
        <v>1</v>
      </c>
      <c r="F54" s="5" t="str">
        <f aca="false">IF(D54="","",IF(D54=الملخص!$C$1,"نعم",""))</f>
        <v/>
      </c>
    </row>
    <row r="55" customFormat="false" ht="17.9" hidden="false" customHeight="false" outlineLevel="0" collapsed="false">
      <c r="A55" s="5" t="s">
        <v>71</v>
      </c>
      <c r="B55" s="5" t="s">
        <v>46</v>
      </c>
      <c r="C55" s="5" t="n">
        <v>10</v>
      </c>
      <c r="D55" s="5" t="n">
        <v>13</v>
      </c>
      <c r="E55" s="5" t="n">
        <f aca="false">IF(D55="","",D55-C55)</f>
        <v>3</v>
      </c>
      <c r="F55" s="5" t="str">
        <f aca="false">IF(D55="","",IF(D55=الملخص!$C$1,"نعم",""))</f>
        <v/>
      </c>
    </row>
    <row r="56" customFormat="false" ht="17.9" hidden="false" customHeight="false" outlineLevel="0" collapsed="false">
      <c r="A56" s="5" t="s">
        <v>72</v>
      </c>
      <c r="B56" s="5" t="s">
        <v>46</v>
      </c>
      <c r="C56" s="5" t="n">
        <v>11</v>
      </c>
      <c r="D56" s="5" t="n">
        <v>14</v>
      </c>
      <c r="E56" s="5" t="n">
        <f aca="false">IF(D56="","",D56-C56)</f>
        <v>3</v>
      </c>
      <c r="F56" s="5" t="str">
        <f aca="false">IF(D56="","",IF(D56=الملخص!$C$1,"نعم",""))</f>
        <v/>
      </c>
    </row>
  </sheetData>
  <conditionalFormatting sqref="D2:D56">
    <cfRule type="expression" priority="2" aboveAverage="0" equalAverage="0" bottom="0" percent="0" rank="0" text="" dxfId="0">
      <formula>D2=""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6" t="s">
        <v>73</v>
      </c>
      <c r="C1" s="7" t="n">
        <v>20</v>
      </c>
    </row>
    <row r="3" customFormat="false" ht="17.9" hidden="false" customHeight="false" outlineLevel="0" collapsed="false">
      <c r="A3" s="4" t="s">
        <v>74</v>
      </c>
      <c r="B3" s="4" t="s">
        <v>75</v>
      </c>
      <c r="C3" s="4" t="s">
        <v>76</v>
      </c>
    </row>
    <row r="4" customFormat="false" ht="17.9" hidden="false" customHeight="false" outlineLevel="0" collapsed="false">
      <c r="A4" s="8" t="s">
        <v>77</v>
      </c>
      <c r="B4" s="5" t="n">
        <f aca="false">COUNTIF(البيانات!$B$2:$B$56,"التجربة")</f>
        <v>28</v>
      </c>
      <c r="C4" s="5" t="n">
        <f aca="false">COUNTIF(البيانات!$B$2:$B$56,"المقارنة")</f>
        <v>27</v>
      </c>
    </row>
    <row r="5" customFormat="false" ht="17.9" hidden="false" customHeight="false" outlineLevel="0" collapsed="false">
      <c r="A5" s="8" t="s">
        <v>78</v>
      </c>
      <c r="B5" s="5" t="n">
        <f aca="false">SUMPRODUCT((البيانات!$B$2:$B$56="التجربة")*ISNUMBER(البيانات!$D$2:$D$56))</f>
        <v>25</v>
      </c>
      <c r="C5" s="5" t="n">
        <f aca="false">SUMPRODUCT((البيانات!$B$2:$B$56="المقارنة")*ISNUMBER(البيانات!$D$2:$D$56))</f>
        <v>27</v>
      </c>
    </row>
    <row r="6" customFormat="false" ht="17.9" hidden="false" customHeight="false" outlineLevel="0" collapsed="false">
      <c r="A6" s="8" t="s">
        <v>79</v>
      </c>
      <c r="B6" s="9" t="n">
        <f aca="false">SUMPRODUCT((البيانات!$B$2:$B$56="التجربة")*ISNUMBER(البيانات!$D$2:$D$56)*البيانات!$C$2:$C$56)/B5</f>
        <v>9.68</v>
      </c>
      <c r="C6" s="9" t="n">
        <f aca="false">SUMPRODUCT((البيانات!$B$2:$B$56="المقارنة")*ISNUMBER(البيانات!$D$2:$D$56)*البيانات!$C$2:$C$56)/C5</f>
        <v>10.037037037037</v>
      </c>
    </row>
    <row r="7" customFormat="false" ht="17.9" hidden="false" customHeight="false" outlineLevel="0" collapsed="false">
      <c r="A7" s="8" t="s">
        <v>80</v>
      </c>
      <c r="B7" s="9" t="n">
        <f aca="false">SUMPRODUCT((البيانات!$B$2:$B$56="التجربة")*ISNUMBER(البيانات!$D$2:$D$56),البيانات!$D$2:$D$56)/B5</f>
        <v>13.24</v>
      </c>
      <c r="C7" s="9" t="n">
        <f aca="false">SUMPRODUCT((البيانات!$B$2:$B$56="المقارنة")*ISNUMBER(البيانات!$D$2:$D$56),البيانات!$D$2:$D$56)/C5</f>
        <v>11.5185185185185</v>
      </c>
    </row>
    <row r="8" customFormat="false" ht="17.9" hidden="false" customHeight="false" outlineLevel="0" collapsed="false">
      <c r="A8" s="8" t="s">
        <v>81</v>
      </c>
      <c r="B8" s="9" t="n">
        <f aca="false">B7-B6</f>
        <v>3.56</v>
      </c>
      <c r="C8" s="9" t="n">
        <f aca="false">C7-C6</f>
        <v>1.48148148148148</v>
      </c>
    </row>
    <row r="9" customFormat="false" ht="17.9" hidden="false" customHeight="false" outlineLevel="0" collapsed="false">
      <c r="A9" s="8" t="s">
        <v>82</v>
      </c>
      <c r="B9" s="9" t="n">
        <f aca="false">SQRT((SUMPRODUCT((البيانات!$B$2:$B$56="التجربة")*ISNUMBER(البيانات!$D$2:$D$56)*البيانات!$C$2:$C$56^2)-B5*B6^2)/(B5-1))</f>
        <v>2.77968823191859</v>
      </c>
      <c r="C9" s="9" t="n">
        <f aca="false">SQRT((SUMPRODUCT((البيانات!$B$2:$B$56="المقارنة")*ISNUMBER(البيانات!$D$2:$D$56)*البيانات!$C$2:$C$56^2)-C5*C6^2)/(C5-1))</f>
        <v>3.52443646866452</v>
      </c>
    </row>
    <row r="10" customFormat="false" ht="17.9" hidden="false" customHeight="false" outlineLevel="0" collapsed="false">
      <c r="A10" s="8" t="s">
        <v>83</v>
      </c>
      <c r="B10" s="9" t="n">
        <f aca="false">SQRT((SUMPRODUCT((البيانات!$B$2:$B$56="التجربة")*ISNUMBER(البيانات!$D$2:$D$56),البيانات!$D$2:$D$56^2)-B5*B7^2)/(B5-1))</f>
        <v>2.71231758219178</v>
      </c>
      <c r="C10" s="9" t="n">
        <f aca="false">SQRT((SUMPRODUCT((البيانات!$B$2:$B$56="المقارنة")*ISNUMBER(البيانات!$D$2:$D$56),البيانات!$D$2:$D$56^2)-C5*C7^2)/(C5-1))</f>
        <v>4.30000331279274</v>
      </c>
    </row>
    <row r="11" customFormat="false" ht="17.9" hidden="false" customHeight="false" outlineLevel="0" collapsed="false">
      <c r="A11" s="8" t="s">
        <v>84</v>
      </c>
      <c r="B11" s="9" t="n">
        <f aca="false">B8/SQRT((B9^2+B10^2)/2)</f>
        <v>1.29633226761749</v>
      </c>
      <c r="C11" s="9" t="n">
        <f aca="false">C8/SQRT((C9^2+C10^2)/2)</f>
        <v>0.376833855839654</v>
      </c>
    </row>
    <row r="12" customFormat="false" ht="17.9" hidden="false" customHeight="false" outlineLevel="0" collapsed="false">
      <c r="A12" s="8" t="s">
        <v>85</v>
      </c>
      <c r="B12" s="10" t="n">
        <f aca="false">(B7-B6)/($C$1-B6)</f>
        <v>0.344961240310078</v>
      </c>
      <c r="C12" s="10" t="n">
        <f aca="false">(C7-C6)/($C$1-C6)</f>
        <v>0.148698884758364</v>
      </c>
    </row>
    <row r="13" customFormat="false" ht="17.9" hidden="false" customHeight="false" outlineLevel="0" collapsed="false">
      <c r="A13" s="8" t="s">
        <v>86</v>
      </c>
      <c r="B13" s="10" t="n">
        <f aca="false">SUMPRODUCT((البيانات!$B$2:$B$56="التجربة")*ISNUMBER(البيانات!$D$2:$D$56)*(البيانات!$D$2:$D$56&gt;البيانات!$C$2:$C$56))/B5</f>
        <v>0.92</v>
      </c>
      <c r="C13" s="10" t="n">
        <f aca="false">SUMPRODUCT((البيانات!$B$2:$B$56="المقارنة")*ISNUMBER(البيانات!$D$2:$D$56)*(البيانات!$D$2:$D$56&gt;البيانات!$C$2:$C$56))/C5</f>
        <v>0.555555555555556</v>
      </c>
    </row>
    <row r="14" customFormat="false" ht="17.9" hidden="false" customHeight="false" outlineLevel="0" collapsed="false">
      <c r="A14" s="8" t="s">
        <v>87</v>
      </c>
      <c r="B14" s="5" t="n">
        <f aca="false">COUNTIFS(البيانات!$B$2:$B$56,"التجربة",البيانات!$D$2:$D$56,$C$1)</f>
        <v>0</v>
      </c>
      <c r="C14" s="5" t="n">
        <f aca="false">COUNTIFS(البيانات!$B$2:$B$56,"المقارنة",البيانات!$D$2:$D$56,$C$1)</f>
        <v>1</v>
      </c>
    </row>
    <row r="16" customFormat="false" ht="17.9" hidden="false" customHeight="false" outlineLevel="0" collapsed="false">
      <c r="A16" s="3" t="s">
        <v>88</v>
      </c>
      <c r="B16" s="11" t="n">
        <f aca="false">B8-C8</f>
        <v>2.07851851851852</v>
      </c>
    </row>
    <row r="17" customFormat="false" ht="15" hidden="false" customHeight="false" outlineLevel="0" collapsed="false">
      <c r="A17" s="3" t="s">
        <v>89</v>
      </c>
      <c r="B17" s="12" t="n">
        <f aca="false">SUMPRODUCT((البيانات!$B$2:$B$56="التجربة")*NOT(ISNUMBER(البيانات!$D$2:$D$56)))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3" t="s">
        <v>90</v>
      </c>
    </row>
    <row r="3" customFormat="false" ht="15" hidden="false" customHeight="false" outlineLevel="0" collapsed="false">
      <c r="A3" s="6" t="s">
        <v>91</v>
      </c>
      <c r="C3" s="7" t="n">
        <v>8</v>
      </c>
    </row>
    <row r="4" customFormat="false" ht="15" hidden="false" customHeight="false" outlineLevel="0" collapsed="false">
      <c r="A4" s="6" t="s">
        <v>92</v>
      </c>
      <c r="C4" s="7" t="n">
        <v>12</v>
      </c>
    </row>
    <row r="6" customFormat="false" ht="17.9" hidden="false" customHeight="false" outlineLevel="0" collapsed="false">
      <c r="A6" s="4" t="s">
        <v>93</v>
      </c>
      <c r="B6" s="4" t="s">
        <v>94</v>
      </c>
      <c r="C6" s="4" t="s">
        <v>95</v>
      </c>
      <c r="D6" s="4" t="s">
        <v>81</v>
      </c>
    </row>
    <row r="7" customFormat="false" ht="17.9" hidden="false" customHeight="false" outlineLevel="0" collapsed="false">
      <c r="A7" s="5" t="s">
        <v>96</v>
      </c>
      <c r="B7" s="5" t="n">
        <f aca="false">SUMPRODUCT((البيانات!$B$2:$B$56="التجربة")*ISNUMBER(البيانات!$D$2:$D$56)*(البيانات!$C$2:$C$56&lt;=$C$3))</f>
        <v>8</v>
      </c>
      <c r="C7" s="9" t="n">
        <f aca="false">IFERROR(SUMPRODUCT((البيانات!$B$2:$B$56="التجربة")*ISNUMBER(البيانات!$D$2:$D$56)*(البيانات!$C$2:$C$56&lt;=$C$3)*البيانات!$C$2:$C$56)/B7,"")</f>
        <v>6.875</v>
      </c>
      <c r="D7" s="9" t="n">
        <f aca="false">IFERROR(SUMPRODUCT((البيانات!$B$2:$B$56="التجربة")*ISNUMBER(البيانات!$D$2:$D$56)*(البيانات!$C$2:$C$56&lt;=$C$3),البيانات!$D$2:$D$56)/B7-C7,"")</f>
        <v>4.375</v>
      </c>
    </row>
    <row r="8" customFormat="false" ht="17.9" hidden="false" customHeight="false" outlineLevel="0" collapsed="false">
      <c r="A8" s="5" t="s">
        <v>97</v>
      </c>
      <c r="B8" s="5" t="n">
        <f aca="false">SUMPRODUCT((البيانات!$B$2:$B$56="التجربة")*ISNUMBER(البيانات!$D$2:$D$56)*(البيانات!$C$2:$C$56&gt;$C$3)*(البيانات!$C$2:$C$56&lt;$C$4))</f>
        <v>14</v>
      </c>
      <c r="C8" s="9" t="n">
        <f aca="false">IFERROR(SUMPRODUCT((البيانات!$B$2:$B$56="التجربة")*ISNUMBER(البيانات!$D$2:$D$56)*(البيانات!$C$2:$C$56&gt;$C$3)*(البيانات!$C$2:$C$56&lt;$C$4)*البيانات!$C$2:$C$56)/B8,"")</f>
        <v>10.0714285714286</v>
      </c>
      <c r="D8" s="9" t="n">
        <f aca="false">IFERROR(SUMPRODUCT((البيانات!$B$2:$B$56="التجربة")*ISNUMBER(البيانات!$D$2:$D$56)*(البيانات!$C$2:$C$56&gt;$C$3)*(البيانات!$C$2:$C$56&lt;$C$4),البيانات!$D$2:$D$56)/B8-C8,"")</f>
        <v>3.78571428571429</v>
      </c>
    </row>
    <row r="9" customFormat="false" ht="17.9" hidden="false" customHeight="false" outlineLevel="0" collapsed="false">
      <c r="A9" s="5" t="s">
        <v>98</v>
      </c>
      <c r="B9" s="5" t="n">
        <f aca="false">SUMPRODUCT((البيانات!$B$2:$B$56="التجربة")*ISNUMBER(البيانات!$D$2:$D$56)*(البيانات!$C$2:$C$56&gt;=$C$4))</f>
        <v>3</v>
      </c>
      <c r="C9" s="9" t="n">
        <f aca="false">IFERROR(SUMPRODUCT((البيانات!$B$2:$B$56="التجربة")*ISNUMBER(البيانات!$D$2:$D$56)*(البيانات!$C$2:$C$56&gt;=$C$4)*البيانات!$C$2:$C$56)/B9,"")</f>
        <v>15.3333333333333</v>
      </c>
      <c r="D9" s="9" t="n">
        <f aca="false">IFERROR(SUMPRODUCT((البيانات!$B$2:$B$56="التجربة")*ISNUMBER(البيانات!$D$2:$D$56)*(البيانات!$C$2:$C$56&gt;=$C$4),البيانات!$D$2:$D$56)/B9-C9,"")</f>
        <v>0.333333333333332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2026-10-05T17:33:22Z</dcterms:created>
  <dc:creator>openpyxl</dc:creator>
  <dc:description/>
  <dc:language>en-US</dc:language>
  <cp:lastModifiedBy/>
  <dcterms:modified xsi:type="dcterms:W3CDTF">2026-10-05T17:33:22Z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