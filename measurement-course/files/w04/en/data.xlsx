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ternal consistency" sheetId="2" state="visible" r:id="rId4"/>
    <sheet name="Test-retest" sheetId="3" state="visible" r:id="rId5"/>
    <sheet name="Inter-rater agreement" sheetId="4" state="visible" r:id="rId6"/>
    <sheet name="SEM" sheetId="5" state="visible" r:id="rId7"/>
    <sheet name="Coefficient comparis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2" authorId="0">
      <text>
        <r>
          <rPr>
            <sz val="10"/>
            <rFont val="Arial"/>
            <family val="2"/>
          </rPr>
          <t xml:space="preserve">The correlation between halves estimates the reliability of a half-length test; the correction estimates the reliability of the full test: 2r ÷ (1 + r).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The correlation is not affected by a rise in the mean of the whole second administration; it is affected only by changes in the students' rank order.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5" authorId="0">
      <text>
        <r>
          <rPr>
            <sz val="10"/>
            <rFont val="Arial"/>
            <family val="2"/>
          </rPr>
          <t xml:space="preserve">Landis &amp; Koch (1977): 0.41–0.60 moderate, 0.61–0.80 substantial, above 0.80 almost perfect. A common rule-of-thumb classification.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Change this cell to another coefficient (such as test-retest reliability) to see how the SEM and the confidence bands change.</t>
        </r>
      </text>
    </comment>
  </commentList>
</comments>
</file>

<file path=xl/sharedStrings.xml><?xml version="1.0" encoding="utf-8"?>
<sst xmlns="http://schemas.openxmlformats.org/spreadsheetml/2006/main" count="199" uniqueCount="155">
  <si>
    <t xml:space="preserve">Week 4 workshop — Reliability and the Standard Error of Measurement</t>
  </si>
  <si>
    <t xml:space="preserve">Educational Measurement and Evaluation — Postgraduate Professional Diploma in Teaching</t>
  </si>
  <si>
    <t xml:space="preserve">Note: all data are computer-simulated for training purposes and do not belong to real students.</t>
  </si>
  <si>
    <t xml:space="preserve">A short 20-item test was given to 40 students, then re-administered two weeks later, and 30 essay responses were scored by two raters.</t>
  </si>
  <si>
    <t xml:space="preserve">Workbook sheets and the four types of reliability:</t>
  </si>
  <si>
    <t xml:space="preserve">Internal consistency: the Kuder–Richardson 20 coefficient from students' responses to the items.</t>
  </si>
  <si>
    <t xml:space="preserve">Split-half: the correlation of odd items with even items, then the Spearman–Brown correction.</t>
  </si>
  <si>
    <t xml:space="preserve">Test-retest: the correlation between scores on the first and second administrations.</t>
  </si>
  <si>
    <t xml:space="preserve">Inter-rater agreement: exact and adjacent agreement rates, and Cohen's kappa.</t>
  </si>
  <si>
    <t xml:space="preserve">SEM: translating reliability into score points, and confidence bands around the scores of three students.</t>
  </si>
  <si>
    <t xml:space="preserve">All coefficients are live formulas that recalculate if you edit the data. Calculations use population variance formulas (VARP).</t>
  </si>
  <si>
    <t xml:space="preserve">Student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</si>
  <si>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</si>
  <si>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</si>
  <si>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</si>
  <si>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</si>
  <si>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</si>
  <si>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</si>
  <si>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</si>
  <si>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</si>
  <si>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</si>
  <si>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</si>
  <si>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</si>
  <si>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</si>
  <si>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</si>
  <si>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</si>
  <si>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</si>
  <si>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</si>
  <si>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</si>
  <si>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</si>
  <si>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</si>
  <si>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</si>
  <si>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Total score</t>
  </si>
  <si>
    <t xml:space="preserve">Odd items</t>
  </si>
  <si>
    <t xml:space="preserve">Even items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</si>
  <si>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</si>
  <si>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</si>
  <si>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</si>
  <si>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</si>
  <si>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</si>
  <si>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</si>
  <si>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</si>
  <si>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</si>
  <si>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</si>
  <si>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</si>
  <si>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</si>
  <si>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</si>
  <si>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</si>
  <si>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</si>
  <si>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</si>
  <si>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</si>
  <si>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</si>
  <si>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</si>
  <si>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</si>
  <si>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</si>
  <si>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</si>
  <si>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</si>
  <si>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</si>
  <si>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</si>
  <si>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</si>
  <si>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</si>
  <si>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</si>
  <si>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</si>
  <si>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</si>
  <si>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</si>
  <si>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</si>
  <si>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</si>
  <si>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</si>
  <si>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</si>
  <si>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</si>
  <si>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</si>
  <si>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</si>
  <si>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</si>
  <si>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</si>
  <si>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</si>
  <si>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Difficulty p</t>
  </si>
  <si>
    <t xml:space="preserve">Variance p×q</t>
  </si>
  <si>
    <t xml:space="preserve">Number of items k</t>
  </si>
  <si>
    <t xml:space="preserve">Sum of item variances</t>
  </si>
  <si>
    <t xml:space="preserve">Total score variance</t>
  </si>
  <si>
    <t xml:space="preserve">Kuder–Richardson 20 coefficient</t>
  </si>
  <si>
    <t xml:space="preserve">Correlation between halves</t>
  </si>
  <si>
    <t xml:space="preserve">After Spearman–Brown correction</t>
  </si>
  <si>
    <t xml:space="preserve">First administration</t>
  </si>
  <si>
    <t xml:space="preserve">Second administration (two weeks later)</t>
  </si>
  <si>
    <t xml:space="preserve">Difference</t>
  </si>
  <si>
    <t xml:space="preserve">Test-retest reliability coefficient</t>
  </si>
  <si>
    <t xml:space="preserve">Mean, first administration</t>
  </si>
  <si>
    <t xml:space="preserve">Mean, second administration</t>
  </si>
  <si>
    <t xml:space="preserve">Response</t>
  </si>
  <si>
    <t xml:space="preserve">Rater A</t>
  </si>
  <si>
    <t xml:space="preserve">Rater B</t>
  </si>
  <si>
    <t xml:space="preserve">Exact agreement</t>
  </si>
  <si>
    <t xml:space="preserve">Adjacent agreement</t>
  </si>
  <si>
    <t xml:space="preserve">Contingency table: rows Rater A, columns Rater B</t>
  </si>
  <si>
    <t xml:space="preserve">E01</t>
  </si>
  <si>
    <t xml:space="preserve">A \ B</t>
  </si>
  <si>
    <t xml:space="preserve">Total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</si>
  <si>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</si>
  <si>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</si>
  <si>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</si>
  <si>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</si>
  <si>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</si>
  <si>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</si>
  <si>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</si>
  <si>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</si>
  <si>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</si>
  <si>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</si>
  <si>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Exact agreement rate</t>
  </si>
  <si>
    <t xml:space="preserve">E12</t>
  </si>
  <si>
    <t xml:space="preserve">Exact or adjacent agreement rate</t>
  </si>
  <si>
    <t xml:space="preserve">E13</t>
  </si>
  <si>
    <t xml:space="preserve">Agreement expected by chance</t>
  </si>
  <si>
    <t xml:space="preserve">E14</t>
  </si>
  <si>
    <t xml:space="preserve">Cohen's kappa</t>
  </si>
  <si>
    <t xml:space="preserve">E15</t>
  </si>
  <si>
    <t xml:space="preserve">Mean score, Rater A</t>
  </si>
  <si>
    <t xml:space="preserve">E16</t>
  </si>
  <si>
    <t xml:space="preserve">Mean score, Rater B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</si>
  <si>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</si>
  <si>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</si>
  <si>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</si>
  <si>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</si>
  <si>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</si>
  <si>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</si>
  <si>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</si>
  <si>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</si>
  <si>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</si>
  <si>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</si>
  <si>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</si>
  <si>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</si>
  <si>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</si>
  <si>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</si>
  <si>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Standard deviation of scores</t>
  </si>
  <si>
    <t xml:space="preserve">Reliability coefficient used</t>
  </si>
  <si>
    <t xml:space="preserve">Standard error of measurement</t>
  </si>
  <si>
    <t xml:space="preserve">Observed score</t>
  </si>
  <si>
    <t xml:space="preserve">68% band: from</t>
  </si>
  <si>
    <t xml:space="preserve">to</t>
  </si>
  <si>
    <t xml:space="preserve">95% band: from</t>
  </si>
  <si>
    <t xml:space="preserve">Low-scoring student</t>
  </si>
  <si>
    <t xml:space="preserve">Middle-scoring student</t>
  </si>
  <si>
    <t xml:space="preserve">High-scoring student</t>
  </si>
  <si>
    <t xml:space="preserve">Type of reliability</t>
  </si>
  <si>
    <t xml:space="preserve">Value</t>
  </si>
  <si>
    <t xml:space="preserve">Which source of error does it measure?</t>
  </si>
  <si>
    <t xml:space="preserve">Internal consistency (Kuder–Richardson 20)</t>
  </si>
  <si>
    <t xml:space="preserve">Variation across items: do they measure the same thing?</t>
  </si>
  <si>
    <t xml:space="preserve">Split-half after correction</t>
  </si>
  <si>
    <t xml:space="preserve">Variation between the two halves of the test</t>
  </si>
  <si>
    <t xml:space="preserve">Test-retest</t>
  </si>
  <si>
    <t xml:space="preserve">Change in student performance from day to day</t>
  </si>
  <si>
    <t xml:space="preserve">Inter-rater agreement (kappa)</t>
  </si>
  <si>
    <t xml:space="preserve">Variation in raters' judgements</t>
  </si>
  <si>
    <t xml:space="preserve">There is no single "reliability" of a test: each coefficient answers a different question about a different source of error.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</si>
</sst>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"/>
    <numFmt numFmtId="168" formatCode="General"/>
    <numFmt numFmtId="169" formatCode="0%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sz val="11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1" min="2" style="0" width="6"/>
    <col collapsed="false" customWidth="true" hidden="false" outlineLevel="0" max="24" min="22" style="0" width="14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</row>
    <row r="2" customFormat="false" ht="15" hidden="false" customHeight="false" outlineLevel="0" collapsed="false">
      <c r="A2" s="5" t="s">
        <v>35</v>
      </c>
      <c r="B2" s="5" t="n">
        <v>1</v>
      </c>
      <c r="C2" s="5" t="n">
        <v>1</v>
      </c>
      <c r="D2" s="5" t="n">
        <v>0</v>
      </c>
      <c r="E2" s="5" t="n">
        <v>0</v>
      </c>
      <c r="F2" s="5" t="n">
        <v>1</v>
      </c>
      <c r="G2" s="5" t="n">
        <v>1</v>
      </c>
      <c r="H2" s="5" t="n">
        <v>0</v>
      </c>
      <c r="I2" s="5" t="n">
        <v>1</v>
      </c>
      <c r="J2" s="5" t="n">
        <v>1</v>
      </c>
      <c r="K2" s="5" t="n">
        <v>1</v>
      </c>
      <c r="L2" s="5" t="n">
        <v>0</v>
      </c>
      <c r="M2" s="5" t="n">
        <v>1</v>
      </c>
      <c r="N2" s="5" t="n">
        <v>1</v>
      </c>
      <c r="O2" s="5" t="n">
        <v>0</v>
      </c>
      <c r="P2" s="5" t="n">
        <v>1</v>
      </c>
      <c r="Q2" s="5" t="n">
        <v>1</v>
      </c>
      <c r="R2" s="5" t="n">
        <v>0</v>
      </c>
      <c r="S2" s="5" t="n">
        <v>1</v>
      </c>
      <c r="T2" s="5" t="n">
        <v>1</v>
      </c>
      <c r="U2" s="5" t="n">
        <v>1</v>
      </c>
      <c r="V2" s="5" t="n">
        <f aca="false">SUM(B2:U2)</f>
        <v>14</v>
      </c>
      <c r="W2" s="5" t="n">
        <f aca="false">B2+D2+F2+H2+J2+L2+N2+P2+R2+T2</f>
        <v>6</v>
      </c>
      <c r="X2" s="5" t="n">
        <f aca="false">C2+E2+G2+I2+K2+M2+O2+Q2+S2+U2</f>
        <v>8</v>
      </c>
    </row>
    <row r="3" customFormat="false" ht="15" hidden="false" customHeight="false" outlineLevel="0" collapsed="false">
      <c r="A3" s="5" t="s">
        <v>36</v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f aca="false">SUM(B3:U3)</f>
        <v>6</v>
      </c>
      <c r="W3" s="5" t="n">
        <f aca="false">B3+D3+F3+H3+J3+L3+N3+P3+R3+T3</f>
        <v>3</v>
      </c>
      <c r="X3" s="5" t="n">
        <f aca="false">C3+E3+G3+I3+K3+M3+O3+Q3+S3+U3</f>
        <v>3</v>
      </c>
    </row>
    <row r="4" customFormat="false" ht="15" hidden="false" customHeight="false" outlineLevel="0" collapsed="false">
      <c r="A4" s="5" t="s">
        <v>37</v>
      </c>
      <c r="B4" s="5" t="n">
        <v>0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0</v>
      </c>
      <c r="O4" s="5" t="n">
        <v>1</v>
      </c>
      <c r="P4" s="5" t="n">
        <v>1</v>
      </c>
      <c r="Q4" s="5" t="n">
        <v>1</v>
      </c>
      <c r="R4" s="5" t="n">
        <v>0</v>
      </c>
      <c r="S4" s="5" t="n">
        <v>1</v>
      </c>
      <c r="T4" s="5" t="n">
        <v>1</v>
      </c>
      <c r="U4" s="5" t="n">
        <v>1</v>
      </c>
      <c r="V4" s="5" t="n">
        <f aca="false">SUM(B4:U4)</f>
        <v>13</v>
      </c>
      <c r="W4" s="5" t="n">
        <f aca="false">B4+D4+F4+H4+J4+L4+N4+P4+R4+T4</f>
        <v>6</v>
      </c>
      <c r="X4" s="5" t="n">
        <f aca="false">C4+E4+G4+I4+K4+M4+O4+Q4+S4+U4</f>
        <v>7</v>
      </c>
    </row>
    <row r="5" customFormat="false" ht="15" hidden="false" customHeight="false" outlineLevel="0" collapsed="false">
      <c r="A5" s="5" t="s">
        <v>38</v>
      </c>
      <c r="B5" s="5" t="n">
        <v>1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0</v>
      </c>
      <c r="M5" s="5" t="n">
        <v>1</v>
      </c>
      <c r="N5" s="5" t="n">
        <v>0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f aca="false">SUM(B5:U5)</f>
        <v>15</v>
      </c>
      <c r="W5" s="5" t="n">
        <f aca="false">B5+D5+F5+H5+J5+L5+N5+P5+R5+T5</f>
        <v>7</v>
      </c>
      <c r="X5" s="5" t="n">
        <f aca="false">C5+E5+G5+I5+K5+M5+O5+Q5+S5+U5</f>
        <v>8</v>
      </c>
    </row>
    <row r="6" customFormat="false" ht="15" hidden="false" customHeight="false" outlineLevel="0" collapsed="false">
      <c r="A6" s="5" t="s">
        <v>39</v>
      </c>
      <c r="B6" s="5" t="n">
        <v>1</v>
      </c>
      <c r="C6" s="5" t="n">
        <v>0</v>
      </c>
      <c r="D6" s="5" t="n">
        <v>1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1</v>
      </c>
      <c r="J6" s="5" t="n">
        <v>1</v>
      </c>
      <c r="K6" s="5" t="n">
        <v>1</v>
      </c>
      <c r="L6" s="5" t="n">
        <v>0</v>
      </c>
      <c r="M6" s="5" t="n">
        <v>1</v>
      </c>
      <c r="N6" s="5" t="n">
        <v>0</v>
      </c>
      <c r="O6" s="5" t="n">
        <v>1</v>
      </c>
      <c r="P6" s="5" t="n">
        <v>0</v>
      </c>
      <c r="Q6" s="5" t="n">
        <v>0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f aca="false">SUM(B6:U6)</f>
        <v>13</v>
      </c>
      <c r="W6" s="5" t="n">
        <f aca="false">B6+D6+F6+H6+J6+L6+N6+P6+R6+T6</f>
        <v>6</v>
      </c>
      <c r="X6" s="5" t="n">
        <f aca="false">C6+E6+G6+I6+K6+M6+O6+Q6+S6+U6</f>
        <v>7</v>
      </c>
    </row>
    <row r="7" customFormat="false" ht="15" hidden="false" customHeight="false" outlineLevel="0" collapsed="false">
      <c r="A7" s="5" t="s">
        <v>40</v>
      </c>
      <c r="B7" s="5" t="n">
        <v>1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0</v>
      </c>
      <c r="M7" s="5" t="n">
        <v>1</v>
      </c>
      <c r="N7" s="5" t="n">
        <v>0</v>
      </c>
      <c r="O7" s="5" t="n">
        <v>1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f aca="false">SUM(B7:U7)</f>
        <v>10</v>
      </c>
      <c r="W7" s="5" t="n">
        <f aca="false">B7+D7+F7+H7+J7+L7+N7+P7+R7+T7</f>
        <v>5</v>
      </c>
      <c r="X7" s="5" t="n">
        <f aca="false">C7+E7+G7+I7+K7+M7+O7+Q7+S7+U7</f>
        <v>5</v>
      </c>
    </row>
    <row r="8" customFormat="false" ht="15" hidden="false" customHeight="false" outlineLevel="0" collapsed="false">
      <c r="A8" s="5" t="s">
        <v>41</v>
      </c>
      <c r="B8" s="5" t="n">
        <v>0</v>
      </c>
      <c r="C8" s="5" t="n">
        <v>0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1</v>
      </c>
      <c r="J8" s="5" t="n">
        <v>0</v>
      </c>
      <c r="K8" s="5" t="n">
        <v>1</v>
      </c>
      <c r="L8" s="5" t="n">
        <v>0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1</v>
      </c>
      <c r="R8" s="5" t="n">
        <v>0</v>
      </c>
      <c r="S8" s="5" t="n">
        <v>1</v>
      </c>
      <c r="T8" s="5" t="n">
        <v>0</v>
      </c>
      <c r="U8" s="5" t="n">
        <v>1</v>
      </c>
      <c r="V8" s="5" t="n">
        <f aca="false">SUM(B8:U8)</f>
        <v>8</v>
      </c>
      <c r="W8" s="5" t="n">
        <f aca="false">B8+D8+F8+H8+J8+L8+N8+P8+R8+T8</f>
        <v>3</v>
      </c>
      <c r="X8" s="5" t="n">
        <f aca="false">C8+E8+G8+I8+K8+M8+O8+Q8+S8+U8</f>
        <v>5</v>
      </c>
    </row>
    <row r="9" customFormat="false" ht="15" hidden="false" customHeight="false" outlineLevel="0" collapsed="false">
      <c r="A9" s="5" t="s">
        <v>42</v>
      </c>
      <c r="B9" s="5" t="n">
        <v>1</v>
      </c>
      <c r="C9" s="5" t="n">
        <v>0</v>
      </c>
      <c r="D9" s="5" t="n">
        <v>1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</v>
      </c>
      <c r="T9" s="5" t="n">
        <v>1</v>
      </c>
      <c r="U9" s="5" t="n">
        <v>1</v>
      </c>
      <c r="V9" s="5" t="n">
        <f aca="false">SUM(B9:U9)</f>
        <v>18</v>
      </c>
      <c r="W9" s="5" t="n">
        <f aca="false">B9+D9+F9+H9+J9+L9+N9+P9+R9+T9</f>
        <v>10</v>
      </c>
      <c r="X9" s="5" t="n">
        <f aca="false">C9+E9+G9+I9+K9+M9+O9+Q9+S9+U9</f>
        <v>8</v>
      </c>
    </row>
    <row r="10" customFormat="false" ht="15" hidden="false" customHeight="false" outlineLevel="0" collapsed="false">
      <c r="A10" s="5" t="s">
        <v>43</v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f aca="false">SUM(B10:U10)</f>
        <v>2</v>
      </c>
      <c r="W10" s="5" t="n">
        <f aca="false">B10+D10+F10+H10+J10+L10+N10+P10+R10+T10</f>
        <v>1</v>
      </c>
      <c r="X10" s="5" t="n">
        <f aca="false">C10+E10+G10+I10+K10+M10+O10+Q10+S10+U10</f>
        <v>1</v>
      </c>
    </row>
    <row r="11" customFormat="false" ht="15" hidden="false" customHeight="false" outlineLevel="0" collapsed="false">
      <c r="A11" s="5" t="s">
        <v>44</v>
      </c>
      <c r="B11" s="5" t="n">
        <v>1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0</v>
      </c>
      <c r="K11" s="5" t="n">
        <v>1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f aca="false">SUM(B11:U11)</f>
        <v>17</v>
      </c>
      <c r="W11" s="5" t="n">
        <f aca="false">B11+D11+F11+H11+J11+L11+N11+P11+R11+T11</f>
        <v>7</v>
      </c>
      <c r="X11" s="5" t="n">
        <f aca="false">C11+E11+G11+I11+K11+M11+O11+Q11+S11+U11</f>
        <v>10</v>
      </c>
    </row>
    <row r="12" customFormat="false" ht="15" hidden="false" customHeight="false" outlineLevel="0" collapsed="false">
      <c r="A12" s="5" t="s">
        <v>45</v>
      </c>
      <c r="B12" s="5" t="n">
        <v>1</v>
      </c>
      <c r="C12" s="5" t="n">
        <v>0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1</v>
      </c>
      <c r="L12" s="5" t="n">
        <v>0</v>
      </c>
      <c r="M12" s="5" t="n">
        <v>1</v>
      </c>
      <c r="N12" s="5" t="n">
        <v>0</v>
      </c>
      <c r="O12" s="5" t="n">
        <v>1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0</v>
      </c>
      <c r="U12" s="5" t="n">
        <v>0</v>
      </c>
      <c r="V12" s="5" t="n">
        <f aca="false">SUM(B12:U12)</f>
        <v>6</v>
      </c>
      <c r="W12" s="5" t="n">
        <f aca="false">B12+D12+F12+H12+J12+L12+N12+P12+R12+T12</f>
        <v>3</v>
      </c>
      <c r="X12" s="5" t="n">
        <f aca="false">C12+E12+G12+I12+K12+M12+O12+Q12+S12+U12</f>
        <v>3</v>
      </c>
    </row>
    <row r="13" customFormat="false" ht="15" hidden="false" customHeight="false" outlineLevel="0" collapsed="false">
      <c r="A13" s="5" t="s">
        <v>46</v>
      </c>
      <c r="B13" s="5" t="n">
        <v>1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f aca="false">SUM(B13:U13)</f>
        <v>8</v>
      </c>
      <c r="W13" s="5" t="n">
        <f aca="false">B13+D13+F13+H13+J13+L13+N13+P13+R13+T13</f>
        <v>4</v>
      </c>
      <c r="X13" s="5" t="n">
        <f aca="false">C13+E13+G13+I13+K13+M13+O13+Q13+S13+U13</f>
        <v>4</v>
      </c>
    </row>
    <row r="14" customFormat="false" ht="15" hidden="false" customHeight="false" outlineLevel="0" collapsed="false">
      <c r="A14" s="5" t="s">
        <v>47</v>
      </c>
      <c r="B14" s="5" t="n">
        <v>1</v>
      </c>
      <c r="C14" s="5" t="n">
        <v>0</v>
      </c>
      <c r="D14" s="5" t="n">
        <v>1</v>
      </c>
      <c r="E14" s="5" t="n">
        <v>0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1</v>
      </c>
      <c r="K14" s="5" t="n">
        <v>0</v>
      </c>
      <c r="L14" s="5" t="n">
        <v>0</v>
      </c>
      <c r="M14" s="5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1</v>
      </c>
      <c r="U14" s="5" t="n">
        <v>0</v>
      </c>
      <c r="V14" s="5" t="n">
        <f aca="false">SUM(B14:U14)</f>
        <v>7</v>
      </c>
      <c r="W14" s="5" t="n">
        <f aca="false">B14+D14+F14+H14+J14+L14+N14+P14+R14+T14</f>
        <v>5</v>
      </c>
      <c r="X14" s="5" t="n">
        <f aca="false">C14+E14+G14+I14+K14+M14+O14+Q14+S14+U14</f>
        <v>2</v>
      </c>
    </row>
    <row r="15" customFormat="false" ht="15" hidden="false" customHeight="false" outlineLevel="0" collapsed="false">
      <c r="A15" s="5" t="s">
        <v>48</v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f aca="false">SUM(B15:U15)</f>
        <v>7</v>
      </c>
      <c r="W15" s="5" t="n">
        <f aca="false">B15+D15+F15+H15+J15+L15+N15+P15+R15+T15</f>
        <v>3</v>
      </c>
      <c r="X15" s="5" t="n">
        <f aca="false">C15+E15+G15+I15+K15+M15+O15+Q15+S15+U15</f>
        <v>4</v>
      </c>
    </row>
    <row r="16" customFormat="false" ht="15" hidden="false" customHeight="false" outlineLevel="0" collapsed="false">
      <c r="A16" s="5" t="s">
        <v>49</v>
      </c>
      <c r="B16" s="5" t="n">
        <v>0</v>
      </c>
      <c r="C16" s="5" t="n">
        <v>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1</v>
      </c>
      <c r="R16" s="5" t="n">
        <v>0</v>
      </c>
      <c r="S16" s="5" t="n">
        <v>1</v>
      </c>
      <c r="T16" s="5" t="n">
        <v>1</v>
      </c>
      <c r="U16" s="5" t="n">
        <v>1</v>
      </c>
      <c r="V16" s="5" t="n">
        <f aca="false">SUM(B16:U16)</f>
        <v>8</v>
      </c>
      <c r="W16" s="5" t="n">
        <f aca="false">B16+D16+F16+H16+J16+L16+N16+P16+R16+T16</f>
        <v>3</v>
      </c>
      <c r="X16" s="5" t="n">
        <f aca="false">C16+E16+G16+I16+K16+M16+O16+Q16+S16+U16</f>
        <v>5</v>
      </c>
    </row>
    <row r="17" customFormat="false" ht="15" hidden="false" customHeight="false" outlineLevel="0" collapsed="false">
      <c r="A17" s="5" t="s">
        <v>50</v>
      </c>
      <c r="B17" s="5" t="n">
        <v>1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1</v>
      </c>
      <c r="U17" s="5" t="n">
        <v>1</v>
      </c>
      <c r="V17" s="5" t="n">
        <f aca="false">SUM(B17:U17)</f>
        <v>11</v>
      </c>
      <c r="W17" s="5" t="n">
        <f aca="false">B17+D17+F17+H17+J17+L17+N17+P17+R17+T17</f>
        <v>5</v>
      </c>
      <c r="X17" s="5" t="n">
        <f aca="false">C17+E17+G17+I17+K17+M17+O17+Q17+S17+U17</f>
        <v>6</v>
      </c>
    </row>
    <row r="18" customFormat="false" ht="15" hidden="false" customHeight="false" outlineLevel="0" collapsed="false">
      <c r="A18" s="5" t="s">
        <v>51</v>
      </c>
      <c r="B18" s="5" t="n">
        <v>1</v>
      </c>
      <c r="C18" s="5" t="n">
        <v>0</v>
      </c>
      <c r="D18" s="5" t="n">
        <v>1</v>
      </c>
      <c r="E18" s="5" t="n">
        <v>1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f aca="false">SUM(B18:U18)</f>
        <v>13</v>
      </c>
      <c r="W18" s="5" t="n">
        <f aca="false">B18+D18+F18+H18+J18+L18+N18+P18+R18+T18</f>
        <v>7</v>
      </c>
      <c r="X18" s="5" t="n">
        <f aca="false">C18+E18+G18+I18+K18+M18+O18+Q18+S18+U18</f>
        <v>6</v>
      </c>
    </row>
    <row r="19" customFormat="false" ht="15" hidden="false" customHeight="false" outlineLevel="0" collapsed="false">
      <c r="A19" s="5" t="s">
        <v>52</v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1</v>
      </c>
      <c r="V19" s="5" t="n">
        <f aca="false">SUM(B19:U19)</f>
        <v>12</v>
      </c>
      <c r="W19" s="5" t="n">
        <f aca="false">B19+D19+F19+H19+J19+L19+N19+P19+R19+T19</f>
        <v>7</v>
      </c>
      <c r="X19" s="5" t="n">
        <f aca="false">C19+E19+G19+I19+K19+M19+O19+Q19+S19+U19</f>
        <v>5</v>
      </c>
    </row>
    <row r="20" customFormat="false" ht="15" hidden="false" customHeight="false" outlineLevel="0" collapsed="false">
      <c r="A20" s="5" t="s">
        <v>53</v>
      </c>
      <c r="B20" s="5" t="n">
        <v>1</v>
      </c>
      <c r="C20" s="5" t="n">
        <v>0</v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1</v>
      </c>
      <c r="V20" s="5" t="n">
        <f aca="false">SUM(B20:U20)</f>
        <v>8</v>
      </c>
      <c r="W20" s="5" t="n">
        <f aca="false">B20+D20+F20+H20+J20+L20+N20+P20+R20+T20</f>
        <v>4</v>
      </c>
      <c r="X20" s="5" t="n">
        <f aca="false">C20+E20+G20+I20+K20+M20+O20+Q20+S20+U20</f>
        <v>4</v>
      </c>
    </row>
    <row r="21" customFormat="false" ht="15" hidden="false" customHeight="false" outlineLevel="0" collapsed="false">
      <c r="A21" s="5" t="s">
        <v>54</v>
      </c>
      <c r="B21" s="5" t="n">
        <v>1</v>
      </c>
      <c r="C21" s="5" t="n">
        <v>0</v>
      </c>
      <c r="D21" s="5" t="n">
        <v>1</v>
      </c>
      <c r="E21" s="5" t="n">
        <v>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f aca="false">SUM(B21:U21)</f>
        <v>16</v>
      </c>
      <c r="W21" s="5" t="n">
        <f aca="false">B21+D21+F21+H21+J21+L21+N21+P21+R21+T21</f>
        <v>9</v>
      </c>
      <c r="X21" s="5" t="n">
        <f aca="false">C21+E21+G21+I21+K21+M21+O21+Q21+S21+U21</f>
        <v>7</v>
      </c>
    </row>
    <row r="22" customFormat="false" ht="15" hidden="false" customHeight="false" outlineLevel="0" collapsed="false">
      <c r="A22" s="5" t="s">
        <v>55</v>
      </c>
      <c r="B22" s="5" t="n">
        <v>0</v>
      </c>
      <c r="C22" s="5" t="n">
        <v>0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1</v>
      </c>
      <c r="T22" s="5" t="n">
        <v>0</v>
      </c>
      <c r="U22" s="5" t="n">
        <v>1</v>
      </c>
      <c r="V22" s="5" t="n">
        <f aca="false">SUM(B22:U22)</f>
        <v>3</v>
      </c>
      <c r="W22" s="5" t="n">
        <f aca="false">B22+D22+F22+H22+J22+L22+N22+P22+R22+T22</f>
        <v>1</v>
      </c>
      <c r="X22" s="5" t="n">
        <f aca="false">C22+E22+G22+I22+K22+M22+O22+Q22+S22+U22</f>
        <v>2</v>
      </c>
    </row>
    <row r="23" customFormat="false" ht="15" hidden="false" customHeight="false" outlineLevel="0" collapsed="false">
      <c r="A23" s="5" t="s">
        <v>56</v>
      </c>
      <c r="B23" s="5" t="n">
        <v>1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1</v>
      </c>
      <c r="V23" s="5" t="n">
        <f aca="false">SUM(B23:U23)</f>
        <v>7</v>
      </c>
      <c r="W23" s="5" t="n">
        <f aca="false">B23+D23+F23+H23+J23+L23+N23+P23+R23+T23</f>
        <v>3</v>
      </c>
      <c r="X23" s="5" t="n">
        <f aca="false">C23+E23+G23+I23+K23+M23+O23+Q23+S23+U23</f>
        <v>4</v>
      </c>
    </row>
    <row r="24" customFormat="false" ht="15" hidden="false" customHeight="false" outlineLevel="0" collapsed="false">
      <c r="A24" s="5" t="s">
        <v>57</v>
      </c>
      <c r="B24" s="5" t="n">
        <v>1</v>
      </c>
      <c r="C24" s="5" t="n">
        <v>0</v>
      </c>
      <c r="D24" s="5" t="n">
        <v>1</v>
      </c>
      <c r="E24" s="5" t="n">
        <v>0</v>
      </c>
      <c r="F24" s="5" t="n">
        <v>1</v>
      </c>
      <c r="G24" s="5" t="n">
        <v>0</v>
      </c>
      <c r="H24" s="5" t="n">
        <v>0</v>
      </c>
      <c r="I24" s="5" t="n">
        <v>1</v>
      </c>
      <c r="J24" s="5" t="n">
        <v>1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f aca="false">SUM(B24:U24)</f>
        <v>8</v>
      </c>
      <c r="W24" s="5" t="n">
        <f aca="false">B24+D24+F24+H24+J24+L24+N24+P24+R24+T24</f>
        <v>4</v>
      </c>
      <c r="X24" s="5" t="n">
        <f aca="false">C24+E24+G24+I24+K24+M24+O24+Q24+S24+U24</f>
        <v>4</v>
      </c>
    </row>
    <row r="25" customFormat="false" ht="15" hidden="false" customHeight="false" outlineLevel="0" collapsed="false">
      <c r="A25" s="5" t="s">
        <v>58</v>
      </c>
      <c r="B25" s="5" t="n">
        <v>1</v>
      </c>
      <c r="C25" s="5" t="n">
        <v>1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f aca="false">SUM(B25:U25)</f>
        <v>15</v>
      </c>
      <c r="W25" s="5" t="n">
        <f aca="false">B25+D25+F25+H25+J25+L25+N25+P25+R25+T25</f>
        <v>9</v>
      </c>
      <c r="X25" s="5" t="n">
        <f aca="false">C25+E25+G25+I25+K25+M25+O25+Q25+S25+U25</f>
        <v>6</v>
      </c>
    </row>
    <row r="26" customFormat="false" ht="15" hidden="false" customHeight="false" outlineLevel="0" collapsed="false">
      <c r="A26" s="5" t="s">
        <v>59</v>
      </c>
      <c r="B26" s="5" t="n">
        <v>1</v>
      </c>
      <c r="C26" s="5" t="n">
        <v>0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0</v>
      </c>
      <c r="S26" s="5" t="n">
        <v>1</v>
      </c>
      <c r="T26" s="5" t="n">
        <v>1</v>
      </c>
      <c r="U26" s="5" t="n">
        <v>1</v>
      </c>
      <c r="V26" s="5" t="n">
        <f aca="false">SUM(B26:U26)</f>
        <v>18</v>
      </c>
      <c r="W26" s="5" t="n">
        <f aca="false">B26+D26+F26+H26+J26+L26+N26+P26+R26+T26</f>
        <v>9</v>
      </c>
      <c r="X26" s="5" t="n">
        <f aca="false">C26+E26+G26+I26+K26+M26+O26+Q26+S26+U26</f>
        <v>9</v>
      </c>
    </row>
    <row r="27" customFormat="false" ht="15" hidden="false" customHeight="false" outlineLevel="0" collapsed="false">
      <c r="A27" s="5" t="s">
        <v>60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f aca="false">SUM(B27:U27)</f>
        <v>0</v>
      </c>
      <c r="W27" s="5" t="n">
        <f aca="false">B27+D27+F27+H27+J27+L27+N27+P27+R27+T27</f>
        <v>0</v>
      </c>
      <c r="X27" s="5" t="n">
        <f aca="false">C27+E27+G27+I27+K27+M27+O27+Q27+S27+U27</f>
        <v>0</v>
      </c>
    </row>
    <row r="28" customFormat="false" ht="15" hidden="false" customHeight="false" outlineLevel="0" collapsed="false">
      <c r="A28" s="5" t="s">
        <v>61</v>
      </c>
      <c r="B28" s="5" t="n">
        <v>0</v>
      </c>
      <c r="C28" s="5" t="n">
        <v>0</v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1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  <c r="U28" s="5" t="n">
        <v>0</v>
      </c>
      <c r="V28" s="5" t="n">
        <f aca="false">SUM(B28:U28)</f>
        <v>6</v>
      </c>
      <c r="W28" s="5" t="n">
        <f aca="false">B28+D28+F28+H28+J28+L28+N28+P28+R28+T28</f>
        <v>2</v>
      </c>
      <c r="X28" s="5" t="n">
        <f aca="false">C28+E28+G28+I28+K28+M28+O28+Q28+S28+U28</f>
        <v>4</v>
      </c>
    </row>
    <row r="29" customFormat="false" ht="15" hidden="false" customHeight="false" outlineLevel="0" collapsed="false">
      <c r="A29" s="5" t="s">
        <v>62</v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0</v>
      </c>
      <c r="V29" s="5" t="n">
        <f aca="false">SUM(B29:U29)</f>
        <v>9</v>
      </c>
      <c r="W29" s="5" t="n">
        <f aca="false">B29+D29+F29+H29+J29+L29+N29+P29+R29+T29</f>
        <v>5</v>
      </c>
      <c r="X29" s="5" t="n">
        <f aca="false">C29+E29+G29+I29+K29+M29+O29+Q29+S29+U29</f>
        <v>4</v>
      </c>
    </row>
    <row r="30" customFormat="false" ht="15" hidden="false" customHeight="false" outlineLevel="0" collapsed="false">
      <c r="A30" s="5" t="s">
        <v>63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  <c r="U30" s="5" t="n">
        <v>0</v>
      </c>
      <c r="V30" s="5" t="n">
        <f aca="false">SUM(B30:U30)</f>
        <v>5</v>
      </c>
      <c r="W30" s="5" t="n">
        <f aca="false">B30+D30+F30+H30+J30+L30+N30+P30+R30+T30</f>
        <v>2</v>
      </c>
      <c r="X30" s="5" t="n">
        <f aca="false">C30+E30+G30+I30+K30+M30+O30+Q30+S30+U30</f>
        <v>3</v>
      </c>
    </row>
    <row r="31" customFormat="false" ht="15" hidden="false" customHeight="false" outlineLevel="0" collapsed="false">
      <c r="A31" s="5" t="s">
        <v>64</v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f aca="false">SUM(B31:U31)</f>
        <v>2</v>
      </c>
      <c r="W31" s="5" t="n">
        <f aca="false">B31+D31+F31+H31+J31+L31+N31+P31+R31+T31</f>
        <v>1</v>
      </c>
      <c r="X31" s="5" t="n">
        <f aca="false">C31+E31+G31+I31+K31+M31+O31+Q31+S31+U31</f>
        <v>1</v>
      </c>
    </row>
    <row r="32" customFormat="false" ht="15" hidden="false" customHeight="false" outlineLevel="0" collapsed="false">
      <c r="A32" s="5" t="s">
        <v>65</v>
      </c>
      <c r="B32" s="5" t="n">
        <v>1</v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0</v>
      </c>
      <c r="H32" s="5" t="n">
        <v>1</v>
      </c>
      <c r="I32" s="5" t="n">
        <v>1</v>
      </c>
      <c r="J32" s="5" t="n">
        <v>1</v>
      </c>
      <c r="K32" s="5" t="n">
        <v>0</v>
      </c>
      <c r="L32" s="5" t="n">
        <v>0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1</v>
      </c>
      <c r="U32" s="5" t="n">
        <v>1</v>
      </c>
      <c r="V32" s="5" t="n">
        <f aca="false">SUM(B32:U32)</f>
        <v>17</v>
      </c>
      <c r="W32" s="5" t="n">
        <f aca="false">B32+D32+F32+H32+J32+L32+N32+P32+R32+T32</f>
        <v>9</v>
      </c>
      <c r="X32" s="5" t="n">
        <f aca="false">C32+E32+G32+I32+K32+M32+O32+Q32+S32+U32</f>
        <v>8</v>
      </c>
    </row>
    <row r="33" customFormat="false" ht="15" hidden="false" customHeight="false" outlineLevel="0" collapsed="false">
      <c r="A33" s="5" t="s">
        <v>66</v>
      </c>
      <c r="B33" s="5" t="n">
        <v>1</v>
      </c>
      <c r="C33" s="5" t="n">
        <v>1</v>
      </c>
      <c r="D33" s="5" t="n">
        <v>1</v>
      </c>
      <c r="E33" s="5" t="n">
        <v>1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0</v>
      </c>
      <c r="M33" s="5" t="n">
        <v>1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1</v>
      </c>
      <c r="T33" s="5" t="n">
        <v>1</v>
      </c>
      <c r="U33" s="5" t="n">
        <v>1</v>
      </c>
      <c r="V33" s="5" t="n">
        <f aca="false">SUM(B33:U33)</f>
        <v>19</v>
      </c>
      <c r="W33" s="5" t="n">
        <f aca="false">B33+D33+F33+H33+J33+L33+N33+P33+R33+T33</f>
        <v>9</v>
      </c>
      <c r="X33" s="5" t="n">
        <f aca="false">C33+E33+G33+I33+K33+M33+O33+Q33+S33+U33</f>
        <v>10</v>
      </c>
    </row>
    <row r="34" customFormat="false" ht="15" hidden="false" customHeight="false" outlineLevel="0" collapsed="false">
      <c r="A34" s="5" t="s">
        <v>67</v>
      </c>
      <c r="B34" s="5" t="n">
        <v>1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1</v>
      </c>
      <c r="J34" s="5" t="n">
        <v>1</v>
      </c>
      <c r="K34" s="5" t="n">
        <v>0</v>
      </c>
      <c r="L34" s="5" t="n">
        <v>0</v>
      </c>
      <c r="M34" s="5" t="n">
        <v>1</v>
      </c>
      <c r="N34" s="5" t="n">
        <v>1</v>
      </c>
      <c r="O34" s="5" t="n">
        <v>0</v>
      </c>
      <c r="P34" s="5" t="n">
        <v>1</v>
      </c>
      <c r="Q34" s="5" t="n">
        <v>1</v>
      </c>
      <c r="R34" s="5" t="n">
        <v>0</v>
      </c>
      <c r="S34" s="5" t="n">
        <v>1</v>
      </c>
      <c r="T34" s="5" t="n">
        <v>1</v>
      </c>
      <c r="U34" s="5" t="n">
        <v>1</v>
      </c>
      <c r="V34" s="5" t="n">
        <f aca="false">SUM(B34:U34)</f>
        <v>12</v>
      </c>
      <c r="W34" s="5" t="n">
        <f aca="false">B34+D34+F34+H34+J34+L34+N34+P34+R34+T34</f>
        <v>7</v>
      </c>
      <c r="X34" s="5" t="n">
        <f aca="false">C34+E34+G34+I34+K34+M34+O34+Q34+S34+U34</f>
        <v>5</v>
      </c>
    </row>
    <row r="35" customFormat="false" ht="15" hidden="false" customHeight="false" outlineLevel="0" collapsed="false">
      <c r="A35" s="5" t="s">
        <v>68</v>
      </c>
      <c r="B35" s="5" t="n">
        <v>1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0</v>
      </c>
      <c r="V35" s="5" t="n">
        <f aca="false">SUM(B35:U35)</f>
        <v>11</v>
      </c>
      <c r="W35" s="5" t="n">
        <f aca="false">B35+D35+F35+H35+J35+L35+N35+P35+R35+T35</f>
        <v>7</v>
      </c>
      <c r="X35" s="5" t="n">
        <f aca="false">C35+E35+G35+I35+K35+M35+O35+Q35+S35+U35</f>
        <v>4</v>
      </c>
    </row>
    <row r="36" customFormat="false" ht="15" hidden="false" customHeight="false" outlineLevel="0" collapsed="false">
      <c r="A36" s="5" t="s">
        <v>69</v>
      </c>
      <c r="B36" s="5" t="n">
        <v>0</v>
      </c>
      <c r="C36" s="5" t="n">
        <v>0</v>
      </c>
      <c r="D36" s="5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1</v>
      </c>
      <c r="K36" s="5" t="n">
        <v>0</v>
      </c>
      <c r="L36" s="5" t="n">
        <v>0</v>
      </c>
      <c r="M36" s="5" t="n">
        <v>1</v>
      </c>
      <c r="N36" s="5" t="n">
        <v>0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1</v>
      </c>
      <c r="T36" s="5" t="n">
        <v>0</v>
      </c>
      <c r="U36" s="5" t="n">
        <v>0</v>
      </c>
      <c r="V36" s="5" t="n">
        <f aca="false">SUM(B36:U36)</f>
        <v>5</v>
      </c>
      <c r="W36" s="5" t="n">
        <f aca="false">B36+D36+F36+H36+J36+L36+N36+P36+R36+T36</f>
        <v>2</v>
      </c>
      <c r="X36" s="5" t="n">
        <f aca="false">C36+E36+G36+I36+K36+M36+O36+Q36+S36+U36</f>
        <v>3</v>
      </c>
    </row>
    <row r="37" customFormat="false" ht="15" hidden="false" customHeight="false" outlineLevel="0" collapsed="false">
      <c r="A37" s="5" t="s">
        <v>70</v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f aca="false">SUM(B37:U37)</f>
        <v>8</v>
      </c>
      <c r="W37" s="5" t="n">
        <f aca="false">B37+D37+F37+H37+J37+L37+N37+P37+R37+T37</f>
        <v>4</v>
      </c>
      <c r="X37" s="5" t="n">
        <f aca="false">C37+E37+G37+I37+K37+M37+O37+Q37+S37+U37</f>
        <v>4</v>
      </c>
    </row>
    <row r="38" customFormat="false" ht="15" hidden="false" customHeight="false" outlineLevel="0" collapsed="false">
      <c r="A38" s="5" t="s">
        <v>71</v>
      </c>
      <c r="B38" s="5" t="n">
        <v>1</v>
      </c>
      <c r="C38" s="5" t="n">
        <v>0</v>
      </c>
      <c r="D38" s="5" t="n">
        <v>1</v>
      </c>
      <c r="E38" s="5" t="n">
        <v>0</v>
      </c>
      <c r="F38" s="5" t="n">
        <v>0</v>
      </c>
      <c r="G38" s="5" t="n">
        <v>0</v>
      </c>
      <c r="H38" s="5" t="n">
        <v>1</v>
      </c>
      <c r="I38" s="5" t="n">
        <v>1</v>
      </c>
      <c r="J38" s="5" t="n">
        <v>1</v>
      </c>
      <c r="K38" s="5" t="n">
        <v>0</v>
      </c>
      <c r="L38" s="5" t="n">
        <v>1</v>
      </c>
      <c r="M38" s="5" t="n">
        <v>1</v>
      </c>
      <c r="N38" s="5" t="n">
        <v>0</v>
      </c>
      <c r="O38" s="5" t="n">
        <v>1</v>
      </c>
      <c r="P38" s="5" t="n">
        <v>0</v>
      </c>
      <c r="Q38" s="5" t="n">
        <v>0</v>
      </c>
      <c r="R38" s="5" t="n">
        <v>0</v>
      </c>
      <c r="S38" s="5" t="n">
        <v>1</v>
      </c>
      <c r="T38" s="5" t="n">
        <v>0</v>
      </c>
      <c r="U38" s="5" t="n">
        <v>1</v>
      </c>
      <c r="V38" s="5" t="n">
        <f aca="false">SUM(B38:U38)</f>
        <v>10</v>
      </c>
      <c r="W38" s="5" t="n">
        <f aca="false">B38+D38+F38+H38+J38+L38+N38+P38+R38+T38</f>
        <v>5</v>
      </c>
      <c r="X38" s="5" t="n">
        <f aca="false">C38+E38+G38+I38+K38+M38+O38+Q38+S38+U38</f>
        <v>5</v>
      </c>
    </row>
    <row r="39" customFormat="false" ht="15" hidden="false" customHeight="false" outlineLevel="0" collapsed="false">
      <c r="A39" s="5" t="s">
        <v>72</v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f aca="false">SUM(B39:U39)</f>
        <v>1</v>
      </c>
      <c r="W39" s="5" t="n">
        <f aca="false">B39+D39+F39+H39+J39+L39+N39+P39+R39+T39</f>
        <v>1</v>
      </c>
      <c r="X39" s="5" t="n">
        <f aca="false">C39+E39+G39+I39+K39+M39+O39+Q39+S39+U39</f>
        <v>0</v>
      </c>
    </row>
    <row r="40" customFormat="false" ht="15" hidden="false" customHeight="false" outlineLevel="0" collapsed="false">
      <c r="A40" s="5" t="s">
        <v>73</v>
      </c>
      <c r="B40" s="5" t="n">
        <v>1</v>
      </c>
      <c r="C40" s="5" t="n">
        <v>0</v>
      </c>
      <c r="D40" s="5" t="n">
        <v>1</v>
      </c>
      <c r="E40" s="5" t="n">
        <v>1</v>
      </c>
      <c r="F40" s="5" t="n">
        <v>1</v>
      </c>
      <c r="G40" s="5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1</v>
      </c>
      <c r="V40" s="5" t="n">
        <f aca="false">SUM(B40:U40)</f>
        <v>18</v>
      </c>
      <c r="W40" s="5" t="n">
        <f aca="false">B40+D40+F40+H40+J40+L40+N40+P40+R40+T40</f>
        <v>10</v>
      </c>
      <c r="X40" s="5" t="n">
        <f aca="false">C40+E40+G40+I40+K40+M40+O40+Q40+S40+U40</f>
        <v>8</v>
      </c>
    </row>
    <row r="41" customFormat="false" ht="15" hidden="false" customHeight="false" outlineLevel="0" collapsed="false">
      <c r="A41" s="5" t="s">
        <v>74</v>
      </c>
      <c r="B41" s="5" t="n">
        <v>1</v>
      </c>
      <c r="C41" s="5" t="n">
        <v>0</v>
      </c>
      <c r="D41" s="5" t="n">
        <v>1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5" t="n">
        <f aca="false">SUM(B41:U41)</f>
        <v>15</v>
      </c>
      <c r="W41" s="5" t="n">
        <f aca="false">B41+D41+F41+H41+J41+L41+N41+P41+R41+T41</f>
        <v>8</v>
      </c>
      <c r="X41" s="5" t="n">
        <f aca="false">C41+E41+G41+I41+K41+M41+O41+Q41+S41+U41</f>
        <v>7</v>
      </c>
    </row>
    <row r="43" customFormat="false" ht="15" hidden="false" customHeight="false" outlineLevel="0" collapsed="false">
      <c r="A43" s="5" t="s">
        <v>75</v>
      </c>
      <c r="B43" s="6" t="n">
        <f aca="false">AVERAGE(B2:B41)</f>
        <v>0.675</v>
      </c>
      <c r="C43" s="6" t="n">
        <f aca="false">AVERAGE(C2:C41)</f>
        <v>0.15</v>
      </c>
      <c r="D43" s="6" t="n">
        <f aca="false">AVERAGE(D2:D41)</f>
        <v>0.925</v>
      </c>
      <c r="E43" s="6" t="n">
        <f aca="false">AVERAGE(E2:E41)</f>
        <v>0.275</v>
      </c>
      <c r="F43" s="6" t="n">
        <f aca="false">AVERAGE(F2:F41)</f>
        <v>0.325</v>
      </c>
      <c r="G43" s="6" t="n">
        <f aca="false">AVERAGE(G2:G41)</f>
        <v>0.15</v>
      </c>
      <c r="H43" s="6" t="n">
        <f aca="false">AVERAGE(H2:H41)</f>
        <v>0.5</v>
      </c>
      <c r="I43" s="6" t="n">
        <f aca="false">AVERAGE(I2:I41)</f>
        <v>0.775</v>
      </c>
      <c r="J43" s="6" t="n">
        <f aca="false">AVERAGE(J2:J41)</f>
        <v>0.725</v>
      </c>
      <c r="K43" s="6" t="n">
        <f aca="false">AVERAGE(K2:K41)</f>
        <v>0.5</v>
      </c>
      <c r="L43" s="6" t="n">
        <f aca="false">AVERAGE(L2:L41)</f>
        <v>0.25</v>
      </c>
      <c r="M43" s="6" t="n">
        <f aca="false">AVERAGE(M2:M41)</f>
        <v>0.85</v>
      </c>
      <c r="N43" s="6" t="n">
        <f aca="false">AVERAGE(N2:N41)</f>
        <v>0.325</v>
      </c>
      <c r="O43" s="6" t="n">
        <f aca="false">AVERAGE(O2:O41)</f>
        <v>0.475</v>
      </c>
      <c r="P43" s="6" t="n">
        <f aca="false">AVERAGE(P2:P41)</f>
        <v>0.35</v>
      </c>
      <c r="Q43" s="6" t="n">
        <f aca="false">AVERAGE(Q2:Q41)</f>
        <v>0.475</v>
      </c>
      <c r="R43" s="6" t="n">
        <f aca="false">AVERAGE(R2:R41)</f>
        <v>0.4</v>
      </c>
      <c r="S43" s="6" t="n">
        <f aca="false">AVERAGE(S2:S41)</f>
        <v>0.725</v>
      </c>
      <c r="T43" s="6" t="n">
        <f aca="false">AVERAGE(T2:T41)</f>
        <v>0.575</v>
      </c>
      <c r="U43" s="6" t="n">
        <f aca="false">AVERAGE(U2:U41)</f>
        <v>0.6</v>
      </c>
    </row>
    <row r="44" customFormat="false" ht="15" hidden="false" customHeight="false" outlineLevel="0" collapsed="false">
      <c r="A44" s="5" t="s">
        <v>76</v>
      </c>
      <c r="B44" s="7" t="n">
        <f aca="false">B43*(1-B43)</f>
        <v>0.219375</v>
      </c>
      <c r="C44" s="7" t="n">
        <f aca="false">C43*(1-C43)</f>
        <v>0.1275</v>
      </c>
      <c r="D44" s="7" t="n">
        <f aca="false">D43*(1-D43)</f>
        <v>0.069375</v>
      </c>
      <c r="E44" s="7" t="n">
        <f aca="false">E43*(1-E43)</f>
        <v>0.199375</v>
      </c>
      <c r="F44" s="7" t="n">
        <f aca="false">F43*(1-F43)</f>
        <v>0.219375</v>
      </c>
      <c r="G44" s="7" t="n">
        <f aca="false">G43*(1-G43)</f>
        <v>0.1275</v>
      </c>
      <c r="H44" s="7" t="n">
        <f aca="false">H43*(1-H43)</f>
        <v>0.25</v>
      </c>
      <c r="I44" s="7" t="n">
        <f aca="false">I43*(1-I43)</f>
        <v>0.174375</v>
      </c>
      <c r="J44" s="7" t="n">
        <f aca="false">J43*(1-J43)</f>
        <v>0.199375</v>
      </c>
      <c r="K44" s="7" t="n">
        <f aca="false">K43*(1-K43)</f>
        <v>0.25</v>
      </c>
      <c r="L44" s="7" t="n">
        <f aca="false">L43*(1-L43)</f>
        <v>0.1875</v>
      </c>
      <c r="M44" s="7" t="n">
        <f aca="false">M43*(1-M43)</f>
        <v>0.1275</v>
      </c>
      <c r="N44" s="7" t="n">
        <f aca="false">N43*(1-N43)</f>
        <v>0.219375</v>
      </c>
      <c r="O44" s="7" t="n">
        <f aca="false">O43*(1-O43)</f>
        <v>0.249375</v>
      </c>
      <c r="P44" s="7" t="n">
        <f aca="false">P43*(1-P43)</f>
        <v>0.2275</v>
      </c>
      <c r="Q44" s="7" t="n">
        <f aca="false">Q43*(1-Q43)</f>
        <v>0.249375</v>
      </c>
      <c r="R44" s="7" t="n">
        <f aca="false">R43*(1-R43)</f>
        <v>0.24</v>
      </c>
      <c r="S44" s="7" t="n">
        <f aca="false">S43*(1-S43)</f>
        <v>0.199375</v>
      </c>
      <c r="T44" s="7" t="n">
        <f aca="false">T43*(1-T43)</f>
        <v>0.244375</v>
      </c>
      <c r="U44" s="7" t="n">
        <f aca="false">U43*(1-U43)</f>
        <v>0.24</v>
      </c>
    </row>
    <row r="47" customFormat="false" ht="15" hidden="false" customHeight="false" outlineLevel="0" collapsed="false">
      <c r="A47" s="3" t="s">
        <v>77</v>
      </c>
      <c r="B47" s="8" t="n">
        <v>20</v>
      </c>
    </row>
    <row r="48" customFormat="false" ht="15" hidden="false" customHeight="false" outlineLevel="0" collapsed="false">
      <c r="A48" s="3" t="s">
        <v>78</v>
      </c>
      <c r="B48" s="9" t="n">
        <f aca="false">SUM(B44:U44)</f>
        <v>4.020625</v>
      </c>
    </row>
    <row r="49" customFormat="false" ht="15" hidden="false" customHeight="false" outlineLevel="0" collapsed="false">
      <c r="A49" s="3" t="s">
        <v>79</v>
      </c>
      <c r="B49" s="9" t="n">
        <f aca="false">VARP($V$2:$V$41)</f>
        <v>26.074375</v>
      </c>
    </row>
    <row r="50" customFormat="false" ht="15" hidden="false" customHeight="false" outlineLevel="0" collapsed="false">
      <c r="A50" s="3" t="s">
        <v>80</v>
      </c>
      <c r="B50" s="10" t="n">
        <f aca="false">B47/(B47-1)*(1-B48/B49)</f>
        <v>0.890317550630093</v>
      </c>
    </row>
    <row r="51" customFormat="false" ht="15" hidden="false" customHeight="false" outlineLevel="0" collapsed="false">
      <c r="A51" s="3" t="s">
        <v>81</v>
      </c>
      <c r="B51" s="10" t="n">
        <f aca="false">CORREL($W$2:$W$41,$X$2:$X$41)</f>
        <v>0.850411568972481</v>
      </c>
    </row>
    <row r="52" customFormat="false" ht="15" hidden="false" customHeight="false" outlineLevel="0" collapsed="false">
      <c r="A52" s="3" t="s">
        <v>82</v>
      </c>
      <c r="B52" s="10" t="n">
        <f aca="false">2*B51/(1+B51)</f>
        <v>0.919159373224961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6" min="6" style="0" width="22"/>
  </cols>
  <sheetData>
    <row r="1" customFormat="false" ht="28.35" hidden="false" customHeight="false" outlineLevel="0" collapsed="false">
      <c r="A1" s="4" t="s">
        <v>11</v>
      </c>
      <c r="B1" s="4" t="s">
        <v>83</v>
      </c>
      <c r="C1" s="4" t="s">
        <v>84</v>
      </c>
      <c r="D1" s="4" t="s">
        <v>85</v>
      </c>
    </row>
    <row r="2" customFormat="false" ht="15" hidden="false" customHeight="false" outlineLevel="0" collapsed="false">
      <c r="A2" s="5" t="s">
        <v>35</v>
      </c>
      <c r="B2" s="5" t="n">
        <f aca="false">'Internal consistency'!V2</f>
        <v>14</v>
      </c>
      <c r="C2" s="5" t="n">
        <v>18</v>
      </c>
      <c r="D2" s="5" t="n">
        <f aca="false">C2-B2</f>
        <v>4</v>
      </c>
      <c r="F2" s="3" t="s">
        <v>86</v>
      </c>
      <c r="G2" s="10" t="n">
        <f aca="false">CORREL(B2:B41,C2:C41)</f>
        <v>0.898305020874009</v>
      </c>
    </row>
    <row r="3" customFormat="false" ht="15" hidden="false" customHeight="false" outlineLevel="0" collapsed="false">
      <c r="A3" s="5" t="s">
        <v>36</v>
      </c>
      <c r="B3" s="5" t="n">
        <f aca="false">'Internal consistency'!V3</f>
        <v>6</v>
      </c>
      <c r="C3" s="5" t="n">
        <v>7</v>
      </c>
      <c r="D3" s="5" t="n">
        <f aca="false">C3-B3</f>
        <v>1</v>
      </c>
      <c r="F3" s="3" t="s">
        <v>87</v>
      </c>
      <c r="G3" s="10" t="n">
        <f aca="false">AVERAGE(B2:B41)</f>
        <v>10.025</v>
      </c>
    </row>
    <row r="4" customFormat="false" ht="15" hidden="false" customHeight="false" outlineLevel="0" collapsed="false">
      <c r="A4" s="5" t="s">
        <v>37</v>
      </c>
      <c r="B4" s="5" t="n">
        <f aca="false">'Internal consistency'!V4</f>
        <v>13</v>
      </c>
      <c r="C4" s="5" t="n">
        <v>15</v>
      </c>
      <c r="D4" s="5" t="n">
        <f aca="false">C4-B4</f>
        <v>2</v>
      </c>
      <c r="F4" s="3" t="s">
        <v>88</v>
      </c>
      <c r="G4" s="10" t="n">
        <f aca="false">AVERAGE(C2:C41)</f>
        <v>10.775</v>
      </c>
    </row>
    <row r="5" customFormat="false" ht="15" hidden="false" customHeight="false" outlineLevel="0" collapsed="false">
      <c r="A5" s="5" t="s">
        <v>38</v>
      </c>
      <c r="B5" s="5" t="n">
        <f aca="false">'Internal consistency'!V5</f>
        <v>15</v>
      </c>
      <c r="C5" s="5" t="n">
        <v>17</v>
      </c>
      <c r="D5" s="5" t="n">
        <f aca="false">C5-B5</f>
        <v>2</v>
      </c>
    </row>
    <row r="6" customFormat="false" ht="15" hidden="false" customHeight="false" outlineLevel="0" collapsed="false">
      <c r="A6" s="5" t="s">
        <v>39</v>
      </c>
      <c r="B6" s="5" t="n">
        <f aca="false">'Internal consistency'!V6</f>
        <v>13</v>
      </c>
      <c r="C6" s="5" t="n">
        <v>12</v>
      </c>
      <c r="D6" s="5" t="n">
        <f aca="false">C6-B6</f>
        <v>-1</v>
      </c>
    </row>
    <row r="7" customFormat="false" ht="15" hidden="false" customHeight="false" outlineLevel="0" collapsed="false">
      <c r="A7" s="5" t="s">
        <v>40</v>
      </c>
      <c r="B7" s="5" t="n">
        <f aca="false">'Internal consistency'!V7</f>
        <v>10</v>
      </c>
      <c r="C7" s="5" t="n">
        <v>7</v>
      </c>
      <c r="D7" s="5" t="n">
        <f aca="false">C7-B7</f>
        <v>-3</v>
      </c>
    </row>
    <row r="8" customFormat="false" ht="15" hidden="false" customHeight="false" outlineLevel="0" collapsed="false">
      <c r="A8" s="5" t="s">
        <v>41</v>
      </c>
      <c r="B8" s="5" t="n">
        <f aca="false">'Internal consistency'!V8</f>
        <v>8</v>
      </c>
      <c r="C8" s="5" t="n">
        <v>11</v>
      </c>
      <c r="D8" s="5" t="n">
        <f aca="false">C8-B8</f>
        <v>3</v>
      </c>
    </row>
    <row r="9" customFormat="false" ht="15" hidden="false" customHeight="false" outlineLevel="0" collapsed="false">
      <c r="A9" s="5" t="s">
        <v>42</v>
      </c>
      <c r="B9" s="5" t="n">
        <f aca="false">'Internal consistency'!V9</f>
        <v>18</v>
      </c>
      <c r="C9" s="5" t="n">
        <v>17</v>
      </c>
      <c r="D9" s="5" t="n">
        <f aca="false">C9-B9</f>
        <v>-1</v>
      </c>
    </row>
    <row r="10" customFormat="false" ht="15" hidden="false" customHeight="false" outlineLevel="0" collapsed="false">
      <c r="A10" s="5" t="s">
        <v>43</v>
      </c>
      <c r="B10" s="5" t="n">
        <f aca="false">'Internal consistency'!V10</f>
        <v>2</v>
      </c>
      <c r="C10" s="5" t="n">
        <v>1</v>
      </c>
      <c r="D10" s="5" t="n">
        <f aca="false">C10-B10</f>
        <v>-1</v>
      </c>
    </row>
    <row r="11" customFormat="false" ht="15" hidden="false" customHeight="false" outlineLevel="0" collapsed="false">
      <c r="A11" s="5" t="s">
        <v>44</v>
      </c>
      <c r="B11" s="5" t="n">
        <f aca="false">'Internal consistency'!V11</f>
        <v>17</v>
      </c>
      <c r="C11" s="5" t="n">
        <v>18</v>
      </c>
      <c r="D11" s="5" t="n">
        <f aca="false">C11-B11</f>
        <v>1</v>
      </c>
    </row>
    <row r="12" customFormat="false" ht="15" hidden="false" customHeight="false" outlineLevel="0" collapsed="false">
      <c r="A12" s="5" t="s">
        <v>45</v>
      </c>
      <c r="B12" s="5" t="n">
        <f aca="false">'Internal consistency'!V12</f>
        <v>6</v>
      </c>
      <c r="C12" s="5" t="n">
        <v>7</v>
      </c>
      <c r="D12" s="5" t="n">
        <f aca="false">C12-B12</f>
        <v>1</v>
      </c>
    </row>
    <row r="13" customFormat="false" ht="15" hidden="false" customHeight="false" outlineLevel="0" collapsed="false">
      <c r="A13" s="5" t="s">
        <v>46</v>
      </c>
      <c r="B13" s="5" t="n">
        <f aca="false">'Internal consistency'!V13</f>
        <v>8</v>
      </c>
      <c r="C13" s="5" t="n">
        <v>7</v>
      </c>
      <c r="D13" s="5" t="n">
        <f aca="false">C13-B13</f>
        <v>-1</v>
      </c>
    </row>
    <row r="14" customFormat="false" ht="15" hidden="false" customHeight="false" outlineLevel="0" collapsed="false">
      <c r="A14" s="5" t="s">
        <v>47</v>
      </c>
      <c r="B14" s="5" t="n">
        <f aca="false">'Internal consistency'!V14</f>
        <v>7</v>
      </c>
      <c r="C14" s="5" t="n">
        <v>8</v>
      </c>
      <c r="D14" s="5" t="n">
        <f aca="false">C14-B14</f>
        <v>1</v>
      </c>
    </row>
    <row r="15" customFormat="false" ht="15" hidden="false" customHeight="false" outlineLevel="0" collapsed="false">
      <c r="A15" s="5" t="s">
        <v>48</v>
      </c>
      <c r="B15" s="5" t="n">
        <f aca="false">'Internal consistency'!V15</f>
        <v>7</v>
      </c>
      <c r="C15" s="5" t="n">
        <v>8</v>
      </c>
      <c r="D15" s="5" t="n">
        <f aca="false">C15-B15</f>
        <v>1</v>
      </c>
    </row>
    <row r="16" customFormat="false" ht="15" hidden="false" customHeight="false" outlineLevel="0" collapsed="false">
      <c r="A16" s="5" t="s">
        <v>49</v>
      </c>
      <c r="B16" s="5" t="n">
        <f aca="false">'Internal consistency'!V16</f>
        <v>8</v>
      </c>
      <c r="C16" s="5" t="n">
        <v>8</v>
      </c>
      <c r="D16" s="5" t="n">
        <f aca="false">C16-B16</f>
        <v>0</v>
      </c>
    </row>
    <row r="17" customFormat="false" ht="15" hidden="false" customHeight="false" outlineLevel="0" collapsed="false">
      <c r="A17" s="5" t="s">
        <v>50</v>
      </c>
      <c r="B17" s="5" t="n">
        <f aca="false">'Internal consistency'!V17</f>
        <v>11</v>
      </c>
      <c r="C17" s="5" t="n">
        <v>12</v>
      </c>
      <c r="D17" s="5" t="n">
        <f aca="false">C17-B17</f>
        <v>1</v>
      </c>
    </row>
    <row r="18" customFormat="false" ht="15" hidden="false" customHeight="false" outlineLevel="0" collapsed="false">
      <c r="A18" s="5" t="s">
        <v>51</v>
      </c>
      <c r="B18" s="5" t="n">
        <f aca="false">'Internal consistency'!V18</f>
        <v>13</v>
      </c>
      <c r="C18" s="5" t="n">
        <v>11</v>
      </c>
      <c r="D18" s="5" t="n">
        <f aca="false">C18-B18</f>
        <v>-2</v>
      </c>
    </row>
    <row r="19" customFormat="false" ht="15" hidden="false" customHeight="false" outlineLevel="0" collapsed="false">
      <c r="A19" s="5" t="s">
        <v>52</v>
      </c>
      <c r="B19" s="5" t="n">
        <f aca="false">'Internal consistency'!V19</f>
        <v>12</v>
      </c>
      <c r="C19" s="5" t="n">
        <v>15</v>
      </c>
      <c r="D19" s="5" t="n">
        <f aca="false">C19-B19</f>
        <v>3</v>
      </c>
    </row>
    <row r="20" customFormat="false" ht="15" hidden="false" customHeight="false" outlineLevel="0" collapsed="false">
      <c r="A20" s="5" t="s">
        <v>53</v>
      </c>
      <c r="B20" s="5" t="n">
        <f aca="false">'Internal consistency'!V20</f>
        <v>8</v>
      </c>
      <c r="C20" s="5" t="n">
        <v>10</v>
      </c>
      <c r="D20" s="5" t="n">
        <f aca="false">C20-B20</f>
        <v>2</v>
      </c>
    </row>
    <row r="21" customFormat="false" ht="15" hidden="false" customHeight="false" outlineLevel="0" collapsed="false">
      <c r="A21" s="5" t="s">
        <v>54</v>
      </c>
      <c r="B21" s="5" t="n">
        <f aca="false">'Internal consistency'!V21</f>
        <v>16</v>
      </c>
      <c r="C21" s="5" t="n">
        <v>14</v>
      </c>
      <c r="D21" s="5" t="n">
        <f aca="false">C21-B21</f>
        <v>-2</v>
      </c>
    </row>
    <row r="22" customFormat="false" ht="15" hidden="false" customHeight="false" outlineLevel="0" collapsed="false">
      <c r="A22" s="5" t="s">
        <v>55</v>
      </c>
      <c r="B22" s="5" t="n">
        <f aca="false">'Internal consistency'!V22</f>
        <v>3</v>
      </c>
      <c r="C22" s="5" t="n">
        <v>4</v>
      </c>
      <c r="D22" s="5" t="n">
        <f aca="false">C22-B22</f>
        <v>1</v>
      </c>
    </row>
    <row r="23" customFormat="false" ht="15" hidden="false" customHeight="false" outlineLevel="0" collapsed="false">
      <c r="A23" s="5" t="s">
        <v>56</v>
      </c>
      <c r="B23" s="5" t="n">
        <f aca="false">'Internal consistency'!V23</f>
        <v>7</v>
      </c>
      <c r="C23" s="5" t="n">
        <v>15</v>
      </c>
      <c r="D23" s="5" t="n">
        <f aca="false">C23-B23</f>
        <v>8</v>
      </c>
    </row>
    <row r="24" customFormat="false" ht="15" hidden="false" customHeight="false" outlineLevel="0" collapsed="false">
      <c r="A24" s="5" t="s">
        <v>57</v>
      </c>
      <c r="B24" s="5" t="n">
        <f aca="false">'Internal consistency'!V24</f>
        <v>8</v>
      </c>
      <c r="C24" s="5" t="n">
        <v>11</v>
      </c>
      <c r="D24" s="5" t="n">
        <f aca="false">C24-B24</f>
        <v>3</v>
      </c>
    </row>
    <row r="25" customFormat="false" ht="15" hidden="false" customHeight="false" outlineLevel="0" collapsed="false">
      <c r="A25" s="5" t="s">
        <v>58</v>
      </c>
      <c r="B25" s="5" t="n">
        <f aca="false">'Internal consistency'!V25</f>
        <v>15</v>
      </c>
      <c r="C25" s="5" t="n">
        <v>14</v>
      </c>
      <c r="D25" s="5" t="n">
        <f aca="false">C25-B25</f>
        <v>-1</v>
      </c>
    </row>
    <row r="26" customFormat="false" ht="15" hidden="false" customHeight="false" outlineLevel="0" collapsed="false">
      <c r="A26" s="5" t="s">
        <v>59</v>
      </c>
      <c r="B26" s="5" t="n">
        <f aca="false">'Internal consistency'!V26</f>
        <v>18</v>
      </c>
      <c r="C26" s="5" t="n">
        <v>15</v>
      </c>
      <c r="D26" s="5" t="n">
        <f aca="false">C26-B26</f>
        <v>-3</v>
      </c>
    </row>
    <row r="27" customFormat="false" ht="15" hidden="false" customHeight="false" outlineLevel="0" collapsed="false">
      <c r="A27" s="5" t="s">
        <v>60</v>
      </c>
      <c r="B27" s="5" t="n">
        <f aca="false">'Internal consistency'!V27</f>
        <v>0</v>
      </c>
      <c r="C27" s="5" t="n">
        <v>2</v>
      </c>
      <c r="D27" s="5" t="n">
        <f aca="false">C27-B27</f>
        <v>2</v>
      </c>
    </row>
    <row r="28" customFormat="false" ht="15" hidden="false" customHeight="false" outlineLevel="0" collapsed="false">
      <c r="A28" s="5" t="s">
        <v>61</v>
      </c>
      <c r="B28" s="5" t="n">
        <f aca="false">'Internal consistency'!V28</f>
        <v>6</v>
      </c>
      <c r="C28" s="5" t="n">
        <v>10</v>
      </c>
      <c r="D28" s="5" t="n">
        <f aca="false">C28-B28</f>
        <v>4</v>
      </c>
    </row>
    <row r="29" customFormat="false" ht="15" hidden="false" customHeight="false" outlineLevel="0" collapsed="false">
      <c r="A29" s="5" t="s">
        <v>62</v>
      </c>
      <c r="B29" s="5" t="n">
        <f aca="false">'Internal consistency'!V29</f>
        <v>9</v>
      </c>
      <c r="C29" s="5" t="n">
        <v>10</v>
      </c>
      <c r="D29" s="5" t="n">
        <f aca="false">C29-B29</f>
        <v>1</v>
      </c>
    </row>
    <row r="30" customFormat="false" ht="15" hidden="false" customHeight="false" outlineLevel="0" collapsed="false">
      <c r="A30" s="5" t="s">
        <v>63</v>
      </c>
      <c r="B30" s="5" t="n">
        <f aca="false">'Internal consistency'!V30</f>
        <v>5</v>
      </c>
      <c r="C30" s="5" t="n">
        <v>4</v>
      </c>
      <c r="D30" s="5" t="n">
        <f aca="false">C30-B30</f>
        <v>-1</v>
      </c>
    </row>
    <row r="31" customFormat="false" ht="15" hidden="false" customHeight="false" outlineLevel="0" collapsed="false">
      <c r="A31" s="5" t="s">
        <v>64</v>
      </c>
      <c r="B31" s="5" t="n">
        <f aca="false">'Internal consistency'!V31</f>
        <v>2</v>
      </c>
      <c r="C31" s="5" t="n">
        <v>3</v>
      </c>
      <c r="D31" s="5" t="n">
        <f aca="false">C31-B31</f>
        <v>1</v>
      </c>
    </row>
    <row r="32" customFormat="false" ht="15" hidden="false" customHeight="false" outlineLevel="0" collapsed="false">
      <c r="A32" s="5" t="s">
        <v>65</v>
      </c>
      <c r="B32" s="5" t="n">
        <f aca="false">'Internal consistency'!V32</f>
        <v>17</v>
      </c>
      <c r="C32" s="5" t="n">
        <v>17</v>
      </c>
      <c r="D32" s="5" t="n">
        <f aca="false">C32-B32</f>
        <v>0</v>
      </c>
    </row>
    <row r="33" customFormat="false" ht="15" hidden="false" customHeight="false" outlineLevel="0" collapsed="false">
      <c r="A33" s="5" t="s">
        <v>66</v>
      </c>
      <c r="B33" s="5" t="n">
        <f aca="false">'Internal consistency'!V33</f>
        <v>19</v>
      </c>
      <c r="C33" s="5" t="n">
        <v>18</v>
      </c>
      <c r="D33" s="5" t="n">
        <f aca="false">C33-B33</f>
        <v>-1</v>
      </c>
    </row>
    <row r="34" customFormat="false" ht="15" hidden="false" customHeight="false" outlineLevel="0" collapsed="false">
      <c r="A34" s="5" t="s">
        <v>67</v>
      </c>
      <c r="B34" s="5" t="n">
        <f aca="false">'Internal consistency'!V34</f>
        <v>12</v>
      </c>
      <c r="C34" s="5" t="n">
        <v>13</v>
      </c>
      <c r="D34" s="5" t="n">
        <f aca="false">C34-B34</f>
        <v>1</v>
      </c>
    </row>
    <row r="35" customFormat="false" ht="15" hidden="false" customHeight="false" outlineLevel="0" collapsed="false">
      <c r="A35" s="5" t="s">
        <v>68</v>
      </c>
      <c r="B35" s="5" t="n">
        <f aca="false">'Internal consistency'!V35</f>
        <v>11</v>
      </c>
      <c r="C35" s="5" t="n">
        <v>12</v>
      </c>
      <c r="D35" s="5" t="n">
        <f aca="false">C35-B35</f>
        <v>1</v>
      </c>
    </row>
    <row r="36" customFormat="false" ht="15" hidden="false" customHeight="false" outlineLevel="0" collapsed="false">
      <c r="A36" s="5" t="s">
        <v>69</v>
      </c>
      <c r="B36" s="5" t="n">
        <f aca="false">'Internal consistency'!V36</f>
        <v>5</v>
      </c>
      <c r="C36" s="5" t="n">
        <v>9</v>
      </c>
      <c r="D36" s="5" t="n">
        <f aca="false">C36-B36</f>
        <v>4</v>
      </c>
    </row>
    <row r="37" customFormat="false" ht="15" hidden="false" customHeight="false" outlineLevel="0" collapsed="false">
      <c r="A37" s="5" t="s">
        <v>70</v>
      </c>
      <c r="B37" s="5" t="n">
        <f aca="false">'Internal consistency'!V37</f>
        <v>8</v>
      </c>
      <c r="C37" s="5" t="n">
        <v>11</v>
      </c>
      <c r="D37" s="5" t="n">
        <f aca="false">C37-B37</f>
        <v>3</v>
      </c>
    </row>
    <row r="38" customFormat="false" ht="15" hidden="false" customHeight="false" outlineLevel="0" collapsed="false">
      <c r="A38" s="5" t="s">
        <v>71</v>
      </c>
      <c r="B38" s="5" t="n">
        <f aca="false">'Internal consistency'!V38</f>
        <v>10</v>
      </c>
      <c r="C38" s="5" t="n">
        <v>11</v>
      </c>
      <c r="D38" s="5" t="n">
        <f aca="false">C38-B38</f>
        <v>1</v>
      </c>
    </row>
    <row r="39" customFormat="false" ht="15" hidden="false" customHeight="false" outlineLevel="0" collapsed="false">
      <c r="A39" s="5" t="s">
        <v>72</v>
      </c>
      <c r="B39" s="5" t="n">
        <f aca="false">'Internal consistency'!V39</f>
        <v>1</v>
      </c>
      <c r="C39" s="5" t="n">
        <v>0</v>
      </c>
      <c r="D39" s="5" t="n">
        <f aca="false">C39-B39</f>
        <v>-1</v>
      </c>
    </row>
    <row r="40" customFormat="false" ht="15" hidden="false" customHeight="false" outlineLevel="0" collapsed="false">
      <c r="A40" s="5" t="s">
        <v>73</v>
      </c>
      <c r="B40" s="5" t="n">
        <f aca="false">'Internal consistency'!V40</f>
        <v>18</v>
      </c>
      <c r="C40" s="5" t="n">
        <v>14</v>
      </c>
      <c r="D40" s="5" t="n">
        <f aca="false">C40-B40</f>
        <v>-4</v>
      </c>
    </row>
    <row r="41" customFormat="false" ht="15" hidden="false" customHeight="false" outlineLevel="0" collapsed="false">
      <c r="A41" s="5" t="s">
        <v>74</v>
      </c>
      <c r="B41" s="5" t="n">
        <f aca="false">'Internal consistency'!V41</f>
        <v>15</v>
      </c>
      <c r="C41" s="5" t="n">
        <v>15</v>
      </c>
      <c r="D41" s="5" t="n">
        <f aca="false">C41-B41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4" min="10" style="0" width="9"/>
  </cols>
  <sheetData>
    <row r="1" customFormat="false" ht="41.75" hidden="false" customHeight="false" outlineLevel="0" collapsed="false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H1" s="3" t="s">
        <v>94</v>
      </c>
    </row>
    <row r="2" customFormat="false" ht="15" hidden="false" customHeight="false" outlineLevel="0" collapsed="false">
      <c r="A2" s="5" t="s">
        <v>95</v>
      </c>
      <c r="B2" s="5" t="n">
        <v>0</v>
      </c>
      <c r="C2" s="5" t="n">
        <v>1</v>
      </c>
      <c r="D2" s="5" t="n">
        <f aca="false">IF(B2=C2,1,0)</f>
        <v>0</v>
      </c>
      <c r="E2" s="5" t="n">
        <f aca="false">IF(ABS(B2-C2)&lt;=1,1,0)</f>
        <v>1</v>
      </c>
      <c r="H2" s="4" t="s">
        <v>96</v>
      </c>
      <c r="I2" s="4" t="n">
        <v>0</v>
      </c>
      <c r="J2" s="4" t="n">
        <v>1</v>
      </c>
      <c r="K2" s="4" t="n">
        <v>2</v>
      </c>
      <c r="L2" s="4" t="n">
        <v>3</v>
      </c>
      <c r="M2" s="4" t="n">
        <v>4</v>
      </c>
      <c r="N2" s="4" t="s">
        <v>97</v>
      </c>
    </row>
    <row r="3" customFormat="false" ht="15" hidden="false" customHeight="false" outlineLevel="0" collapsed="false">
      <c r="A3" s="5" t="s">
        <v>98</v>
      </c>
      <c r="B3" s="5" t="n">
        <v>1</v>
      </c>
      <c r="C3" s="5" t="n">
        <v>2</v>
      </c>
      <c r="D3" s="5" t="n">
        <f aca="false">IF(B3=C3,1,0)</f>
        <v>0</v>
      </c>
      <c r="E3" s="5" t="n">
        <f aca="false">IF(ABS(B3-C3)&lt;=1,1,0)</f>
        <v>1</v>
      </c>
      <c r="H3" s="5" t="n">
        <v>0</v>
      </c>
      <c r="I3" s="11" t="n">
        <f aca="false">COUNTIFS($B$2:$B$31,$H3,$C$2:$C$31,I$2)</f>
        <v>0</v>
      </c>
      <c r="J3" s="5" t="n">
        <f aca="false">COUNTIFS($B$2:$B$31,$H3,$C$2:$C$31,J$2)</f>
        <v>1</v>
      </c>
      <c r="K3" s="5" t="n">
        <f aca="false">COUNTIFS($B$2:$B$31,$H3,$C$2:$C$31,K$2)</f>
        <v>0</v>
      </c>
      <c r="L3" s="5" t="n">
        <f aca="false">COUNTIFS($B$2:$B$31,$H3,$C$2:$C$31,L$2)</f>
        <v>0</v>
      </c>
      <c r="M3" s="5" t="n">
        <f aca="false">COUNTIFS($B$2:$B$31,$H3,$C$2:$C$31,M$2)</f>
        <v>0</v>
      </c>
      <c r="N3" s="5" t="n">
        <f aca="false">SUM(I3:M3)</f>
        <v>1</v>
      </c>
    </row>
    <row r="4" customFormat="false" ht="15" hidden="false" customHeight="false" outlineLevel="0" collapsed="false">
      <c r="A4" s="5" t="s">
        <v>99</v>
      </c>
      <c r="B4" s="5" t="n">
        <v>2</v>
      </c>
      <c r="C4" s="5" t="n">
        <v>1</v>
      </c>
      <c r="D4" s="5" t="n">
        <f aca="false">IF(B4=C4,1,0)</f>
        <v>0</v>
      </c>
      <c r="E4" s="5" t="n">
        <f aca="false">IF(ABS(B4-C4)&lt;=1,1,0)</f>
        <v>1</v>
      </c>
      <c r="H4" s="5" t="n">
        <v>1</v>
      </c>
      <c r="I4" s="5" t="n">
        <f aca="false">COUNTIFS($B$2:$B$31,$H4,$C$2:$C$31,I$2)</f>
        <v>3</v>
      </c>
      <c r="J4" s="11" t="n">
        <f aca="false">COUNTIFS($B$2:$B$31,$H4,$C$2:$C$31,J$2)</f>
        <v>4</v>
      </c>
      <c r="K4" s="5" t="n">
        <f aca="false">COUNTIFS($B$2:$B$31,$H4,$C$2:$C$31,K$2)</f>
        <v>2</v>
      </c>
      <c r="L4" s="5" t="n">
        <f aca="false">COUNTIFS($B$2:$B$31,$H4,$C$2:$C$31,L$2)</f>
        <v>0</v>
      </c>
      <c r="M4" s="5" t="n">
        <f aca="false">COUNTIFS($B$2:$B$31,$H4,$C$2:$C$31,M$2)</f>
        <v>0</v>
      </c>
      <c r="N4" s="5" t="n">
        <f aca="false">SUM(I4:M4)</f>
        <v>9</v>
      </c>
    </row>
    <row r="5" customFormat="false" ht="15" hidden="false" customHeight="false" outlineLevel="0" collapsed="false">
      <c r="A5" s="5" t="s">
        <v>100</v>
      </c>
      <c r="B5" s="5" t="n">
        <v>2</v>
      </c>
      <c r="C5" s="5" t="n">
        <v>2</v>
      </c>
      <c r="D5" s="5" t="n">
        <f aca="false">IF(B5=C5,1,0)</f>
        <v>1</v>
      </c>
      <c r="E5" s="5" t="n">
        <f aca="false">IF(ABS(B5-C5)&lt;=1,1,0)</f>
        <v>1</v>
      </c>
      <c r="H5" s="5" t="n">
        <v>2</v>
      </c>
      <c r="I5" s="5" t="n">
        <f aca="false">COUNTIFS($B$2:$B$31,$H5,$C$2:$C$31,I$2)</f>
        <v>0</v>
      </c>
      <c r="J5" s="5" t="n">
        <f aca="false">COUNTIFS($B$2:$B$31,$H5,$C$2:$C$31,J$2)</f>
        <v>2</v>
      </c>
      <c r="K5" s="11" t="n">
        <f aca="false">COUNTIFS($B$2:$B$31,$H5,$C$2:$C$31,K$2)</f>
        <v>7</v>
      </c>
      <c r="L5" s="5" t="n">
        <f aca="false">COUNTIFS($B$2:$B$31,$H5,$C$2:$C$31,L$2)</f>
        <v>2</v>
      </c>
      <c r="M5" s="5" t="n">
        <f aca="false">COUNTIFS($B$2:$B$31,$H5,$C$2:$C$31,M$2)</f>
        <v>0</v>
      </c>
      <c r="N5" s="5" t="n">
        <f aca="false">SUM(I5:M5)</f>
        <v>11</v>
      </c>
    </row>
    <row r="6" customFormat="false" ht="15" hidden="false" customHeight="false" outlineLevel="0" collapsed="false">
      <c r="A6" s="5" t="s">
        <v>101</v>
      </c>
      <c r="B6" s="5" t="n">
        <v>1</v>
      </c>
      <c r="C6" s="5" t="n">
        <v>0</v>
      </c>
      <c r="D6" s="5" t="n">
        <f aca="false">IF(B6=C6,1,0)</f>
        <v>0</v>
      </c>
      <c r="E6" s="5" t="n">
        <f aca="false">IF(ABS(B6-C6)&lt;=1,1,0)</f>
        <v>1</v>
      </c>
      <c r="H6" s="5" t="n">
        <v>3</v>
      </c>
      <c r="I6" s="5" t="n">
        <f aca="false">COUNTIFS($B$2:$B$31,$H6,$C$2:$C$31,I$2)</f>
        <v>0</v>
      </c>
      <c r="J6" s="5" t="n">
        <f aca="false">COUNTIFS($B$2:$B$31,$H6,$C$2:$C$31,J$2)</f>
        <v>0</v>
      </c>
      <c r="K6" s="5" t="n">
        <f aca="false">COUNTIFS($B$2:$B$31,$H6,$C$2:$C$31,K$2)</f>
        <v>1</v>
      </c>
      <c r="L6" s="11" t="n">
        <f aca="false">COUNTIFS($B$2:$B$31,$H6,$C$2:$C$31,L$2)</f>
        <v>5</v>
      </c>
      <c r="M6" s="5" t="n">
        <f aca="false">COUNTIFS($B$2:$B$31,$H6,$C$2:$C$31,M$2)</f>
        <v>1</v>
      </c>
      <c r="N6" s="5" t="n">
        <f aca="false">SUM(I6:M6)</f>
        <v>7</v>
      </c>
    </row>
    <row r="7" customFormat="false" ht="15" hidden="false" customHeight="false" outlineLevel="0" collapsed="false">
      <c r="A7" s="5" t="s">
        <v>102</v>
      </c>
      <c r="B7" s="5" t="n">
        <v>2</v>
      </c>
      <c r="C7" s="5" t="n">
        <v>3</v>
      </c>
      <c r="D7" s="5" t="n">
        <f aca="false">IF(B7=C7,1,0)</f>
        <v>0</v>
      </c>
      <c r="E7" s="5" t="n">
        <f aca="false">IF(ABS(B7-C7)&lt;=1,1,0)</f>
        <v>1</v>
      </c>
      <c r="H7" s="5" t="n">
        <v>4</v>
      </c>
      <c r="I7" s="5" t="n">
        <f aca="false">COUNTIFS($B$2:$B$31,$H7,$C$2:$C$31,I$2)</f>
        <v>0</v>
      </c>
      <c r="J7" s="5" t="n">
        <f aca="false">COUNTIFS($B$2:$B$31,$H7,$C$2:$C$31,J$2)</f>
        <v>0</v>
      </c>
      <c r="K7" s="5" t="n">
        <f aca="false">COUNTIFS($B$2:$B$31,$H7,$C$2:$C$31,K$2)</f>
        <v>0</v>
      </c>
      <c r="L7" s="5" t="n">
        <f aca="false">COUNTIFS($B$2:$B$31,$H7,$C$2:$C$31,L$2)</f>
        <v>1</v>
      </c>
      <c r="M7" s="11" t="n">
        <f aca="false">COUNTIFS($B$2:$B$31,$H7,$C$2:$C$31,M$2)</f>
        <v>1</v>
      </c>
      <c r="N7" s="5" t="n">
        <f aca="false">SUM(I7:M7)</f>
        <v>2</v>
      </c>
    </row>
    <row r="8" customFormat="false" ht="15" hidden="false" customHeight="false" outlineLevel="0" collapsed="false">
      <c r="A8" s="5" t="s">
        <v>103</v>
      </c>
      <c r="B8" s="5" t="n">
        <v>3</v>
      </c>
      <c r="C8" s="5" t="n">
        <v>3</v>
      </c>
      <c r="D8" s="5" t="n">
        <f aca="false">IF(B8=C8,1,0)</f>
        <v>1</v>
      </c>
      <c r="E8" s="5" t="n">
        <f aca="false">IF(ABS(B8-C8)&lt;=1,1,0)</f>
        <v>1</v>
      </c>
      <c r="H8" s="5" t="s">
        <v>97</v>
      </c>
      <c r="I8" s="5" t="n">
        <f aca="false">SUM(I3:I7)</f>
        <v>3</v>
      </c>
      <c r="J8" s="5" t="n">
        <f aca="false">SUM(J3:J7)</f>
        <v>7</v>
      </c>
      <c r="K8" s="5" t="n">
        <f aca="false">SUM(K3:K7)</f>
        <v>10</v>
      </c>
      <c r="L8" s="5" t="n">
        <f aca="false">SUM(L3:L7)</f>
        <v>8</v>
      </c>
      <c r="M8" s="5" t="n">
        <f aca="false">SUM(M3:M7)</f>
        <v>2</v>
      </c>
      <c r="N8" s="5" t="n">
        <f aca="false">SUM(N3:N7)</f>
        <v>30</v>
      </c>
    </row>
    <row r="9" customFormat="false" ht="15" hidden="false" customHeight="false" outlineLevel="0" collapsed="false">
      <c r="A9" s="5" t="s">
        <v>104</v>
      </c>
      <c r="B9" s="5" t="n">
        <v>2</v>
      </c>
      <c r="C9" s="5" t="n">
        <v>3</v>
      </c>
      <c r="D9" s="5" t="n">
        <f aca="false">IF(B9=C9,1,0)</f>
        <v>0</v>
      </c>
      <c r="E9" s="5" t="n">
        <f aca="false">IF(ABS(B9-C9)&lt;=1,1,0)</f>
        <v>1</v>
      </c>
    </row>
    <row r="10" customFormat="false" ht="15" hidden="false" customHeight="false" outlineLevel="0" collapsed="false">
      <c r="A10" s="5" t="s">
        <v>105</v>
      </c>
      <c r="B10" s="5" t="n">
        <v>2</v>
      </c>
      <c r="C10" s="5" t="n">
        <v>2</v>
      </c>
      <c r="D10" s="5" t="n">
        <f aca="false">IF(B10=C10,1,0)</f>
        <v>1</v>
      </c>
      <c r="E10" s="5" t="n">
        <f aca="false">IF(ABS(B10-C10)&lt;=1,1,0)</f>
        <v>1</v>
      </c>
    </row>
    <row r="11" customFormat="false" ht="15" hidden="false" customHeight="false" outlineLevel="0" collapsed="false">
      <c r="A11" s="5" t="s">
        <v>106</v>
      </c>
      <c r="B11" s="5" t="n">
        <v>4</v>
      </c>
      <c r="C11" s="5" t="n">
        <v>3</v>
      </c>
      <c r="D11" s="5" t="n">
        <f aca="false">IF(B11=C11,1,0)</f>
        <v>0</v>
      </c>
      <c r="E11" s="5" t="n">
        <f aca="false">IF(ABS(B11-C11)&lt;=1,1,0)</f>
        <v>1</v>
      </c>
    </row>
    <row r="12" customFormat="false" ht="15" hidden="false" customHeight="false" outlineLevel="0" collapsed="false">
      <c r="A12" s="5" t="s">
        <v>107</v>
      </c>
      <c r="B12" s="5" t="n">
        <v>1</v>
      </c>
      <c r="C12" s="5" t="n">
        <v>1</v>
      </c>
      <c r="D12" s="5" t="n">
        <f aca="false">IF(B12=C12,1,0)</f>
        <v>1</v>
      </c>
      <c r="E12" s="5" t="n">
        <f aca="false">IF(ABS(B12-C12)&lt;=1,1,0)</f>
        <v>1</v>
      </c>
      <c r="H12" s="12" t="n">
        <f aca="false">SUM(D2:D31)/COUNT(D2:D31)</f>
        <v>0.566666666666667</v>
      </c>
      <c r="I12" s="3" t="s">
        <v>108</v>
      </c>
    </row>
    <row r="13" customFormat="false" ht="15" hidden="false" customHeight="false" outlineLevel="0" collapsed="false">
      <c r="A13" s="5" t="s">
        <v>109</v>
      </c>
      <c r="B13" s="5" t="n">
        <v>2</v>
      </c>
      <c r="C13" s="5" t="n">
        <v>2</v>
      </c>
      <c r="D13" s="5" t="n">
        <f aca="false">IF(B13=C13,1,0)</f>
        <v>1</v>
      </c>
      <c r="E13" s="5" t="n">
        <f aca="false">IF(ABS(B13-C13)&lt;=1,1,0)</f>
        <v>1</v>
      </c>
      <c r="H13" s="12" t="n">
        <f aca="false">SUM(E2:E31)/COUNT(E2:E31)</f>
        <v>1</v>
      </c>
      <c r="I13" s="3" t="s">
        <v>110</v>
      </c>
    </row>
    <row r="14" customFormat="false" ht="15" hidden="false" customHeight="false" outlineLevel="0" collapsed="false">
      <c r="A14" s="5" t="s">
        <v>111</v>
      </c>
      <c r="B14" s="5" t="n">
        <v>3</v>
      </c>
      <c r="C14" s="5" t="n">
        <v>3</v>
      </c>
      <c r="D14" s="5" t="n">
        <f aca="false">IF(B14=C14,1,0)</f>
        <v>1</v>
      </c>
      <c r="E14" s="5" t="n">
        <f aca="false">IF(ABS(B14-C14)&lt;=1,1,0)</f>
        <v>1</v>
      </c>
      <c r="H14" s="10" t="n">
        <f aca="false">(N3*I8+N4*J8+N5*K8+N6*L8+N7*M8)/N8^2</f>
        <v>0.262222222222222</v>
      </c>
      <c r="I14" s="3" t="s">
        <v>112</v>
      </c>
    </row>
    <row r="15" customFormat="false" ht="15" hidden="false" customHeight="false" outlineLevel="0" collapsed="false">
      <c r="A15" s="5" t="s">
        <v>113</v>
      </c>
      <c r="B15" s="5" t="n">
        <v>1</v>
      </c>
      <c r="C15" s="5" t="n">
        <v>1</v>
      </c>
      <c r="D15" s="5" t="n">
        <f aca="false">IF(B15=C15,1,0)</f>
        <v>1</v>
      </c>
      <c r="E15" s="5" t="n">
        <f aca="false">IF(ABS(B15-C15)&lt;=1,1,0)</f>
        <v>1</v>
      </c>
      <c r="H15" s="10" t="n">
        <f aca="false">(H12-H14)/(1-H14)</f>
        <v>0.412650602409639</v>
      </c>
      <c r="I15" s="3" t="s">
        <v>114</v>
      </c>
    </row>
    <row r="16" customFormat="false" ht="15" hidden="false" customHeight="false" outlineLevel="0" collapsed="false">
      <c r="A16" s="5" t="s">
        <v>115</v>
      </c>
      <c r="B16" s="5" t="n">
        <v>1</v>
      </c>
      <c r="C16" s="5" t="n">
        <v>1</v>
      </c>
      <c r="D16" s="5" t="n">
        <f aca="false">IF(B16=C16,1,0)</f>
        <v>1</v>
      </c>
      <c r="E16" s="5" t="n">
        <f aca="false">IF(ABS(B16-C16)&lt;=1,1,0)</f>
        <v>1</v>
      </c>
      <c r="H16" s="10" t="n">
        <f aca="false">AVERAGE(B2:B31)</f>
        <v>2</v>
      </c>
      <c r="I16" s="3" t="s">
        <v>116</v>
      </c>
    </row>
    <row r="17" customFormat="false" ht="15" hidden="false" customHeight="false" outlineLevel="0" collapsed="false">
      <c r="A17" s="5" t="s">
        <v>117</v>
      </c>
      <c r="B17" s="5" t="n">
        <v>3</v>
      </c>
      <c r="C17" s="5" t="n">
        <v>3</v>
      </c>
      <c r="D17" s="5" t="n">
        <f aca="false">IF(B17=C17,1,0)</f>
        <v>1</v>
      </c>
      <c r="E17" s="5" t="n">
        <f aca="false">IF(ABS(B17-C17)&lt;=1,1,0)</f>
        <v>1</v>
      </c>
      <c r="H17" s="10" t="n">
        <f aca="false">AVERAGE(C2:C31)</f>
        <v>1.96666666666667</v>
      </c>
      <c r="I17" s="3" t="s">
        <v>118</v>
      </c>
    </row>
    <row r="18" customFormat="false" ht="15" hidden="false" customHeight="false" outlineLevel="0" collapsed="false">
      <c r="A18" s="5" t="s">
        <v>119</v>
      </c>
      <c r="B18" s="5" t="n">
        <v>1</v>
      </c>
      <c r="C18" s="5" t="n">
        <v>2</v>
      </c>
      <c r="D18" s="5" t="n">
        <f aca="false">IF(B18=C18,1,0)</f>
        <v>0</v>
      </c>
      <c r="E18" s="5" t="n">
        <f aca="false">IF(ABS(B18-C18)&lt;=1,1,0)</f>
        <v>1</v>
      </c>
    </row>
    <row r="19" customFormat="false" ht="15" hidden="false" customHeight="false" outlineLevel="0" collapsed="false">
      <c r="A19" s="5" t="s">
        <v>120</v>
      </c>
      <c r="B19" s="5" t="n">
        <v>2</v>
      </c>
      <c r="C19" s="5" t="n">
        <v>1</v>
      </c>
      <c r="D19" s="5" t="n">
        <f aca="false">IF(B19=C19,1,0)</f>
        <v>0</v>
      </c>
      <c r="E19" s="5" t="n">
        <f aca="false">IF(ABS(B19-C19)&lt;=1,1,0)</f>
        <v>1</v>
      </c>
    </row>
    <row r="20" customFormat="false" ht="15" hidden="false" customHeight="false" outlineLevel="0" collapsed="false">
      <c r="A20" s="5" t="s">
        <v>121</v>
      </c>
      <c r="B20" s="5" t="n">
        <v>1</v>
      </c>
      <c r="C20" s="5" t="n">
        <v>0</v>
      </c>
      <c r="D20" s="5" t="n">
        <f aca="false">IF(B20=C20,1,0)</f>
        <v>0</v>
      </c>
      <c r="E20" s="5" t="n">
        <f aca="false">IF(ABS(B20-C20)&lt;=1,1,0)</f>
        <v>1</v>
      </c>
    </row>
    <row r="21" customFormat="false" ht="15" hidden="false" customHeight="false" outlineLevel="0" collapsed="false">
      <c r="A21" s="5" t="s">
        <v>122</v>
      </c>
      <c r="B21" s="5" t="n">
        <v>3</v>
      </c>
      <c r="C21" s="5" t="n">
        <v>3</v>
      </c>
      <c r="D21" s="5" t="n">
        <f aca="false">IF(B21=C21,1,0)</f>
        <v>1</v>
      </c>
      <c r="E21" s="5" t="n">
        <f aca="false">IF(ABS(B21-C21)&lt;=1,1,0)</f>
        <v>1</v>
      </c>
    </row>
    <row r="22" customFormat="false" ht="15" hidden="false" customHeight="false" outlineLevel="0" collapsed="false">
      <c r="A22" s="5" t="s">
        <v>123</v>
      </c>
      <c r="B22" s="5" t="n">
        <v>3</v>
      </c>
      <c r="C22" s="5" t="n">
        <v>2</v>
      </c>
      <c r="D22" s="5" t="n">
        <f aca="false">IF(B22=C22,1,0)</f>
        <v>0</v>
      </c>
      <c r="E22" s="5" t="n">
        <f aca="false">IF(ABS(B22-C22)&lt;=1,1,0)</f>
        <v>1</v>
      </c>
    </row>
    <row r="23" customFormat="false" ht="15" hidden="false" customHeight="false" outlineLevel="0" collapsed="false">
      <c r="A23" s="5" t="s">
        <v>124</v>
      </c>
      <c r="B23" s="5" t="n">
        <v>4</v>
      </c>
      <c r="C23" s="5" t="n">
        <v>4</v>
      </c>
      <c r="D23" s="5" t="n">
        <f aca="false">IF(B23=C23,1,0)</f>
        <v>1</v>
      </c>
      <c r="E23" s="5" t="n">
        <f aca="false">IF(ABS(B23-C23)&lt;=1,1,0)</f>
        <v>1</v>
      </c>
    </row>
    <row r="24" customFormat="false" ht="15" hidden="false" customHeight="false" outlineLevel="0" collapsed="false">
      <c r="A24" s="5" t="s">
        <v>125</v>
      </c>
      <c r="B24" s="5" t="n">
        <v>1</v>
      </c>
      <c r="C24" s="5" t="n">
        <v>0</v>
      </c>
      <c r="D24" s="5" t="n">
        <f aca="false">IF(B24=C24,1,0)</f>
        <v>0</v>
      </c>
      <c r="E24" s="5" t="n">
        <f aca="false">IF(ABS(B24-C24)&lt;=1,1,0)</f>
        <v>1</v>
      </c>
    </row>
    <row r="25" customFormat="false" ht="15" hidden="false" customHeight="false" outlineLevel="0" collapsed="false">
      <c r="A25" s="5" t="s">
        <v>126</v>
      </c>
      <c r="B25" s="5" t="n">
        <v>3</v>
      </c>
      <c r="C25" s="5" t="n">
        <v>4</v>
      </c>
      <c r="D25" s="5" t="n">
        <f aca="false">IF(B25=C25,1,0)</f>
        <v>0</v>
      </c>
      <c r="E25" s="5" t="n">
        <f aca="false">IF(ABS(B25-C25)&lt;=1,1,0)</f>
        <v>1</v>
      </c>
    </row>
    <row r="26" customFormat="false" ht="15" hidden="false" customHeight="false" outlineLevel="0" collapsed="false">
      <c r="A26" s="5" t="s">
        <v>127</v>
      </c>
      <c r="B26" s="5" t="n">
        <v>2</v>
      </c>
      <c r="C26" s="5" t="n">
        <v>2</v>
      </c>
      <c r="D26" s="5" t="n">
        <f aca="false">IF(B26=C26,1,0)</f>
        <v>1</v>
      </c>
      <c r="E26" s="5" t="n">
        <f aca="false">IF(ABS(B26-C26)&lt;=1,1,0)</f>
        <v>1</v>
      </c>
    </row>
    <row r="27" customFormat="false" ht="15" hidden="false" customHeight="false" outlineLevel="0" collapsed="false">
      <c r="A27" s="5" t="s">
        <v>128</v>
      </c>
      <c r="B27" s="5" t="n">
        <v>1</v>
      </c>
      <c r="C27" s="5" t="n">
        <v>1</v>
      </c>
      <c r="D27" s="5" t="n">
        <f aca="false">IF(B27=C27,1,0)</f>
        <v>1</v>
      </c>
      <c r="E27" s="5" t="n">
        <f aca="false">IF(ABS(B27-C27)&lt;=1,1,0)</f>
        <v>1</v>
      </c>
    </row>
    <row r="28" customFormat="false" ht="15" hidden="false" customHeight="false" outlineLevel="0" collapsed="false">
      <c r="A28" s="5" t="s">
        <v>129</v>
      </c>
      <c r="B28" s="5" t="n">
        <v>3</v>
      </c>
      <c r="C28" s="5" t="n">
        <v>3</v>
      </c>
      <c r="D28" s="5" t="n">
        <f aca="false">IF(B28=C28,1,0)</f>
        <v>1</v>
      </c>
      <c r="E28" s="5" t="n">
        <f aca="false">IF(ABS(B28-C28)&lt;=1,1,0)</f>
        <v>1</v>
      </c>
    </row>
    <row r="29" customFormat="false" ht="15" hidden="false" customHeight="false" outlineLevel="0" collapsed="false">
      <c r="A29" s="5" t="s">
        <v>130</v>
      </c>
      <c r="B29" s="5" t="n">
        <v>2</v>
      </c>
      <c r="C29" s="5" t="n">
        <v>2</v>
      </c>
      <c r="D29" s="5" t="n">
        <f aca="false">IF(B29=C29,1,0)</f>
        <v>1</v>
      </c>
      <c r="E29" s="5" t="n">
        <f aca="false">IF(ABS(B29-C29)&lt;=1,1,0)</f>
        <v>1</v>
      </c>
    </row>
    <row r="30" customFormat="false" ht="15" hidden="false" customHeight="false" outlineLevel="0" collapsed="false">
      <c r="A30" s="5" t="s">
        <v>131</v>
      </c>
      <c r="B30" s="5" t="n">
        <v>2</v>
      </c>
      <c r="C30" s="5" t="n">
        <v>2</v>
      </c>
      <c r="D30" s="5" t="n">
        <f aca="false">IF(B30=C30,1,0)</f>
        <v>1</v>
      </c>
      <c r="E30" s="5" t="n">
        <f aca="false">IF(ABS(B30-C30)&lt;=1,1,0)</f>
        <v>1</v>
      </c>
    </row>
    <row r="31" customFormat="false" ht="15" hidden="false" customHeight="false" outlineLevel="0" collapsed="false">
      <c r="A31" s="5" t="s">
        <v>132</v>
      </c>
      <c r="B31" s="5" t="n">
        <v>2</v>
      </c>
      <c r="C31" s="5" t="n">
        <v>2</v>
      </c>
      <c r="D31" s="5" t="n">
        <f aca="false">IF(B31=C31,1,0)</f>
        <v>1</v>
      </c>
      <c r="E31" s="5" t="n">
        <f aca="false">IF(ABS(B31-C31)&lt;=1,1,0)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3" t="s">
        <v>133</v>
      </c>
      <c r="B1" s="10" t="n">
        <f aca="false">SQRT('Internal consistency'!B49)</f>
        <v>5.10630737421867</v>
      </c>
    </row>
    <row r="2" customFormat="false" ht="15" hidden="false" customHeight="false" outlineLevel="0" collapsed="false">
      <c r="A2" s="3" t="s">
        <v>134</v>
      </c>
      <c r="B2" s="10" t="n">
        <f aca="false">'Internal consistency'!$B$50</f>
        <v>0.890317550630093</v>
      </c>
    </row>
    <row r="3" customFormat="false" ht="15" hidden="false" customHeight="false" outlineLevel="0" collapsed="false">
      <c r="A3" s="3" t="s">
        <v>135</v>
      </c>
      <c r="B3" s="10" t="n">
        <f aca="false">B1*SQRT(1-B2)</f>
        <v>1.6911242756786</v>
      </c>
    </row>
    <row r="5" customFormat="false" ht="15" hidden="false" customHeight="false" outlineLevel="0" collapsed="false">
      <c r="A5" s="4" t="s">
        <v>11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138</v>
      </c>
    </row>
    <row r="6" customFormat="false" ht="15" hidden="false" customHeight="false" outlineLevel="0" collapsed="false">
      <c r="A6" s="5" t="s">
        <v>140</v>
      </c>
      <c r="B6" s="13" t="n">
        <v>5</v>
      </c>
      <c r="C6" s="14" t="n">
        <f aca="false">B6-$B$3</f>
        <v>3.3088757243214</v>
      </c>
      <c r="D6" s="14" t="n">
        <f aca="false">B6+$B$3</f>
        <v>6.6911242756786</v>
      </c>
      <c r="E6" s="14" t="n">
        <f aca="false">B6-1.96*$B$3</f>
        <v>1.68539641966994</v>
      </c>
      <c r="F6" s="14" t="n">
        <f aca="false">B6+1.96*$B$3</f>
        <v>8.31460358033006</v>
      </c>
    </row>
    <row r="7" customFormat="false" ht="15" hidden="false" customHeight="false" outlineLevel="0" collapsed="false">
      <c r="A7" s="5" t="s">
        <v>141</v>
      </c>
      <c r="B7" s="13" t="n">
        <v>9</v>
      </c>
      <c r="C7" s="14" t="n">
        <f aca="false">B7-$B$3</f>
        <v>7.3088757243214</v>
      </c>
      <c r="D7" s="14" t="n">
        <f aca="false">B7+$B$3</f>
        <v>10.6911242756786</v>
      </c>
      <c r="E7" s="14" t="n">
        <f aca="false">B7-1.96*$B$3</f>
        <v>5.68539641966994</v>
      </c>
      <c r="F7" s="14" t="n">
        <f aca="false">B7+1.96*$B$3</f>
        <v>12.3146035803301</v>
      </c>
    </row>
    <row r="8" customFormat="false" ht="15" hidden="false" customHeight="false" outlineLevel="0" collapsed="false">
      <c r="A8" s="5" t="s">
        <v>142</v>
      </c>
      <c r="B8" s="13" t="n">
        <v>18</v>
      </c>
      <c r="C8" s="14" t="n">
        <f aca="false">B8-$B$3</f>
        <v>16.3088757243214</v>
      </c>
      <c r="D8" s="14" t="n">
        <f aca="false">B8+$B$3</f>
        <v>19.6911242756786</v>
      </c>
      <c r="E8" s="14" t="n">
        <f aca="false">B8-1.96*$B$3</f>
        <v>14.6853964196699</v>
      </c>
      <c r="F8" s="14" t="n">
        <f aca="false">B8+1.96*$B$3</f>
        <v>21.3146035803301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4" t="s">
        <v>143</v>
      </c>
      <c r="B1" s="4" t="s">
        <v>144</v>
      </c>
      <c r="C1" s="4" t="s">
        <v>145</v>
      </c>
    </row>
    <row r="2" customFormat="false" ht="28.35" hidden="false" customHeight="false" outlineLevel="0" collapsed="false">
      <c r="A2" s="15" t="s">
        <v>146</v>
      </c>
      <c r="B2" s="16" t="n">
        <f aca="false">'Internal consistency'!$B$50</f>
        <v>0.890317550630093</v>
      </c>
      <c r="C2" s="15" t="s">
        <v>147</v>
      </c>
    </row>
    <row r="3" customFormat="false" ht="15" hidden="false" customHeight="false" outlineLevel="0" collapsed="false">
      <c r="A3" s="15" t="s">
        <v>148</v>
      </c>
      <c r="B3" s="16" t="n">
        <f aca="false">'Internal consistency'!$B$52</f>
        <v>0.919159373224961</v>
      </c>
      <c r="C3" s="15" t="s">
        <v>149</v>
      </c>
    </row>
    <row r="4" customFormat="false" ht="15" hidden="false" customHeight="false" outlineLevel="0" collapsed="false">
      <c r="A4" s="15" t="s">
        <v>150</v>
      </c>
      <c r="B4" s="16" t="n">
        <f aca="false">'Test-retest'!G2</f>
        <v>0.898305020874009</v>
      </c>
      <c r="C4" s="15" t="s">
        <v>151</v>
      </c>
    </row>
    <row r="5" customFormat="false" ht="15" hidden="false" customHeight="false" outlineLevel="0" collapsed="false">
      <c r="A5" s="15" t="s">
        <v>152</v>
      </c>
      <c r="B5" s="16" t="n">
        <f aca="false">'Inter-rater agreement'!H15</f>
        <v>0.412650602409639</v>
      </c>
      <c r="C5" s="15" t="s">
        <v>153</v>
      </c>
    </row>
    <row r="7" customFormat="false" ht="15" hidden="false" customHeight="false" outlineLevel="0" collapsed="false">
      <c r="A7" s="3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2026-10-15T03:51:50Z</dcterms:created>
  <dc:creator>openpyxl</dc:creator>
  <dc:description/>
  <dc:language>en-US</dc:language>
  <cp:lastModifiedBy/>
  <dcterms:modified xsi:type="dcterms:W3CDTF">2026-10-15T03:51:50Z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