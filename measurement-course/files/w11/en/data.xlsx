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Responses" sheetId="2" state="visible" r:id="rId4"/>
    <sheet name="Scoring" sheetId="3" state="visible" r:id="rId5"/>
    <sheet name="Item Analysis" sheetId="4" state="visible" r:id="rId6"/>
    <sheet name="Distractor Analysis" sheetId="5" state="visible" r:id="rId7"/>
    <sheet name="Tes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The key row is an editable input. The current key contains a deliberate error in one item.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Kelley (1939): a 27% proportion maximizes the difference between the two groups while keeping each group large enough.</t>
        </r>
      </text>
    </comment>
    <comment ref="A7" authorId="0">
      <text>
        <r>
          <rPr>
            <sz val="10"/>
            <rFont val="Arial"/>
            <family val="2"/>
          </rPr>
          <t xml:space="preserve">May exceed the group size because of tied scores at the cut-off.</t>
        </r>
      </text>
    </comment>
    <comment ref="A13" authorId="0">
      <text>
        <r>
          <rPr>
            <sz val="10"/>
            <rFont val="Arial"/>
            <family val="2"/>
          </rPr>
          <t xml:space="preserve">The decision criteria are editable inputs. The default values are common in the literature on classroom item analysis.</t>
        </r>
      </text>
    </comment>
    <comment ref="A15" authorId="0">
      <text>
        <r>
          <rPr>
            <sz val="10"/>
            <rFont val="Arial"/>
            <family val="2"/>
          </rPr>
          <t xml:space="preserve">Ebel &amp; Frisbie (1991): below 0.20 poor, 0.20–0.29 marginal, 0.30–0.39 good, 0.40 or more very good.</t>
        </r>
      </text>
    </comment>
    <comment ref="A17" authorId="0">
      <text>
        <r>
          <rPr>
            <sz val="10"/>
            <rFont val="Arial"/>
            <family val="2"/>
          </rPr>
          <t xml:space="preserve">A distractor chosen by fewer than 5% of students is not doing its job.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For items scored 1/0, Cronbach's alpha formula coincides with KR-20 when the same variance is used for the items and the total.</t>
        </r>
      </text>
    </comment>
  </commentList>
</comments>
</file>

<file path=xl/sharedStrings.xml><?xml version="1.0" encoding="utf-8"?>
<sst xmlns="http://schemas.openxmlformats.org/spreadsheetml/2006/main" count="5096" uniqueCount="266">
  <si>
    <t xml:space="preserve">Week 11 workshop — Item Analysis</t>
  </si>
  <si>
    <t xml:space="preserve">Educational Measurement and Evaluation — Postgraduate Professional Diploma in Teaching</t>
  </si>
  <si>
    <t xml:space="preserve">Note: the data are a computer simulation for training purposes, not the scores of real students.</t>
  </si>
  <si>
    <t xml:space="preserve">150 students × 30 multiple-choice items (four options coded A B C D).</t>
  </si>
  <si>
    <t xml:space="preserve">The test contains deliberately defective items. Your task is to detect them and explain the cause of each flaw.</t>
  </si>
  <si>
    <t xml:space="preserve">Sheets in the workbook:</t>
  </si>
  <si>
    <t xml:space="preserve">Responses: the raw responses of each student, with the answer key row at the top.</t>
  </si>
  <si>
    <t xml:space="preserve">Scoring: converting the responses to 1/0 with formulas, and each student's total score.</t>
  </si>
  <si>
    <t xml:space="preserve">Item Analysis: difficulty, discrimination by two methods, the reliability coefficient if the item is deleted, and an automatic recommendation.</t>
  </si>
  <si>
    <t xml:space="preserve">Distractor Analysis: the proportion choosing each option overall and in the upper and lower groups.</t>
  </si>
  <si>
    <t xml:space="preserve">Test Summary: descriptive statistics, Cronbach's alpha, the standard error of measurement, and the score distribution.</t>
  </si>
  <si>
    <t xml:space="preserve">Yellow cells are editable inputs (the group proportion and the decision criteria). Everything else is live formulas.</t>
  </si>
  <si>
    <t xml:space="preserve">Try it: correct the key of Item 7 in the Responses sheet and watch discrimination and reliability change immediately.</t>
  </si>
  <si>
    <t xml:space="preserve">Student ID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</si>
  <si>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</si>
  <si>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</si>
  <si>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</si>
  <si>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</si>
  <si>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</si>
  <si>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</si>
  <si>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</si>
  <si>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</si>
  <si>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</si>
  <si>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</si>
  <si>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</si>
  <si>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</si>
  <si>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</si>
  <si>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</si>
  <si>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</si>
  <si>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</si>
  <si>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</si>
  <si>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</si>
  <si>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</si>
  <si>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</si>
  <si>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</si>
  <si>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</si>
  <si>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</si>
  <si>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</si>
  <si>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</si>
  <si>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</si>
  <si>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</si>
  <si>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</si>
  <si>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</si>
  <si>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</si>
  <si>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Answer key</t>
  </si>
  <si>
    <t xml:space="preserve">D</t>
  </si>
  <si>
    <t xml:space="preserve">C</t>
  </si>
  <si>
    <t xml:space="preserve">B</t>
  </si>
  <si>
    <t xml:space="preserve">A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</si>
  <si>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</si>
  <si>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</si>
  <si>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</si>
  <si>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</si>
  <si>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</si>
  <si>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</si>
  <si>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</si>
  <si>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</si>
  <si>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</si>
  <si>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</si>
  <si>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</si>
  <si>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</si>
  <si>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</si>
  <si>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</si>
  <si>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</si>
  <si>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</si>
  <si>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</si>
  <si>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</si>
  <si>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</si>
  <si>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</si>
  <si>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</si>
  <si>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</si>
  <si>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</si>
  <si>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</si>
  <si>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</si>
  <si>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</si>
  <si>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</si>
  <si>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</si>
  <si>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</si>
  <si>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</si>
  <si>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</si>
  <si>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</si>
  <si>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</si>
  <si>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</si>
  <si>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</si>
  <si>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</si>
  <si>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</si>
  <si>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</si>
  <si>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</si>
  <si>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</si>
  <si>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</si>
  <si>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</si>
  <si>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</si>
  <si>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</si>
  <si>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</si>
  <si>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</si>
  <si>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</si>
  <si>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</si>
  <si>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</si>
  <si>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</si>
  <si>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</si>
  <si>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</si>
  <si>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</si>
  <si>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</si>
  <si>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</si>
  <si>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</si>
  <si>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</si>
  <si>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</si>
  <si>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</si>
  <si>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</si>
  <si>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</si>
  <si>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</si>
  <si>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</si>
  <si>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</si>
  <si>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</si>
  <si>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</si>
  <si>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</si>
  <si>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</si>
  <si>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</si>
  <si>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</si>
  <si>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</si>
  <si>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</si>
  <si>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</si>
  <si>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</si>
  <si>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</si>
  <si>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</si>
  <si>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</si>
  <si>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</si>
  <si>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</si>
  <si>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</si>
  <si>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</si>
  <si>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</si>
  <si>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</si>
  <si>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</si>
  <si>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</si>
  <si>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</si>
  <si>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</si>
  <si>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</si>
  <si>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</si>
  <si>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</si>
  <si>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</si>
  <si>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</si>
  <si>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</si>
  <si>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</si>
  <si>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</si>
  <si>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</si>
  <si>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</si>
  <si>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</si>
  <si>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</si>
  <si>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</si>
  <si>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</si>
  <si>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</si>
  <si>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</si>
  <si>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</si>
  <si>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</si>
  <si>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</si>
  <si>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</si>
  <si>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</si>
  <si>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</si>
  <si>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</si>
  <si>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</si>
  <si>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</si>
  <si>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</si>
  <si>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</si>
  <si>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</si>
  <si>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</si>
  <si>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</si>
  <si>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</si>
  <si>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</si>
  <si>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</si>
  <si>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</si>
  <si>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</si>
  <si>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</si>
  <si>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</si>
  <si>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</si>
  <si>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</si>
  <si>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</si>
  <si>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</si>
  <si>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</si>
  <si>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</si>
  <si>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</si>
  <si>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</si>
  <si>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</si>
  <si>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</si>
  <si>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</si>
  <si>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</si>
  <si>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</si>
  <si>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</si>
  <si>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</si>
  <si>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</si>
  <si>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</si>
  <si>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</si>
  <si>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</si>
  <si>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</si>
  <si>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</si>
  <si>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</si>
  <si>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</si>
  <si>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</si>
  <si>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</si>
  <si>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</si>
  <si>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Total score</t>
  </si>
  <si>
    <t xml:space="preserve">Maximum score</t>
  </si>
  <si>
    <t xml:space="preserve">Parameters and criteria</t>
  </si>
  <si>
    <t xml:space="preserve">Number of students</t>
  </si>
  <si>
    <t xml:space="preserve">Proportion in each group (upper/lower)</t>
  </si>
  <si>
    <t xml:space="preserve">Group size</t>
  </si>
  <si>
    <t xml:space="preserve">Upper group cut-off (score ≥)</t>
  </si>
  <si>
    <t xml:space="preserve">Lower group cut-off (score ≤)</t>
  </si>
  <si>
    <t xml:space="preserve">Actual size of upper group</t>
  </si>
  <si>
    <t xml:space="preserve">Actual size of lower group</t>
  </si>
  <si>
    <t xml:space="preserve">Number of items k</t>
  </si>
  <si>
    <t xml:space="preserve">Variance of total score</t>
  </si>
  <si>
    <t xml:space="preserve">Standard deviation of total score</t>
  </si>
  <si>
    <t xml:space="preserve">Sum of item variances</t>
  </si>
  <si>
    <t xml:space="preserve">Minimum acceptable difficulty</t>
  </si>
  <si>
    <t xml:space="preserve">Maximum acceptable difficulty</t>
  </si>
  <si>
    <t xml:space="preserve">Minimum acceptable discrimination</t>
  </si>
  <si>
    <t xml:space="preserve">Good discrimination threshold</t>
  </si>
  <si>
    <t xml:space="preserve">Minimum distractor selection</t>
  </si>
  <si>
    <t xml:space="preserve">Item analysis table (all values are live formulas)</t>
  </si>
  <si>
    <t xml:space="preserve">Item</t>
  </si>
  <si>
    <t xml:space="preserve">Key</t>
  </si>
  <si>
    <t xml:space="preserve">Difficulty p</t>
  </si>
  <si>
    <t xml:space="preserve">p upper group</t>
  </si>
  <si>
    <t xml:space="preserve">p lower group</t>
  </si>
  <si>
    <t xml:space="preserve">Discrimination D</t>
  </si>
  <si>
    <t xml:space="preserve">Item variance</t>
  </si>
  <si>
    <t xml:space="preserve">Item-total correlation</t>
  </si>
  <si>
    <t xml:space="preserve">Corrected correlation</t>
  </si>
  <si>
    <t xml:space="preserve">Alpha if deleted</t>
  </si>
  <si>
    <t xml:space="preserve">% A</t>
  </si>
  <si>
    <t xml:space="preserve">% B</t>
  </si>
  <si>
    <t xml:space="preserve">% C</t>
  </si>
  <si>
    <t xml:space="preserve">% D</t>
  </si>
  <si>
    <t xml:space="preserve">Weakest distractor</t>
  </si>
  <si>
    <t xml:space="preserve">Recommendation</t>
  </si>
  <si>
    <t xml:space="preserve">Option</t>
  </si>
  <si>
    <t xml:space="preserve">Is it the key?</t>
  </si>
  <si>
    <t xml:space="preserve">Selection rate (all)</t>
  </si>
  <si>
    <t xml:space="preserve">Upper group count</t>
  </si>
  <si>
    <t xml:space="preserve">Lower group count</t>
  </si>
  <si>
    <t xml:space="preserve">Difference (upper − lower)</t>
  </si>
  <si>
    <t xml:space="preserve">Reading</t>
  </si>
  <si>
    <t xml:space="preserve">Indicator</t>
  </si>
  <si>
    <t xml:space="preserve">Value</t>
  </si>
  <si>
    <t xml:space="preserve">Number of items</t>
  </si>
  <si>
    <t xml:space="preserve">Mean</t>
  </si>
  <si>
    <t xml:space="preserve">Standard deviation</t>
  </si>
  <si>
    <t xml:space="preserve">Lowest score</t>
  </si>
  <si>
    <t xml:space="preserve">Highest score</t>
  </si>
  <si>
    <t xml:space="preserve">Cronbach's alpha (KR-20 for dichotomous items)</t>
  </si>
  <si>
    <t xml:space="preserve">Standard error of measurement</t>
  </si>
  <si>
    <t xml:space="preserve">Mean difficulty</t>
  </si>
  <si>
    <t xml:space="preserve">Mean corrected correlation</t>
  </si>
  <si>
    <t xml:space="preserve">Items recommended as "Good"</t>
  </si>
  <si>
    <t xml:space="preserve">Items needing review</t>
  </si>
  <si>
    <t xml:space="preserve">Score distribution</t>
  </si>
  <si>
    <t xml:space="preserve">Score band</t>
  </si>
  <si>
    <t xml:space="preserve">0–5</t>
  </si>
  <si>
    <t xml:space="preserve">6–8</t>
  </si>
  <si>
    <t xml:space="preserve">9–11</t>
  </si>
  <si>
    <t xml:space="preserve">12–14</t>
  </si>
  <si>
    <t xml:space="preserve">15–17</t>
  </si>
  <si>
    <t xml:space="preserve">18–20</t>
  </si>
  <si>
    <t xml:space="preserve">21–23</t>
  </si>
  <si>
    <t xml:space="preserve">24–26</t>
  </si>
  <si>
    <t xml:space="preserve">27–30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</si>
</sst>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%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sz val="11"/>
      <color rgb="FF0000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total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'Test Summary'!B17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Summary'!$A$18:$A$26</c:f>
              <c:strCache>
                <c:ptCount val="9"/>
                <c:pt idx="0">
                  <c:v>0–5</c:v>
                </c:pt>
                <c:pt idx="1">
                  <c:v>6–8</c:v>
                </c:pt>
                <c:pt idx="2">
                  <c:v>9–11</c:v>
                </c:pt>
                <c:pt idx="3">
                  <c:v>12–14</c:v>
                </c:pt>
                <c:pt idx="4">
                  <c:v>15–17</c:v>
                </c:pt>
                <c:pt idx="5">
                  <c:v>18–20</c:v>
                </c:pt>
                <c:pt idx="6">
                  <c:v>21–23</c:v>
                </c:pt>
                <c:pt idx="7">
                  <c:v>24–26</c:v>
                </c:pt>
                <c:pt idx="8">
                  <c:v>27–30</c:v>
                </c:pt>
              </c:strCache>
            </c:strRef>
          </c:cat>
          <c:val>
            <c:numRef>
              <c:f>'Test Summary'!$B$18:$B$26</c:f>
              <c:numCache>
                <c:formatCode>General</c:formatCode>
                <c:ptCount val="9"/>
                <c:pt idx="0">
                  <c:v>2</c:v>
                </c:pt>
                <c:pt idx="1">
                  <c:v>14</c:v>
                </c:pt>
                <c:pt idx="2">
                  <c:v>29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16</c:v>
                </c:pt>
                <c:pt idx="8">
                  <c:v>11</c:v>
                </c:pt>
              </c:numCache>
            </c:numRef>
          </c:val>
        </c:ser>
        <c:gapWidth val="150"/>
        <c:overlap val="0"/>
        <c:axId val="55439823"/>
        <c:axId val="18986173"/>
      </c:barChart>
      <c:catAx>
        <c:axId val="55439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6173"/>
        <c:crosses val="autoZero"/>
        <c:auto val="1"/>
        <c:lblAlgn val="ctr"/>
        <c:lblOffset val="100"/>
        <c:noMultiLvlLbl val="0"/>
      </c:catAx>
      <c:valAx>
        <c:axId val="18986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398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256320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42768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</row>
    <row r="2" customFormat="false" ht="15" hidden="false" customHeight="false" outlineLevel="0" collapsed="false">
      <c r="A2" s="5" t="s">
        <v>44</v>
      </c>
      <c r="B2" s="6" t="s">
        <v>45</v>
      </c>
      <c r="C2" s="6" t="s">
        <v>46</v>
      </c>
      <c r="D2" s="6" t="s">
        <v>45</v>
      </c>
      <c r="E2" s="6" t="s">
        <v>47</v>
      </c>
      <c r="F2" s="6" t="s">
        <v>47</v>
      </c>
      <c r="G2" s="6" t="s">
        <v>47</v>
      </c>
      <c r="H2" s="6" t="s">
        <v>47</v>
      </c>
      <c r="I2" s="6" t="s">
        <v>46</v>
      </c>
      <c r="J2" s="6" t="s">
        <v>48</v>
      </c>
      <c r="K2" s="6" t="s">
        <v>45</v>
      </c>
      <c r="L2" s="6" t="s">
        <v>48</v>
      </c>
      <c r="M2" s="6" t="s">
        <v>46</v>
      </c>
      <c r="N2" s="6" t="s">
        <v>47</v>
      </c>
      <c r="O2" s="6" t="s">
        <v>45</v>
      </c>
      <c r="P2" s="6" t="s">
        <v>46</v>
      </c>
      <c r="Q2" s="6" t="s">
        <v>48</v>
      </c>
      <c r="R2" s="6" t="s">
        <v>48</v>
      </c>
      <c r="S2" s="6" t="s">
        <v>48</v>
      </c>
      <c r="T2" s="6" t="s">
        <v>45</v>
      </c>
      <c r="U2" s="6" t="s">
        <v>45</v>
      </c>
      <c r="V2" s="6" t="s">
        <v>46</v>
      </c>
      <c r="W2" s="6" t="s">
        <v>46</v>
      </c>
      <c r="X2" s="6" t="s">
        <v>46</v>
      </c>
      <c r="Y2" s="6" t="s">
        <v>47</v>
      </c>
      <c r="Z2" s="6" t="s">
        <v>46</v>
      </c>
      <c r="AA2" s="6" t="s">
        <v>47</v>
      </c>
      <c r="AB2" s="6" t="s">
        <v>47</v>
      </c>
      <c r="AC2" s="6" t="s">
        <v>47</v>
      </c>
      <c r="AD2" s="6" t="s">
        <v>46</v>
      </c>
      <c r="AE2" s="6" t="s">
        <v>46</v>
      </c>
    </row>
    <row r="3" customFormat="false" ht="15" hidden="false" customHeight="false" outlineLevel="0" collapsed="false">
      <c r="A3" s="7" t="s">
        <v>49</v>
      </c>
      <c r="B3" s="8" t="s">
        <v>46</v>
      </c>
      <c r="C3" s="8" t="s">
        <v>47</v>
      </c>
      <c r="D3" s="8" t="s">
        <v>47</v>
      </c>
      <c r="E3" s="8" t="s">
        <v>48</v>
      </c>
      <c r="F3" s="8" t="s">
        <v>48</v>
      </c>
      <c r="G3" s="8" t="s">
        <v>47</v>
      </c>
      <c r="H3" s="8" t="s">
        <v>47</v>
      </c>
      <c r="I3" s="8" t="s">
        <v>45</v>
      </c>
      <c r="J3" s="8" t="s">
        <v>46</v>
      </c>
      <c r="K3" s="8" t="s">
        <v>45</v>
      </c>
      <c r="L3" s="8" t="s">
        <v>48</v>
      </c>
      <c r="M3" s="8" t="s">
        <v>46</v>
      </c>
      <c r="N3" s="8" t="s">
        <v>45</v>
      </c>
      <c r="O3" s="8" t="s">
        <v>47</v>
      </c>
      <c r="P3" s="8" t="s">
        <v>45</v>
      </c>
      <c r="Q3" s="8" t="s">
        <v>45</v>
      </c>
      <c r="R3" s="8" t="s">
        <v>48</v>
      </c>
      <c r="S3" s="8" t="s">
        <v>46</v>
      </c>
      <c r="T3" s="8" t="s">
        <v>45</v>
      </c>
      <c r="U3" s="8" t="s">
        <v>46</v>
      </c>
      <c r="V3" s="8" t="s">
        <v>47</v>
      </c>
      <c r="W3" s="8" t="s">
        <v>45</v>
      </c>
      <c r="X3" s="8" t="s">
        <v>47</v>
      </c>
      <c r="Y3" s="8" t="s">
        <v>45</v>
      </c>
      <c r="Z3" s="8" t="s">
        <v>47</v>
      </c>
      <c r="AA3" s="8" t="s">
        <v>45</v>
      </c>
      <c r="AB3" s="8" t="s">
        <v>46</v>
      </c>
      <c r="AC3" s="8" t="s">
        <v>47</v>
      </c>
      <c r="AD3" s="8" t="s">
        <v>47</v>
      </c>
      <c r="AE3" s="8" t="s">
        <v>46</v>
      </c>
    </row>
    <row r="4" customFormat="false" ht="15" hidden="false" customHeight="false" outlineLevel="0" collapsed="false">
      <c r="A4" s="7" t="s">
        <v>50</v>
      </c>
      <c r="B4" s="8" t="s">
        <v>45</v>
      </c>
      <c r="C4" s="8" t="s">
        <v>46</v>
      </c>
      <c r="D4" s="8" t="s">
        <v>45</v>
      </c>
      <c r="E4" s="8" t="s">
        <v>45</v>
      </c>
      <c r="F4" s="8" t="s">
        <v>48</v>
      </c>
      <c r="G4" s="8" t="s">
        <v>48</v>
      </c>
      <c r="H4" s="8" t="s">
        <v>46</v>
      </c>
      <c r="I4" s="8" t="s">
        <v>46</v>
      </c>
      <c r="J4" s="8" t="s">
        <v>48</v>
      </c>
      <c r="K4" s="8" t="s">
        <v>45</v>
      </c>
      <c r="L4" s="8" t="s">
        <v>48</v>
      </c>
      <c r="M4" s="8" t="s">
        <v>46</v>
      </c>
      <c r="N4" s="8" t="s">
        <v>48</v>
      </c>
      <c r="O4" s="8" t="s">
        <v>46</v>
      </c>
      <c r="P4" s="8" t="s">
        <v>48</v>
      </c>
      <c r="Q4" s="8" t="s">
        <v>48</v>
      </c>
      <c r="R4" s="8" t="s">
        <v>48</v>
      </c>
      <c r="S4" s="8" t="s">
        <v>48</v>
      </c>
      <c r="T4" s="8" t="s">
        <v>47</v>
      </c>
      <c r="U4" s="8" t="s">
        <v>45</v>
      </c>
      <c r="V4" s="8" t="s">
        <v>46</v>
      </c>
      <c r="W4" s="8" t="s">
        <v>46</v>
      </c>
      <c r="X4" s="8" t="s">
        <v>46</v>
      </c>
      <c r="Y4" s="8" t="s">
        <v>48</v>
      </c>
      <c r="Z4" s="8" t="s">
        <v>47</v>
      </c>
      <c r="AA4" s="8" t="s">
        <v>45</v>
      </c>
      <c r="AB4" s="8" t="s">
        <v>47</v>
      </c>
      <c r="AC4" s="8" t="s">
        <v>47</v>
      </c>
      <c r="AD4" s="8" t="s">
        <v>46</v>
      </c>
      <c r="AE4" s="8" t="s">
        <v>48</v>
      </c>
    </row>
    <row r="5" customFormat="false" ht="15" hidden="false" customHeight="false" outlineLevel="0" collapsed="false">
      <c r="A5" s="7" t="s">
        <v>51</v>
      </c>
      <c r="B5" s="8" t="s">
        <v>47</v>
      </c>
      <c r="C5" s="8" t="s">
        <v>47</v>
      </c>
      <c r="D5" s="8" t="s">
        <v>46</v>
      </c>
      <c r="E5" s="8" t="s">
        <v>47</v>
      </c>
      <c r="F5" s="8" t="s">
        <v>46</v>
      </c>
      <c r="G5" s="8" t="s">
        <v>46</v>
      </c>
      <c r="H5" s="8" t="s">
        <v>47</v>
      </c>
      <c r="I5" s="8" t="s">
        <v>45</v>
      </c>
      <c r="J5" s="8" t="s">
        <v>48</v>
      </c>
      <c r="K5" s="8" t="s">
        <v>45</v>
      </c>
      <c r="L5" s="8" t="s">
        <v>48</v>
      </c>
      <c r="M5" s="8" t="s">
        <v>46</v>
      </c>
      <c r="N5" s="8" t="s">
        <v>48</v>
      </c>
      <c r="O5" s="8" t="s">
        <v>45</v>
      </c>
      <c r="P5" s="8" t="s">
        <v>45</v>
      </c>
      <c r="Q5" s="8" t="s">
        <v>48</v>
      </c>
      <c r="R5" s="8" t="s">
        <v>46</v>
      </c>
      <c r="S5" s="8" t="s">
        <v>47</v>
      </c>
      <c r="T5" s="8" t="s">
        <v>46</v>
      </c>
      <c r="U5" s="8" t="s">
        <v>48</v>
      </c>
      <c r="V5" s="8" t="s">
        <v>45</v>
      </c>
      <c r="W5" s="8" t="s">
        <v>47</v>
      </c>
      <c r="X5" s="8" t="s">
        <v>47</v>
      </c>
      <c r="Y5" s="8" t="s">
        <v>46</v>
      </c>
      <c r="Z5" s="8" t="s">
        <v>46</v>
      </c>
      <c r="AA5" s="8" t="s">
        <v>48</v>
      </c>
      <c r="AB5" s="8" t="s">
        <v>45</v>
      </c>
      <c r="AC5" s="8" t="s">
        <v>45</v>
      </c>
      <c r="AD5" s="8" t="s">
        <v>48</v>
      </c>
      <c r="AE5" s="8" t="s">
        <v>46</v>
      </c>
    </row>
    <row r="6" customFormat="false" ht="15" hidden="false" customHeight="false" outlineLevel="0" collapsed="false">
      <c r="A6" s="7" t="s">
        <v>52</v>
      </c>
      <c r="B6" s="8" t="s">
        <v>45</v>
      </c>
      <c r="C6" s="8" t="s">
        <v>46</v>
      </c>
      <c r="D6" s="8" t="s">
        <v>46</v>
      </c>
      <c r="E6" s="8" t="s">
        <v>47</v>
      </c>
      <c r="F6" s="8" t="s">
        <v>47</v>
      </c>
      <c r="G6" s="8" t="s">
        <v>47</v>
      </c>
      <c r="H6" s="8" t="s">
        <v>46</v>
      </c>
      <c r="I6" s="8" t="s">
        <v>46</v>
      </c>
      <c r="J6" s="8" t="s">
        <v>48</v>
      </c>
      <c r="K6" s="8" t="s">
        <v>45</v>
      </c>
      <c r="L6" s="8" t="s">
        <v>48</v>
      </c>
      <c r="M6" s="8" t="s">
        <v>46</v>
      </c>
      <c r="N6" s="8" t="s">
        <v>47</v>
      </c>
      <c r="O6" s="8" t="s">
        <v>45</v>
      </c>
      <c r="P6" s="8" t="s">
        <v>48</v>
      </c>
      <c r="Q6" s="8" t="s">
        <v>48</v>
      </c>
      <c r="R6" s="8" t="s">
        <v>48</v>
      </c>
      <c r="S6" s="8" t="s">
        <v>48</v>
      </c>
      <c r="T6" s="8" t="s">
        <v>45</v>
      </c>
      <c r="U6" s="8" t="s">
        <v>45</v>
      </c>
      <c r="V6" s="8" t="s">
        <v>46</v>
      </c>
      <c r="W6" s="8" t="s">
        <v>46</v>
      </c>
      <c r="X6" s="8" t="s">
        <v>46</v>
      </c>
      <c r="Y6" s="8" t="s">
        <v>47</v>
      </c>
      <c r="Z6" s="8" t="s">
        <v>46</v>
      </c>
      <c r="AA6" s="8" t="s">
        <v>45</v>
      </c>
      <c r="AB6" s="8" t="s">
        <v>46</v>
      </c>
      <c r="AC6" s="8" t="s">
        <v>47</v>
      </c>
      <c r="AD6" s="8" t="s">
        <v>46</v>
      </c>
      <c r="AE6" s="8" t="s">
        <v>46</v>
      </c>
    </row>
    <row r="7" customFormat="false" ht="15" hidden="false" customHeight="false" outlineLevel="0" collapsed="false">
      <c r="A7" s="7" t="s">
        <v>53</v>
      </c>
      <c r="B7" s="8" t="s">
        <v>47</v>
      </c>
      <c r="C7" s="8" t="s">
        <v>47</v>
      </c>
      <c r="D7" s="8" t="s">
        <v>47</v>
      </c>
      <c r="E7" s="8" t="s">
        <v>47</v>
      </c>
      <c r="F7" s="8" t="s">
        <v>47</v>
      </c>
      <c r="G7" s="8" t="s">
        <v>47</v>
      </c>
      <c r="H7" s="8" t="s">
        <v>46</v>
      </c>
      <c r="I7" s="8" t="s">
        <v>46</v>
      </c>
      <c r="J7" s="8" t="s">
        <v>48</v>
      </c>
      <c r="K7" s="8" t="s">
        <v>48</v>
      </c>
      <c r="L7" s="8" t="s">
        <v>48</v>
      </c>
      <c r="M7" s="8" t="s">
        <v>46</v>
      </c>
      <c r="N7" s="8" t="s">
        <v>47</v>
      </c>
      <c r="O7" s="8" t="s">
        <v>47</v>
      </c>
      <c r="P7" s="8" t="s">
        <v>48</v>
      </c>
      <c r="Q7" s="8" t="s">
        <v>48</v>
      </c>
      <c r="R7" s="8" t="s">
        <v>48</v>
      </c>
      <c r="S7" s="8" t="s">
        <v>45</v>
      </c>
      <c r="T7" s="8" t="s">
        <v>45</v>
      </c>
      <c r="U7" s="8" t="s">
        <v>45</v>
      </c>
      <c r="V7" s="8" t="s">
        <v>46</v>
      </c>
      <c r="W7" s="8" t="s">
        <v>46</v>
      </c>
      <c r="X7" s="8" t="s">
        <v>46</v>
      </c>
      <c r="Y7" s="8" t="s">
        <v>47</v>
      </c>
      <c r="Z7" s="8" t="s">
        <v>46</v>
      </c>
      <c r="AA7" s="8" t="s">
        <v>48</v>
      </c>
      <c r="AB7" s="8" t="s">
        <v>47</v>
      </c>
      <c r="AC7" s="8" t="s">
        <v>47</v>
      </c>
      <c r="AD7" s="8" t="s">
        <v>47</v>
      </c>
      <c r="AE7" s="8" t="s">
        <v>46</v>
      </c>
    </row>
    <row r="8" customFormat="false" ht="15" hidden="false" customHeight="false" outlineLevel="0" collapsed="false">
      <c r="A8" s="7" t="s">
        <v>54</v>
      </c>
      <c r="B8" s="8" t="s">
        <v>47</v>
      </c>
      <c r="C8" s="8" t="s">
        <v>47</v>
      </c>
      <c r="D8" s="8" t="s">
        <v>46</v>
      </c>
      <c r="E8" s="8" t="s">
        <v>47</v>
      </c>
      <c r="F8" s="8" t="s">
        <v>45</v>
      </c>
      <c r="G8" s="8" t="s">
        <v>46</v>
      </c>
      <c r="H8" s="8" t="s">
        <v>46</v>
      </c>
      <c r="I8" s="8" t="s">
        <v>45</v>
      </c>
      <c r="J8" s="8" t="s">
        <v>48</v>
      </c>
      <c r="K8" s="8" t="s">
        <v>46</v>
      </c>
      <c r="L8" s="8" t="s">
        <v>47</v>
      </c>
      <c r="M8" s="8" t="s">
        <v>46</v>
      </c>
      <c r="N8" s="8" t="s">
        <v>48</v>
      </c>
      <c r="O8" s="8" t="s">
        <v>45</v>
      </c>
      <c r="P8" s="8" t="s">
        <v>48</v>
      </c>
      <c r="Q8" s="8" t="s">
        <v>45</v>
      </c>
      <c r="R8" s="8" t="s">
        <v>48</v>
      </c>
      <c r="S8" s="8" t="s">
        <v>45</v>
      </c>
      <c r="T8" s="8" t="s">
        <v>47</v>
      </c>
      <c r="U8" s="8" t="s">
        <v>46</v>
      </c>
      <c r="V8" s="8" t="s">
        <v>46</v>
      </c>
      <c r="W8" s="8" t="s">
        <v>45</v>
      </c>
      <c r="X8" s="8" t="s">
        <v>46</v>
      </c>
      <c r="Y8" s="8" t="s">
        <v>48</v>
      </c>
      <c r="Z8" s="8" t="s">
        <v>46</v>
      </c>
      <c r="AA8" s="8" t="s">
        <v>46</v>
      </c>
      <c r="AB8" s="8" t="s">
        <v>46</v>
      </c>
      <c r="AC8" s="8" t="s">
        <v>46</v>
      </c>
      <c r="AD8" s="8" t="s">
        <v>46</v>
      </c>
      <c r="AE8" s="8" t="s">
        <v>46</v>
      </c>
    </row>
    <row r="9" customFormat="false" ht="15" hidden="false" customHeight="false" outlineLevel="0" collapsed="false">
      <c r="A9" s="7" t="s">
        <v>55</v>
      </c>
      <c r="B9" s="8" t="s">
        <v>46</v>
      </c>
      <c r="C9" s="8" t="s">
        <v>48</v>
      </c>
      <c r="D9" s="8" t="s">
        <v>48</v>
      </c>
      <c r="E9" s="8" t="s">
        <v>47</v>
      </c>
      <c r="F9" s="8" t="s">
        <v>45</v>
      </c>
      <c r="G9" s="8" t="s">
        <v>45</v>
      </c>
      <c r="H9" s="8" t="s">
        <v>47</v>
      </c>
      <c r="I9" s="8" t="s">
        <v>46</v>
      </c>
      <c r="J9" s="8" t="s">
        <v>48</v>
      </c>
      <c r="K9" s="8" t="s">
        <v>47</v>
      </c>
      <c r="L9" s="8" t="s">
        <v>48</v>
      </c>
      <c r="M9" s="8" t="s">
        <v>46</v>
      </c>
      <c r="N9" s="8" t="s">
        <v>47</v>
      </c>
      <c r="O9" s="8" t="s">
        <v>45</v>
      </c>
      <c r="P9" s="8" t="s">
        <v>46</v>
      </c>
      <c r="Q9" s="8" t="s">
        <v>48</v>
      </c>
      <c r="R9" s="8" t="s">
        <v>48</v>
      </c>
      <c r="S9" s="8" t="s">
        <v>46</v>
      </c>
      <c r="T9" s="8" t="s">
        <v>46</v>
      </c>
      <c r="U9" s="8" t="s">
        <v>46</v>
      </c>
      <c r="V9" s="8" t="s">
        <v>45</v>
      </c>
      <c r="W9" s="8" t="s">
        <v>48</v>
      </c>
      <c r="X9" s="8" t="s">
        <v>46</v>
      </c>
      <c r="Y9" s="8" t="s">
        <v>48</v>
      </c>
      <c r="Z9" s="8" t="s">
        <v>45</v>
      </c>
      <c r="AA9" s="8" t="s">
        <v>47</v>
      </c>
      <c r="AB9" s="8" t="s">
        <v>47</v>
      </c>
      <c r="AC9" s="8" t="s">
        <v>47</v>
      </c>
      <c r="AD9" s="8" t="s">
        <v>47</v>
      </c>
      <c r="AE9" s="8" t="s">
        <v>46</v>
      </c>
    </row>
    <row r="10" customFormat="false" ht="15" hidden="false" customHeight="false" outlineLevel="0" collapsed="false">
      <c r="A10" s="7" t="s">
        <v>56</v>
      </c>
      <c r="B10" s="8" t="s">
        <v>46</v>
      </c>
      <c r="C10" s="8" t="s">
        <v>46</v>
      </c>
      <c r="D10" s="8" t="s">
        <v>45</v>
      </c>
      <c r="E10" s="8" t="s">
        <v>47</v>
      </c>
      <c r="F10" s="8" t="s">
        <v>45</v>
      </c>
      <c r="G10" s="8" t="s">
        <v>48</v>
      </c>
      <c r="H10" s="8" t="s">
        <v>46</v>
      </c>
      <c r="I10" s="8" t="s">
        <v>46</v>
      </c>
      <c r="J10" s="8" t="s">
        <v>48</v>
      </c>
      <c r="K10" s="8" t="s">
        <v>47</v>
      </c>
      <c r="L10" s="8" t="s">
        <v>47</v>
      </c>
      <c r="M10" s="8" t="s">
        <v>46</v>
      </c>
      <c r="N10" s="8" t="s">
        <v>48</v>
      </c>
      <c r="O10" s="8" t="s">
        <v>45</v>
      </c>
      <c r="P10" s="8" t="s">
        <v>46</v>
      </c>
      <c r="Q10" s="8" t="s">
        <v>48</v>
      </c>
      <c r="R10" s="8" t="s">
        <v>46</v>
      </c>
      <c r="S10" s="8" t="s">
        <v>47</v>
      </c>
      <c r="T10" s="8" t="s">
        <v>48</v>
      </c>
      <c r="U10" s="8" t="s">
        <v>45</v>
      </c>
      <c r="V10" s="8" t="s">
        <v>46</v>
      </c>
      <c r="W10" s="8" t="s">
        <v>46</v>
      </c>
      <c r="X10" s="8" t="s">
        <v>46</v>
      </c>
      <c r="Y10" s="8" t="s">
        <v>45</v>
      </c>
      <c r="Z10" s="8" t="s">
        <v>46</v>
      </c>
      <c r="AA10" s="8" t="s">
        <v>47</v>
      </c>
      <c r="AB10" s="8" t="s">
        <v>48</v>
      </c>
      <c r="AC10" s="8" t="s">
        <v>47</v>
      </c>
      <c r="AD10" s="8" t="s">
        <v>48</v>
      </c>
      <c r="AE10" s="8" t="s">
        <v>46</v>
      </c>
    </row>
    <row r="11" customFormat="false" ht="15" hidden="false" customHeight="false" outlineLevel="0" collapsed="false">
      <c r="A11" s="7" t="s">
        <v>57</v>
      </c>
      <c r="B11" s="8" t="s">
        <v>45</v>
      </c>
      <c r="C11" s="8" t="s">
        <v>48</v>
      </c>
      <c r="D11" s="8" t="s">
        <v>46</v>
      </c>
      <c r="E11" s="8" t="s">
        <v>47</v>
      </c>
      <c r="F11" s="8" t="s">
        <v>48</v>
      </c>
      <c r="G11" s="8" t="s">
        <v>48</v>
      </c>
      <c r="H11" s="8" t="s">
        <v>46</v>
      </c>
      <c r="I11" s="8" t="s">
        <v>47</v>
      </c>
      <c r="J11" s="8" t="s">
        <v>48</v>
      </c>
      <c r="K11" s="8" t="s">
        <v>48</v>
      </c>
      <c r="L11" s="8" t="s">
        <v>47</v>
      </c>
      <c r="M11" s="8" t="s">
        <v>46</v>
      </c>
      <c r="N11" s="8" t="s">
        <v>48</v>
      </c>
      <c r="O11" s="8" t="s">
        <v>47</v>
      </c>
      <c r="P11" s="8" t="s">
        <v>48</v>
      </c>
      <c r="Q11" s="8" t="s">
        <v>48</v>
      </c>
      <c r="R11" s="8" t="s">
        <v>48</v>
      </c>
      <c r="S11" s="8" t="s">
        <v>47</v>
      </c>
      <c r="T11" s="8" t="s">
        <v>47</v>
      </c>
      <c r="U11" s="8" t="s">
        <v>46</v>
      </c>
      <c r="V11" s="8" t="s">
        <v>46</v>
      </c>
      <c r="W11" s="8" t="s">
        <v>45</v>
      </c>
      <c r="X11" s="8" t="s">
        <v>46</v>
      </c>
      <c r="Y11" s="8" t="s">
        <v>48</v>
      </c>
      <c r="Z11" s="8" t="s">
        <v>48</v>
      </c>
      <c r="AA11" s="8" t="s">
        <v>45</v>
      </c>
      <c r="AB11" s="8" t="s">
        <v>47</v>
      </c>
      <c r="AC11" s="8" t="s">
        <v>48</v>
      </c>
      <c r="AD11" s="8" t="s">
        <v>48</v>
      </c>
      <c r="AE11" s="8" t="s">
        <v>45</v>
      </c>
    </row>
    <row r="12" customFormat="false" ht="15" hidden="false" customHeight="false" outlineLevel="0" collapsed="false">
      <c r="A12" s="7" t="s">
        <v>58</v>
      </c>
      <c r="B12" s="8" t="s">
        <v>46</v>
      </c>
      <c r="C12" s="8" t="s">
        <v>46</v>
      </c>
      <c r="D12" s="8" t="s">
        <v>46</v>
      </c>
      <c r="E12" s="8" t="s">
        <v>47</v>
      </c>
      <c r="F12" s="8" t="s">
        <v>47</v>
      </c>
      <c r="G12" s="8" t="s">
        <v>48</v>
      </c>
      <c r="H12" s="8" t="s">
        <v>46</v>
      </c>
      <c r="I12" s="8" t="s">
        <v>47</v>
      </c>
      <c r="J12" s="8" t="s">
        <v>48</v>
      </c>
      <c r="K12" s="8" t="s">
        <v>45</v>
      </c>
      <c r="L12" s="8" t="s">
        <v>46</v>
      </c>
      <c r="M12" s="8" t="s">
        <v>46</v>
      </c>
      <c r="N12" s="8" t="s">
        <v>46</v>
      </c>
      <c r="O12" s="8" t="s">
        <v>45</v>
      </c>
      <c r="P12" s="8" t="s">
        <v>48</v>
      </c>
      <c r="Q12" s="8" t="s">
        <v>48</v>
      </c>
      <c r="R12" s="8" t="s">
        <v>48</v>
      </c>
      <c r="S12" s="8" t="s">
        <v>48</v>
      </c>
      <c r="T12" s="8" t="s">
        <v>45</v>
      </c>
      <c r="U12" s="8" t="s">
        <v>46</v>
      </c>
      <c r="V12" s="8" t="s">
        <v>46</v>
      </c>
      <c r="W12" s="8" t="s">
        <v>45</v>
      </c>
      <c r="X12" s="8" t="s">
        <v>47</v>
      </c>
      <c r="Y12" s="8" t="s">
        <v>46</v>
      </c>
      <c r="Z12" s="8" t="s">
        <v>46</v>
      </c>
      <c r="AA12" s="8" t="s">
        <v>47</v>
      </c>
      <c r="AB12" s="8" t="s">
        <v>47</v>
      </c>
      <c r="AC12" s="8" t="s">
        <v>45</v>
      </c>
      <c r="AD12" s="8" t="s">
        <v>48</v>
      </c>
      <c r="AE12" s="8" t="s">
        <v>48</v>
      </c>
    </row>
    <row r="13" customFormat="false" ht="15" hidden="false" customHeight="false" outlineLevel="0" collapsed="false">
      <c r="A13" s="7" t="s">
        <v>59</v>
      </c>
      <c r="B13" s="8" t="s">
        <v>47</v>
      </c>
      <c r="C13" s="8" t="s">
        <v>47</v>
      </c>
      <c r="D13" s="8" t="s">
        <v>45</v>
      </c>
      <c r="E13" s="8" t="s">
        <v>47</v>
      </c>
      <c r="F13" s="8" t="s">
        <v>47</v>
      </c>
      <c r="G13" s="8" t="s">
        <v>47</v>
      </c>
      <c r="H13" s="8" t="s">
        <v>46</v>
      </c>
      <c r="I13" s="8" t="s">
        <v>46</v>
      </c>
      <c r="J13" s="8" t="s">
        <v>48</v>
      </c>
      <c r="K13" s="8" t="s">
        <v>47</v>
      </c>
      <c r="L13" s="8" t="s">
        <v>48</v>
      </c>
      <c r="M13" s="8" t="s">
        <v>46</v>
      </c>
      <c r="N13" s="8" t="s">
        <v>45</v>
      </c>
      <c r="O13" s="8" t="s">
        <v>45</v>
      </c>
      <c r="P13" s="8" t="s">
        <v>46</v>
      </c>
      <c r="Q13" s="8" t="s">
        <v>48</v>
      </c>
      <c r="R13" s="8" t="s">
        <v>48</v>
      </c>
      <c r="S13" s="8" t="s">
        <v>45</v>
      </c>
      <c r="T13" s="8" t="s">
        <v>45</v>
      </c>
      <c r="U13" s="8" t="s">
        <v>45</v>
      </c>
      <c r="V13" s="8" t="s">
        <v>46</v>
      </c>
      <c r="W13" s="8" t="s">
        <v>46</v>
      </c>
      <c r="X13" s="8" t="s">
        <v>46</v>
      </c>
      <c r="Y13" s="8" t="s">
        <v>47</v>
      </c>
      <c r="Z13" s="8" t="s">
        <v>47</v>
      </c>
      <c r="AA13" s="8" t="s">
        <v>47</v>
      </c>
      <c r="AB13" s="8" t="s">
        <v>47</v>
      </c>
      <c r="AC13" s="8" t="s">
        <v>45</v>
      </c>
      <c r="AD13" s="8" t="s">
        <v>45</v>
      </c>
      <c r="AE13" s="8" t="s">
        <v>46</v>
      </c>
    </row>
    <row r="14" customFormat="false" ht="15" hidden="false" customHeight="false" outlineLevel="0" collapsed="false">
      <c r="A14" s="7" t="s">
        <v>60</v>
      </c>
      <c r="B14" s="8" t="s">
        <v>45</v>
      </c>
      <c r="C14" s="8" t="s">
        <v>46</v>
      </c>
      <c r="D14" s="8" t="s">
        <v>48</v>
      </c>
      <c r="E14" s="8" t="s">
        <v>47</v>
      </c>
      <c r="F14" s="8" t="s">
        <v>46</v>
      </c>
      <c r="G14" s="8" t="s">
        <v>47</v>
      </c>
      <c r="H14" s="8" t="s">
        <v>46</v>
      </c>
      <c r="I14" s="8" t="s">
        <v>46</v>
      </c>
      <c r="J14" s="8" t="s">
        <v>48</v>
      </c>
      <c r="K14" s="8" t="s">
        <v>45</v>
      </c>
      <c r="L14" s="8" t="s">
        <v>48</v>
      </c>
      <c r="M14" s="8" t="s">
        <v>46</v>
      </c>
      <c r="N14" s="8" t="s">
        <v>47</v>
      </c>
      <c r="O14" s="8" t="s">
        <v>45</v>
      </c>
      <c r="P14" s="8" t="s">
        <v>48</v>
      </c>
      <c r="Q14" s="8" t="s">
        <v>48</v>
      </c>
      <c r="R14" s="8" t="s">
        <v>48</v>
      </c>
      <c r="S14" s="8" t="s">
        <v>46</v>
      </c>
      <c r="T14" s="8" t="s">
        <v>45</v>
      </c>
      <c r="U14" s="8" t="s">
        <v>45</v>
      </c>
      <c r="V14" s="8" t="s">
        <v>45</v>
      </c>
      <c r="W14" s="8" t="s">
        <v>46</v>
      </c>
      <c r="X14" s="8" t="s">
        <v>46</v>
      </c>
      <c r="Y14" s="8" t="s">
        <v>47</v>
      </c>
      <c r="Z14" s="8" t="s">
        <v>46</v>
      </c>
      <c r="AA14" s="8" t="s">
        <v>47</v>
      </c>
      <c r="AB14" s="8" t="s">
        <v>47</v>
      </c>
      <c r="AC14" s="8" t="s">
        <v>47</v>
      </c>
      <c r="AD14" s="8" t="s">
        <v>47</v>
      </c>
      <c r="AE14" s="8" t="s">
        <v>46</v>
      </c>
    </row>
    <row r="15" customFormat="false" ht="15" hidden="false" customHeight="false" outlineLevel="0" collapsed="false">
      <c r="A15" s="7" t="s">
        <v>61</v>
      </c>
      <c r="B15" s="8" t="s">
        <v>45</v>
      </c>
      <c r="C15" s="8" t="s">
        <v>46</v>
      </c>
      <c r="D15" s="8" t="s">
        <v>48</v>
      </c>
      <c r="E15" s="8" t="s">
        <v>45</v>
      </c>
      <c r="F15" s="8" t="s">
        <v>47</v>
      </c>
      <c r="G15" s="8" t="s">
        <v>47</v>
      </c>
      <c r="H15" s="8" t="s">
        <v>46</v>
      </c>
      <c r="I15" s="8" t="s">
        <v>46</v>
      </c>
      <c r="J15" s="8" t="s">
        <v>48</v>
      </c>
      <c r="K15" s="8" t="s">
        <v>46</v>
      </c>
      <c r="L15" s="8" t="s">
        <v>48</v>
      </c>
      <c r="M15" s="8" t="s">
        <v>46</v>
      </c>
      <c r="N15" s="8" t="s">
        <v>48</v>
      </c>
      <c r="O15" s="8" t="s">
        <v>46</v>
      </c>
      <c r="P15" s="8" t="s">
        <v>45</v>
      </c>
      <c r="Q15" s="8" t="s">
        <v>48</v>
      </c>
      <c r="R15" s="8" t="s">
        <v>48</v>
      </c>
      <c r="S15" s="8" t="s">
        <v>45</v>
      </c>
      <c r="T15" s="8" t="s">
        <v>46</v>
      </c>
      <c r="U15" s="8" t="s">
        <v>47</v>
      </c>
      <c r="V15" s="8" t="s">
        <v>46</v>
      </c>
      <c r="W15" s="8" t="s">
        <v>46</v>
      </c>
      <c r="X15" s="8" t="s">
        <v>47</v>
      </c>
      <c r="Y15" s="8" t="s">
        <v>48</v>
      </c>
      <c r="Z15" s="8" t="s">
        <v>46</v>
      </c>
      <c r="AA15" s="8" t="s">
        <v>48</v>
      </c>
      <c r="AB15" s="8" t="s">
        <v>47</v>
      </c>
      <c r="AC15" s="8" t="s">
        <v>47</v>
      </c>
      <c r="AD15" s="8" t="s">
        <v>45</v>
      </c>
      <c r="AE15" s="8" t="s">
        <v>46</v>
      </c>
    </row>
    <row r="16" customFormat="false" ht="15" hidden="false" customHeight="false" outlineLevel="0" collapsed="false">
      <c r="A16" s="7" t="s">
        <v>62</v>
      </c>
      <c r="B16" s="8" t="s">
        <v>48</v>
      </c>
      <c r="C16" s="8" t="s">
        <v>47</v>
      </c>
      <c r="D16" s="8" t="s">
        <v>47</v>
      </c>
      <c r="E16" s="8" t="s">
        <v>47</v>
      </c>
      <c r="F16" s="8" t="s">
        <v>46</v>
      </c>
      <c r="G16" s="8" t="s">
        <v>46</v>
      </c>
      <c r="H16" s="8" t="s">
        <v>46</v>
      </c>
      <c r="I16" s="8" t="s">
        <v>45</v>
      </c>
      <c r="J16" s="8" t="s">
        <v>48</v>
      </c>
      <c r="K16" s="8" t="s">
        <v>48</v>
      </c>
      <c r="L16" s="8" t="s">
        <v>48</v>
      </c>
      <c r="M16" s="8" t="s">
        <v>46</v>
      </c>
      <c r="N16" s="8" t="s">
        <v>47</v>
      </c>
      <c r="O16" s="8" t="s">
        <v>47</v>
      </c>
      <c r="P16" s="8" t="s">
        <v>46</v>
      </c>
      <c r="Q16" s="8" t="s">
        <v>48</v>
      </c>
      <c r="R16" s="8" t="s">
        <v>48</v>
      </c>
      <c r="S16" s="8" t="s">
        <v>47</v>
      </c>
      <c r="T16" s="8" t="s">
        <v>45</v>
      </c>
      <c r="U16" s="8" t="s">
        <v>45</v>
      </c>
      <c r="V16" s="8" t="s">
        <v>45</v>
      </c>
      <c r="W16" s="8" t="s">
        <v>47</v>
      </c>
      <c r="X16" s="8" t="s">
        <v>48</v>
      </c>
      <c r="Y16" s="8" t="s">
        <v>47</v>
      </c>
      <c r="Z16" s="8" t="s">
        <v>47</v>
      </c>
      <c r="AA16" s="8" t="s">
        <v>46</v>
      </c>
      <c r="AB16" s="8" t="s">
        <v>45</v>
      </c>
      <c r="AC16" s="8" t="s">
        <v>45</v>
      </c>
      <c r="AD16" s="8" t="s">
        <v>46</v>
      </c>
      <c r="AE16" s="8" t="s">
        <v>45</v>
      </c>
    </row>
    <row r="17" customFormat="false" ht="15" hidden="false" customHeight="false" outlineLevel="0" collapsed="false">
      <c r="A17" s="7" t="s">
        <v>63</v>
      </c>
      <c r="B17" s="8" t="s">
        <v>48</v>
      </c>
      <c r="C17" s="8" t="s">
        <v>48</v>
      </c>
      <c r="D17" s="8" t="s">
        <v>46</v>
      </c>
      <c r="E17" s="8" t="s">
        <v>47</v>
      </c>
      <c r="F17" s="8" t="s">
        <v>47</v>
      </c>
      <c r="G17" s="8" t="s">
        <v>45</v>
      </c>
      <c r="H17" s="8" t="s">
        <v>46</v>
      </c>
      <c r="I17" s="8" t="s">
        <v>46</v>
      </c>
      <c r="J17" s="8" t="s">
        <v>48</v>
      </c>
      <c r="K17" s="8" t="s">
        <v>45</v>
      </c>
      <c r="L17" s="8" t="s">
        <v>48</v>
      </c>
      <c r="M17" s="8" t="s">
        <v>46</v>
      </c>
      <c r="N17" s="8" t="s">
        <v>47</v>
      </c>
      <c r="O17" s="8" t="s">
        <v>47</v>
      </c>
      <c r="P17" s="8" t="s">
        <v>46</v>
      </c>
      <c r="Q17" s="8" t="s">
        <v>48</v>
      </c>
      <c r="R17" s="8" t="s">
        <v>48</v>
      </c>
      <c r="S17" s="8" t="s">
        <v>48</v>
      </c>
      <c r="T17" s="8" t="s">
        <v>47</v>
      </c>
      <c r="U17" s="8" t="s">
        <v>47</v>
      </c>
      <c r="V17" s="8" t="s">
        <v>48</v>
      </c>
      <c r="W17" s="8" t="s">
        <v>46</v>
      </c>
      <c r="X17" s="8" t="s">
        <v>46</v>
      </c>
      <c r="Y17" s="8" t="s">
        <v>48</v>
      </c>
      <c r="Z17" s="8" t="s">
        <v>46</v>
      </c>
      <c r="AA17" s="8" t="s">
        <v>46</v>
      </c>
      <c r="AB17" s="8" t="s">
        <v>46</v>
      </c>
      <c r="AC17" s="8" t="s">
        <v>47</v>
      </c>
      <c r="AD17" s="8" t="s">
        <v>46</v>
      </c>
      <c r="AE17" s="8" t="s">
        <v>46</v>
      </c>
    </row>
    <row r="18" customFormat="false" ht="15" hidden="false" customHeight="false" outlineLevel="0" collapsed="false">
      <c r="A18" s="7" t="s">
        <v>64</v>
      </c>
      <c r="B18" s="8" t="s">
        <v>48</v>
      </c>
      <c r="C18" s="8" t="s">
        <v>48</v>
      </c>
      <c r="D18" s="8" t="s">
        <v>46</v>
      </c>
      <c r="E18" s="8" t="s">
        <v>45</v>
      </c>
      <c r="F18" s="8" t="s">
        <v>46</v>
      </c>
      <c r="G18" s="8" t="s">
        <v>45</v>
      </c>
      <c r="H18" s="8" t="s">
        <v>45</v>
      </c>
      <c r="I18" s="8" t="s">
        <v>48</v>
      </c>
      <c r="J18" s="8" t="s">
        <v>48</v>
      </c>
      <c r="K18" s="8" t="s">
        <v>47</v>
      </c>
      <c r="L18" s="8" t="s">
        <v>46</v>
      </c>
      <c r="M18" s="8" t="s">
        <v>46</v>
      </c>
      <c r="N18" s="8" t="s">
        <v>46</v>
      </c>
      <c r="O18" s="8" t="s">
        <v>45</v>
      </c>
      <c r="P18" s="8" t="s">
        <v>48</v>
      </c>
      <c r="Q18" s="8" t="s">
        <v>48</v>
      </c>
      <c r="R18" s="8" t="s">
        <v>48</v>
      </c>
      <c r="S18" s="8" t="s">
        <v>47</v>
      </c>
      <c r="T18" s="8" t="s">
        <v>47</v>
      </c>
      <c r="U18" s="8" t="s">
        <v>46</v>
      </c>
      <c r="V18" s="8" t="s">
        <v>46</v>
      </c>
      <c r="W18" s="8" t="s">
        <v>46</v>
      </c>
      <c r="X18" s="8" t="s">
        <v>48</v>
      </c>
      <c r="Y18" s="8" t="s">
        <v>46</v>
      </c>
      <c r="Z18" s="8" t="s">
        <v>45</v>
      </c>
      <c r="AA18" s="8" t="s">
        <v>48</v>
      </c>
      <c r="AB18" s="8" t="s">
        <v>47</v>
      </c>
      <c r="AC18" s="8" t="s">
        <v>47</v>
      </c>
      <c r="AD18" s="8" t="s">
        <v>48</v>
      </c>
      <c r="AE18" s="8" t="s">
        <v>47</v>
      </c>
    </row>
    <row r="19" customFormat="false" ht="15" hidden="false" customHeight="false" outlineLevel="0" collapsed="false">
      <c r="A19" s="7" t="s">
        <v>65</v>
      </c>
      <c r="B19" s="8" t="s">
        <v>47</v>
      </c>
      <c r="C19" s="8" t="s">
        <v>47</v>
      </c>
      <c r="D19" s="8" t="s">
        <v>47</v>
      </c>
      <c r="E19" s="8" t="s">
        <v>47</v>
      </c>
      <c r="F19" s="8" t="s">
        <v>46</v>
      </c>
      <c r="G19" s="8" t="s">
        <v>48</v>
      </c>
      <c r="H19" s="8" t="s">
        <v>47</v>
      </c>
      <c r="I19" s="8" t="s">
        <v>46</v>
      </c>
      <c r="J19" s="8" t="s">
        <v>48</v>
      </c>
      <c r="K19" s="8" t="s">
        <v>46</v>
      </c>
      <c r="L19" s="8" t="s">
        <v>47</v>
      </c>
      <c r="M19" s="8" t="s">
        <v>46</v>
      </c>
      <c r="N19" s="8" t="s">
        <v>46</v>
      </c>
      <c r="O19" s="8" t="s">
        <v>47</v>
      </c>
      <c r="P19" s="8" t="s">
        <v>48</v>
      </c>
      <c r="Q19" s="8" t="s">
        <v>48</v>
      </c>
      <c r="R19" s="8" t="s">
        <v>48</v>
      </c>
      <c r="S19" s="8" t="s">
        <v>46</v>
      </c>
      <c r="T19" s="8" t="s">
        <v>45</v>
      </c>
      <c r="U19" s="8" t="s">
        <v>48</v>
      </c>
      <c r="V19" s="8" t="s">
        <v>45</v>
      </c>
      <c r="W19" s="8" t="s">
        <v>47</v>
      </c>
      <c r="X19" s="8" t="s">
        <v>48</v>
      </c>
      <c r="Y19" s="8" t="s">
        <v>46</v>
      </c>
      <c r="Z19" s="8" t="s">
        <v>46</v>
      </c>
      <c r="AA19" s="8" t="s">
        <v>47</v>
      </c>
      <c r="AB19" s="8" t="s">
        <v>47</v>
      </c>
      <c r="AC19" s="8" t="s">
        <v>47</v>
      </c>
      <c r="AD19" s="8" t="s">
        <v>47</v>
      </c>
      <c r="AE19" s="8" t="s">
        <v>46</v>
      </c>
    </row>
    <row r="20" customFormat="false" ht="15" hidden="false" customHeight="false" outlineLevel="0" collapsed="false">
      <c r="A20" s="7" t="s">
        <v>66</v>
      </c>
      <c r="B20" s="8" t="s">
        <v>48</v>
      </c>
      <c r="C20" s="8" t="s">
        <v>46</v>
      </c>
      <c r="D20" s="8" t="s">
        <v>45</v>
      </c>
      <c r="E20" s="8" t="s">
        <v>47</v>
      </c>
      <c r="F20" s="8" t="s">
        <v>47</v>
      </c>
      <c r="G20" s="8" t="s">
        <v>48</v>
      </c>
      <c r="H20" s="8" t="s">
        <v>46</v>
      </c>
      <c r="I20" s="8" t="s">
        <v>46</v>
      </c>
      <c r="J20" s="8" t="s">
        <v>48</v>
      </c>
      <c r="K20" s="8" t="s">
        <v>48</v>
      </c>
      <c r="L20" s="8" t="s">
        <v>48</v>
      </c>
      <c r="M20" s="8" t="s">
        <v>46</v>
      </c>
      <c r="N20" s="8" t="s">
        <v>47</v>
      </c>
      <c r="O20" s="8" t="s">
        <v>45</v>
      </c>
      <c r="P20" s="8" t="s">
        <v>48</v>
      </c>
      <c r="Q20" s="8" t="s">
        <v>48</v>
      </c>
      <c r="R20" s="8" t="s">
        <v>48</v>
      </c>
      <c r="S20" s="8" t="s">
        <v>45</v>
      </c>
      <c r="T20" s="8" t="s">
        <v>45</v>
      </c>
      <c r="U20" s="8" t="s">
        <v>45</v>
      </c>
      <c r="V20" s="8" t="s">
        <v>46</v>
      </c>
      <c r="W20" s="8" t="s">
        <v>48</v>
      </c>
      <c r="X20" s="8" t="s">
        <v>46</v>
      </c>
      <c r="Y20" s="8" t="s">
        <v>47</v>
      </c>
      <c r="Z20" s="8" t="s">
        <v>46</v>
      </c>
      <c r="AA20" s="8" t="s">
        <v>47</v>
      </c>
      <c r="AB20" s="8" t="s">
        <v>47</v>
      </c>
      <c r="AC20" s="8" t="s">
        <v>46</v>
      </c>
      <c r="AD20" s="8" t="s">
        <v>46</v>
      </c>
      <c r="AE20" s="8" t="s">
        <v>46</v>
      </c>
    </row>
    <row r="21" customFormat="false" ht="15" hidden="false" customHeight="false" outlineLevel="0" collapsed="false">
      <c r="A21" s="7" t="s">
        <v>67</v>
      </c>
      <c r="B21" s="8" t="s">
        <v>46</v>
      </c>
      <c r="C21" s="8" t="s">
        <v>48</v>
      </c>
      <c r="D21" s="8" t="s">
        <v>45</v>
      </c>
      <c r="E21" s="8" t="s">
        <v>47</v>
      </c>
      <c r="F21" s="8" t="s">
        <v>46</v>
      </c>
      <c r="G21" s="8" t="s">
        <v>46</v>
      </c>
      <c r="H21" s="8" t="s">
        <v>46</v>
      </c>
      <c r="I21" s="8" t="s">
        <v>46</v>
      </c>
      <c r="J21" s="8" t="s">
        <v>48</v>
      </c>
      <c r="K21" s="8" t="s">
        <v>46</v>
      </c>
      <c r="L21" s="8" t="s">
        <v>47</v>
      </c>
      <c r="M21" s="8" t="s">
        <v>46</v>
      </c>
      <c r="N21" s="8" t="s">
        <v>48</v>
      </c>
      <c r="O21" s="8" t="s">
        <v>47</v>
      </c>
      <c r="P21" s="8" t="s">
        <v>48</v>
      </c>
      <c r="Q21" s="8" t="s">
        <v>48</v>
      </c>
      <c r="R21" s="8" t="s">
        <v>48</v>
      </c>
      <c r="S21" s="8" t="s">
        <v>48</v>
      </c>
      <c r="T21" s="8" t="s">
        <v>45</v>
      </c>
      <c r="U21" s="8" t="s">
        <v>47</v>
      </c>
      <c r="V21" s="8" t="s">
        <v>46</v>
      </c>
      <c r="W21" s="8" t="s">
        <v>48</v>
      </c>
      <c r="X21" s="8" t="s">
        <v>47</v>
      </c>
      <c r="Y21" s="8" t="s">
        <v>48</v>
      </c>
      <c r="Z21" s="8" t="s">
        <v>46</v>
      </c>
      <c r="AA21" s="8" t="s">
        <v>45</v>
      </c>
      <c r="AB21" s="8" t="s">
        <v>46</v>
      </c>
      <c r="AC21" s="8" t="s">
        <v>46</v>
      </c>
      <c r="AD21" s="8" t="s">
        <v>45</v>
      </c>
      <c r="AE21" s="8" t="s">
        <v>47</v>
      </c>
    </row>
    <row r="22" customFormat="false" ht="15" hidden="false" customHeight="false" outlineLevel="0" collapsed="false">
      <c r="A22" s="7" t="s">
        <v>68</v>
      </c>
      <c r="B22" s="8" t="s">
        <v>45</v>
      </c>
      <c r="C22" s="8" t="s">
        <v>46</v>
      </c>
      <c r="D22" s="8" t="s">
        <v>45</v>
      </c>
      <c r="E22" s="8" t="s">
        <v>48</v>
      </c>
      <c r="F22" s="8" t="s">
        <v>48</v>
      </c>
      <c r="G22" s="8" t="s">
        <v>48</v>
      </c>
      <c r="H22" s="8" t="s">
        <v>47</v>
      </c>
      <c r="I22" s="8" t="s">
        <v>47</v>
      </c>
      <c r="J22" s="8" t="s">
        <v>48</v>
      </c>
      <c r="K22" s="8" t="s">
        <v>48</v>
      </c>
      <c r="L22" s="8" t="s">
        <v>46</v>
      </c>
      <c r="M22" s="8" t="s">
        <v>46</v>
      </c>
      <c r="N22" s="8" t="s">
        <v>48</v>
      </c>
      <c r="O22" s="8" t="s">
        <v>46</v>
      </c>
      <c r="P22" s="8" t="s">
        <v>46</v>
      </c>
      <c r="Q22" s="8" t="s">
        <v>48</v>
      </c>
      <c r="R22" s="8" t="s">
        <v>48</v>
      </c>
      <c r="S22" s="8" t="s">
        <v>46</v>
      </c>
      <c r="T22" s="8" t="s">
        <v>45</v>
      </c>
      <c r="U22" s="8" t="s">
        <v>45</v>
      </c>
      <c r="V22" s="8" t="s">
        <v>47</v>
      </c>
      <c r="W22" s="8" t="s">
        <v>48</v>
      </c>
      <c r="X22" s="8" t="s">
        <v>47</v>
      </c>
      <c r="Y22" s="8" t="s">
        <v>48</v>
      </c>
      <c r="Z22" s="8" t="s">
        <v>45</v>
      </c>
      <c r="AA22" s="8" t="s">
        <v>48</v>
      </c>
      <c r="AB22" s="8" t="s">
        <v>46</v>
      </c>
      <c r="AC22" s="8" t="s">
        <v>46</v>
      </c>
      <c r="AD22" s="8" t="s">
        <v>47</v>
      </c>
      <c r="AE22" s="8" t="s">
        <v>45</v>
      </c>
    </row>
    <row r="23" customFormat="false" ht="15" hidden="false" customHeight="false" outlineLevel="0" collapsed="false">
      <c r="A23" s="7" t="s">
        <v>69</v>
      </c>
      <c r="B23" s="8" t="s">
        <v>46</v>
      </c>
      <c r="C23" s="8" t="s">
        <v>46</v>
      </c>
      <c r="D23" s="8" t="s">
        <v>48</v>
      </c>
      <c r="E23" s="8" t="s">
        <v>48</v>
      </c>
      <c r="F23" s="8" t="s">
        <v>47</v>
      </c>
      <c r="G23" s="8" t="s">
        <v>46</v>
      </c>
      <c r="H23" s="8" t="s">
        <v>47</v>
      </c>
      <c r="I23" s="8" t="s">
        <v>46</v>
      </c>
      <c r="J23" s="8" t="s">
        <v>48</v>
      </c>
      <c r="K23" s="8" t="s">
        <v>48</v>
      </c>
      <c r="L23" s="8" t="s">
        <v>47</v>
      </c>
      <c r="M23" s="8" t="s">
        <v>46</v>
      </c>
      <c r="N23" s="8" t="s">
        <v>47</v>
      </c>
      <c r="O23" s="8" t="s">
        <v>47</v>
      </c>
      <c r="P23" s="8" t="s">
        <v>48</v>
      </c>
      <c r="Q23" s="8" t="s">
        <v>47</v>
      </c>
      <c r="R23" s="8" t="s">
        <v>48</v>
      </c>
      <c r="S23" s="8" t="s">
        <v>46</v>
      </c>
      <c r="T23" s="8" t="s">
        <v>48</v>
      </c>
      <c r="U23" s="8" t="s">
        <v>46</v>
      </c>
      <c r="V23" s="8" t="s">
        <v>46</v>
      </c>
      <c r="W23" s="8" t="s">
        <v>47</v>
      </c>
      <c r="X23" s="8" t="s">
        <v>48</v>
      </c>
      <c r="Y23" s="8" t="s">
        <v>46</v>
      </c>
      <c r="Z23" s="8" t="s">
        <v>48</v>
      </c>
      <c r="AA23" s="8" t="s">
        <v>48</v>
      </c>
      <c r="AB23" s="8" t="s">
        <v>46</v>
      </c>
      <c r="AC23" s="8" t="s">
        <v>46</v>
      </c>
      <c r="AD23" s="8" t="s">
        <v>48</v>
      </c>
      <c r="AE23" s="8" t="s">
        <v>45</v>
      </c>
    </row>
    <row r="24" customFormat="false" ht="15" hidden="false" customHeight="false" outlineLevel="0" collapsed="false">
      <c r="A24" s="7" t="s">
        <v>70</v>
      </c>
      <c r="B24" s="8" t="s">
        <v>47</v>
      </c>
      <c r="C24" s="8" t="s">
        <v>47</v>
      </c>
      <c r="D24" s="8" t="s">
        <v>46</v>
      </c>
      <c r="E24" s="8" t="s">
        <v>47</v>
      </c>
      <c r="F24" s="8" t="s">
        <v>47</v>
      </c>
      <c r="G24" s="8" t="s">
        <v>45</v>
      </c>
      <c r="H24" s="8" t="s">
        <v>46</v>
      </c>
      <c r="I24" s="8" t="s">
        <v>46</v>
      </c>
      <c r="J24" s="8" t="s">
        <v>48</v>
      </c>
      <c r="K24" s="8" t="s">
        <v>45</v>
      </c>
      <c r="L24" s="8" t="s">
        <v>48</v>
      </c>
      <c r="M24" s="8" t="s">
        <v>46</v>
      </c>
      <c r="N24" s="8" t="s">
        <v>47</v>
      </c>
      <c r="O24" s="8" t="s">
        <v>45</v>
      </c>
      <c r="P24" s="8" t="s">
        <v>46</v>
      </c>
      <c r="Q24" s="8" t="s">
        <v>48</v>
      </c>
      <c r="R24" s="8" t="s">
        <v>48</v>
      </c>
      <c r="S24" s="8" t="s">
        <v>45</v>
      </c>
      <c r="T24" s="8" t="s">
        <v>45</v>
      </c>
      <c r="U24" s="8" t="s">
        <v>47</v>
      </c>
      <c r="V24" s="8" t="s">
        <v>46</v>
      </c>
      <c r="W24" s="8" t="s">
        <v>46</v>
      </c>
      <c r="X24" s="8" t="s">
        <v>46</v>
      </c>
      <c r="Y24" s="8" t="s">
        <v>46</v>
      </c>
      <c r="Z24" s="8" t="s">
        <v>47</v>
      </c>
      <c r="AA24" s="8" t="s">
        <v>47</v>
      </c>
      <c r="AB24" s="8" t="s">
        <v>46</v>
      </c>
      <c r="AC24" s="8" t="s">
        <v>47</v>
      </c>
      <c r="AD24" s="8" t="s">
        <v>46</v>
      </c>
      <c r="AE24" s="8" t="s">
        <v>46</v>
      </c>
    </row>
    <row r="25" customFormat="false" ht="15" hidden="false" customHeight="false" outlineLevel="0" collapsed="false">
      <c r="A25" s="7" t="s">
        <v>71</v>
      </c>
      <c r="B25" s="8" t="s">
        <v>48</v>
      </c>
      <c r="C25" s="8" t="s">
        <v>48</v>
      </c>
      <c r="D25" s="8" t="s">
        <v>47</v>
      </c>
      <c r="E25" s="8" t="s">
        <v>47</v>
      </c>
      <c r="F25" s="8" t="s">
        <v>48</v>
      </c>
      <c r="G25" s="8" t="s">
        <v>47</v>
      </c>
      <c r="H25" s="8" t="s">
        <v>46</v>
      </c>
      <c r="I25" s="8" t="s">
        <v>47</v>
      </c>
      <c r="J25" s="8" t="s">
        <v>48</v>
      </c>
      <c r="K25" s="8" t="s">
        <v>46</v>
      </c>
      <c r="L25" s="8" t="s">
        <v>48</v>
      </c>
      <c r="M25" s="8" t="s">
        <v>46</v>
      </c>
      <c r="N25" s="8" t="s">
        <v>48</v>
      </c>
      <c r="O25" s="8" t="s">
        <v>46</v>
      </c>
      <c r="P25" s="8" t="s">
        <v>48</v>
      </c>
      <c r="Q25" s="8" t="s">
        <v>48</v>
      </c>
      <c r="R25" s="8" t="s">
        <v>48</v>
      </c>
      <c r="S25" s="8" t="s">
        <v>47</v>
      </c>
      <c r="T25" s="8" t="s">
        <v>45</v>
      </c>
      <c r="U25" s="8" t="s">
        <v>47</v>
      </c>
      <c r="V25" s="8" t="s">
        <v>48</v>
      </c>
      <c r="W25" s="8" t="s">
        <v>47</v>
      </c>
      <c r="X25" s="8" t="s">
        <v>46</v>
      </c>
      <c r="Y25" s="8" t="s">
        <v>46</v>
      </c>
      <c r="Z25" s="8" t="s">
        <v>45</v>
      </c>
      <c r="AA25" s="8" t="s">
        <v>47</v>
      </c>
      <c r="AB25" s="8" t="s">
        <v>47</v>
      </c>
      <c r="AC25" s="8" t="s">
        <v>45</v>
      </c>
      <c r="AD25" s="8" t="s">
        <v>46</v>
      </c>
      <c r="AE25" s="8" t="s">
        <v>46</v>
      </c>
    </row>
    <row r="26" customFormat="false" ht="15" hidden="false" customHeight="false" outlineLevel="0" collapsed="false">
      <c r="A26" s="7" t="s">
        <v>72</v>
      </c>
      <c r="B26" s="8" t="s">
        <v>48</v>
      </c>
      <c r="C26" s="8" t="s">
        <v>45</v>
      </c>
      <c r="D26" s="8" t="s">
        <v>45</v>
      </c>
      <c r="E26" s="8" t="s">
        <v>47</v>
      </c>
      <c r="F26" s="8" t="s">
        <v>48</v>
      </c>
      <c r="G26" s="8" t="s">
        <v>48</v>
      </c>
      <c r="H26" s="8" t="s">
        <v>46</v>
      </c>
      <c r="I26" s="8" t="s">
        <v>48</v>
      </c>
      <c r="J26" s="8" t="s">
        <v>47</v>
      </c>
      <c r="K26" s="8" t="s">
        <v>46</v>
      </c>
      <c r="L26" s="8" t="s">
        <v>47</v>
      </c>
      <c r="M26" s="8" t="s">
        <v>46</v>
      </c>
      <c r="N26" s="8" t="s">
        <v>46</v>
      </c>
      <c r="O26" s="8" t="s">
        <v>45</v>
      </c>
      <c r="P26" s="8" t="s">
        <v>46</v>
      </c>
      <c r="Q26" s="8" t="s">
        <v>47</v>
      </c>
      <c r="R26" s="8" t="s">
        <v>48</v>
      </c>
      <c r="S26" s="8" t="s">
        <v>47</v>
      </c>
      <c r="T26" s="8" t="s">
        <v>45</v>
      </c>
      <c r="U26" s="8" t="s">
        <v>45</v>
      </c>
      <c r="V26" s="8" t="s">
        <v>48</v>
      </c>
      <c r="W26" s="8" t="s">
        <v>48</v>
      </c>
      <c r="X26" s="8" t="s">
        <v>46</v>
      </c>
      <c r="Y26" s="8" t="s">
        <v>47</v>
      </c>
      <c r="Z26" s="8" t="s">
        <v>46</v>
      </c>
      <c r="AA26" s="8" t="s">
        <v>47</v>
      </c>
      <c r="AB26" s="8" t="s">
        <v>46</v>
      </c>
      <c r="AC26" s="8" t="s">
        <v>45</v>
      </c>
      <c r="AD26" s="8" t="s">
        <v>48</v>
      </c>
      <c r="AE26" s="8" t="s">
        <v>46</v>
      </c>
    </row>
    <row r="27" customFormat="false" ht="15" hidden="false" customHeight="false" outlineLevel="0" collapsed="false">
      <c r="A27" s="7" t="s">
        <v>73</v>
      </c>
      <c r="B27" s="8" t="s">
        <v>45</v>
      </c>
      <c r="C27" s="8" t="s">
        <v>46</v>
      </c>
      <c r="D27" s="8" t="s">
        <v>45</v>
      </c>
      <c r="E27" s="8" t="s">
        <v>47</v>
      </c>
      <c r="F27" s="8" t="s">
        <v>48</v>
      </c>
      <c r="G27" s="8" t="s">
        <v>48</v>
      </c>
      <c r="H27" s="8" t="s">
        <v>46</v>
      </c>
      <c r="I27" s="8" t="s">
        <v>46</v>
      </c>
      <c r="J27" s="8" t="s">
        <v>48</v>
      </c>
      <c r="K27" s="8" t="s">
        <v>45</v>
      </c>
      <c r="L27" s="8" t="s">
        <v>48</v>
      </c>
      <c r="M27" s="8" t="s">
        <v>46</v>
      </c>
      <c r="N27" s="8" t="s">
        <v>47</v>
      </c>
      <c r="O27" s="8" t="s">
        <v>45</v>
      </c>
      <c r="P27" s="8" t="s">
        <v>48</v>
      </c>
      <c r="Q27" s="8" t="s">
        <v>48</v>
      </c>
      <c r="R27" s="8" t="s">
        <v>48</v>
      </c>
      <c r="S27" s="8" t="s">
        <v>47</v>
      </c>
      <c r="T27" s="8" t="s">
        <v>45</v>
      </c>
      <c r="U27" s="8" t="s">
        <v>45</v>
      </c>
      <c r="V27" s="8" t="s">
        <v>46</v>
      </c>
      <c r="W27" s="8" t="s">
        <v>46</v>
      </c>
      <c r="X27" s="8" t="s">
        <v>46</v>
      </c>
      <c r="Y27" s="8" t="s">
        <v>47</v>
      </c>
      <c r="Z27" s="8" t="s">
        <v>46</v>
      </c>
      <c r="AA27" s="8" t="s">
        <v>47</v>
      </c>
      <c r="AB27" s="8" t="s">
        <v>46</v>
      </c>
      <c r="AC27" s="8" t="s">
        <v>48</v>
      </c>
      <c r="AD27" s="8" t="s">
        <v>46</v>
      </c>
      <c r="AE27" s="8" t="s">
        <v>46</v>
      </c>
    </row>
    <row r="28" customFormat="false" ht="15" hidden="false" customHeight="false" outlineLevel="0" collapsed="false">
      <c r="A28" s="7" t="s">
        <v>74</v>
      </c>
      <c r="B28" s="8" t="s">
        <v>45</v>
      </c>
      <c r="C28" s="8" t="s">
        <v>46</v>
      </c>
      <c r="D28" s="8" t="s">
        <v>45</v>
      </c>
      <c r="E28" s="8" t="s">
        <v>47</v>
      </c>
      <c r="F28" s="8" t="s">
        <v>47</v>
      </c>
      <c r="G28" s="8" t="s">
        <v>47</v>
      </c>
      <c r="H28" s="8" t="s">
        <v>46</v>
      </c>
      <c r="I28" s="8" t="s">
        <v>46</v>
      </c>
      <c r="J28" s="8" t="s">
        <v>48</v>
      </c>
      <c r="K28" s="8" t="s">
        <v>45</v>
      </c>
      <c r="L28" s="8" t="s">
        <v>48</v>
      </c>
      <c r="M28" s="8" t="s">
        <v>46</v>
      </c>
      <c r="N28" s="8" t="s">
        <v>47</v>
      </c>
      <c r="O28" s="8" t="s">
        <v>45</v>
      </c>
      <c r="P28" s="8" t="s">
        <v>48</v>
      </c>
      <c r="Q28" s="8" t="s">
        <v>48</v>
      </c>
      <c r="R28" s="8" t="s">
        <v>48</v>
      </c>
      <c r="S28" s="8" t="s">
        <v>46</v>
      </c>
      <c r="T28" s="8" t="s">
        <v>45</v>
      </c>
      <c r="U28" s="8" t="s">
        <v>45</v>
      </c>
      <c r="V28" s="8" t="s">
        <v>46</v>
      </c>
      <c r="W28" s="8" t="s">
        <v>46</v>
      </c>
      <c r="X28" s="8" t="s">
        <v>46</v>
      </c>
      <c r="Y28" s="8" t="s">
        <v>47</v>
      </c>
      <c r="Z28" s="8" t="s">
        <v>46</v>
      </c>
      <c r="AA28" s="8" t="s">
        <v>47</v>
      </c>
      <c r="AB28" s="8" t="s">
        <v>47</v>
      </c>
      <c r="AC28" s="8" t="s">
        <v>47</v>
      </c>
      <c r="AD28" s="8" t="s">
        <v>46</v>
      </c>
      <c r="AE28" s="8" t="s">
        <v>46</v>
      </c>
    </row>
    <row r="29" customFormat="false" ht="15" hidden="false" customHeight="false" outlineLevel="0" collapsed="false">
      <c r="A29" s="7" t="s">
        <v>75</v>
      </c>
      <c r="B29" s="8" t="s">
        <v>47</v>
      </c>
      <c r="C29" s="8" t="s">
        <v>47</v>
      </c>
      <c r="D29" s="8" t="s">
        <v>47</v>
      </c>
      <c r="E29" s="8" t="s">
        <v>47</v>
      </c>
      <c r="F29" s="8" t="s">
        <v>45</v>
      </c>
      <c r="G29" s="8" t="s">
        <v>45</v>
      </c>
      <c r="H29" s="8" t="s">
        <v>48</v>
      </c>
      <c r="I29" s="8" t="s">
        <v>46</v>
      </c>
      <c r="J29" s="8" t="s">
        <v>48</v>
      </c>
      <c r="K29" s="8" t="s">
        <v>47</v>
      </c>
      <c r="L29" s="8" t="s">
        <v>47</v>
      </c>
      <c r="M29" s="8" t="s">
        <v>46</v>
      </c>
      <c r="N29" s="8" t="s">
        <v>48</v>
      </c>
      <c r="O29" s="8" t="s">
        <v>48</v>
      </c>
      <c r="P29" s="8" t="s">
        <v>45</v>
      </c>
      <c r="Q29" s="8" t="s">
        <v>48</v>
      </c>
      <c r="R29" s="8" t="s">
        <v>48</v>
      </c>
      <c r="S29" s="8" t="s">
        <v>46</v>
      </c>
      <c r="T29" s="8" t="s">
        <v>45</v>
      </c>
      <c r="U29" s="8" t="s">
        <v>47</v>
      </c>
      <c r="V29" s="8" t="s">
        <v>47</v>
      </c>
      <c r="W29" s="8" t="s">
        <v>47</v>
      </c>
      <c r="X29" s="8" t="s">
        <v>46</v>
      </c>
      <c r="Y29" s="8" t="s">
        <v>46</v>
      </c>
      <c r="Z29" s="8" t="s">
        <v>45</v>
      </c>
      <c r="AA29" s="8" t="s">
        <v>45</v>
      </c>
      <c r="AB29" s="8" t="s">
        <v>46</v>
      </c>
      <c r="AC29" s="8" t="s">
        <v>45</v>
      </c>
      <c r="AD29" s="8" t="s">
        <v>45</v>
      </c>
      <c r="AE29" s="8" t="s">
        <v>46</v>
      </c>
    </row>
    <row r="30" customFormat="false" ht="15" hidden="false" customHeight="false" outlineLevel="0" collapsed="false">
      <c r="A30" s="7" t="s">
        <v>76</v>
      </c>
      <c r="B30" s="8" t="s">
        <v>48</v>
      </c>
      <c r="C30" s="8" t="s">
        <v>48</v>
      </c>
      <c r="D30" s="8" t="s">
        <v>45</v>
      </c>
      <c r="E30" s="8" t="s">
        <v>47</v>
      </c>
      <c r="F30" s="8" t="s">
        <v>47</v>
      </c>
      <c r="G30" s="8" t="s">
        <v>47</v>
      </c>
      <c r="H30" s="8" t="s">
        <v>46</v>
      </c>
      <c r="I30" s="8" t="s">
        <v>46</v>
      </c>
      <c r="J30" s="8" t="s">
        <v>48</v>
      </c>
      <c r="K30" s="8" t="s">
        <v>45</v>
      </c>
      <c r="L30" s="8" t="s">
        <v>48</v>
      </c>
      <c r="M30" s="8" t="s">
        <v>46</v>
      </c>
      <c r="N30" s="8" t="s">
        <v>47</v>
      </c>
      <c r="O30" s="8" t="s">
        <v>47</v>
      </c>
      <c r="P30" s="8" t="s">
        <v>46</v>
      </c>
      <c r="Q30" s="8" t="s">
        <v>48</v>
      </c>
      <c r="R30" s="8" t="s">
        <v>48</v>
      </c>
      <c r="S30" s="8" t="s">
        <v>47</v>
      </c>
      <c r="T30" s="8" t="s">
        <v>45</v>
      </c>
      <c r="U30" s="8" t="s">
        <v>45</v>
      </c>
      <c r="V30" s="8" t="s">
        <v>46</v>
      </c>
      <c r="W30" s="8" t="s">
        <v>46</v>
      </c>
      <c r="X30" s="8" t="s">
        <v>46</v>
      </c>
      <c r="Y30" s="8" t="s">
        <v>47</v>
      </c>
      <c r="Z30" s="8" t="s">
        <v>46</v>
      </c>
      <c r="AA30" s="8" t="s">
        <v>47</v>
      </c>
      <c r="AB30" s="8" t="s">
        <v>46</v>
      </c>
      <c r="AC30" s="8" t="s">
        <v>47</v>
      </c>
      <c r="AD30" s="8" t="s">
        <v>46</v>
      </c>
      <c r="AE30" s="8" t="s">
        <v>46</v>
      </c>
    </row>
    <row r="31" customFormat="false" ht="15" hidden="false" customHeight="false" outlineLevel="0" collapsed="false">
      <c r="A31" s="7" t="s">
        <v>77</v>
      </c>
      <c r="B31" s="8" t="s">
        <v>47</v>
      </c>
      <c r="C31" s="8" t="s">
        <v>47</v>
      </c>
      <c r="D31" s="8" t="s">
        <v>48</v>
      </c>
      <c r="E31" s="8" t="s">
        <v>46</v>
      </c>
      <c r="F31" s="8" t="s">
        <v>48</v>
      </c>
      <c r="G31" s="8" t="s">
        <v>47</v>
      </c>
      <c r="H31" s="8" t="s">
        <v>46</v>
      </c>
      <c r="I31" s="8" t="s">
        <v>47</v>
      </c>
      <c r="J31" s="8" t="s">
        <v>47</v>
      </c>
      <c r="K31" s="8" t="s">
        <v>48</v>
      </c>
      <c r="L31" s="8" t="s">
        <v>47</v>
      </c>
      <c r="M31" s="8" t="s">
        <v>46</v>
      </c>
      <c r="N31" s="8" t="s">
        <v>48</v>
      </c>
      <c r="O31" s="8" t="s">
        <v>45</v>
      </c>
      <c r="P31" s="8" t="s">
        <v>45</v>
      </c>
      <c r="Q31" s="8" t="s">
        <v>45</v>
      </c>
      <c r="R31" s="8" t="s">
        <v>47</v>
      </c>
      <c r="S31" s="8" t="s">
        <v>45</v>
      </c>
      <c r="T31" s="8" t="s">
        <v>47</v>
      </c>
      <c r="U31" s="8" t="s">
        <v>47</v>
      </c>
      <c r="V31" s="8" t="s">
        <v>48</v>
      </c>
      <c r="W31" s="8" t="s">
        <v>47</v>
      </c>
      <c r="X31" s="8" t="s">
        <v>47</v>
      </c>
      <c r="Y31" s="8" t="s">
        <v>48</v>
      </c>
      <c r="Z31" s="8" t="s">
        <v>47</v>
      </c>
      <c r="AA31" s="8" t="s">
        <v>46</v>
      </c>
      <c r="AB31" s="8" t="s">
        <v>46</v>
      </c>
      <c r="AC31" s="8" t="s">
        <v>46</v>
      </c>
      <c r="AD31" s="8" t="s">
        <v>46</v>
      </c>
      <c r="AE31" s="8" t="s">
        <v>48</v>
      </c>
    </row>
    <row r="32" customFormat="false" ht="15" hidden="false" customHeight="false" outlineLevel="0" collapsed="false">
      <c r="A32" s="7" t="s">
        <v>78</v>
      </c>
      <c r="B32" s="8" t="s">
        <v>45</v>
      </c>
      <c r="C32" s="8" t="s">
        <v>48</v>
      </c>
      <c r="D32" s="8" t="s">
        <v>46</v>
      </c>
      <c r="E32" s="8" t="s">
        <v>47</v>
      </c>
      <c r="F32" s="8" t="s">
        <v>47</v>
      </c>
      <c r="G32" s="8" t="s">
        <v>47</v>
      </c>
      <c r="H32" s="8" t="s">
        <v>46</v>
      </c>
      <c r="I32" s="8" t="s">
        <v>46</v>
      </c>
      <c r="J32" s="8" t="s">
        <v>48</v>
      </c>
      <c r="K32" s="8" t="s">
        <v>48</v>
      </c>
      <c r="L32" s="8" t="s">
        <v>47</v>
      </c>
      <c r="M32" s="8" t="s">
        <v>46</v>
      </c>
      <c r="N32" s="8" t="s">
        <v>45</v>
      </c>
      <c r="O32" s="8" t="s">
        <v>46</v>
      </c>
      <c r="P32" s="8" t="s">
        <v>46</v>
      </c>
      <c r="Q32" s="8" t="s">
        <v>47</v>
      </c>
      <c r="R32" s="8" t="s">
        <v>48</v>
      </c>
      <c r="S32" s="8" t="s">
        <v>46</v>
      </c>
      <c r="T32" s="8" t="s">
        <v>46</v>
      </c>
      <c r="U32" s="8" t="s">
        <v>45</v>
      </c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47</v>
      </c>
      <c r="AA32" s="8" t="s">
        <v>47</v>
      </c>
      <c r="AB32" s="8" t="s">
        <v>46</v>
      </c>
      <c r="AC32" s="8" t="s">
        <v>47</v>
      </c>
      <c r="AD32" s="8" t="s">
        <v>45</v>
      </c>
      <c r="AE32" s="8" t="s">
        <v>46</v>
      </c>
    </row>
    <row r="33" customFormat="false" ht="15" hidden="false" customHeight="false" outlineLevel="0" collapsed="false">
      <c r="A33" s="7" t="s">
        <v>79</v>
      </c>
      <c r="B33" s="8" t="s">
        <v>48</v>
      </c>
      <c r="C33" s="8" t="s">
        <v>47</v>
      </c>
      <c r="D33" s="8" t="s">
        <v>48</v>
      </c>
      <c r="E33" s="8" t="s">
        <v>47</v>
      </c>
      <c r="F33" s="8" t="s">
        <v>45</v>
      </c>
      <c r="G33" s="8" t="s">
        <v>48</v>
      </c>
      <c r="H33" s="8" t="s">
        <v>47</v>
      </c>
      <c r="I33" s="8" t="s">
        <v>47</v>
      </c>
      <c r="J33" s="8" t="s">
        <v>48</v>
      </c>
      <c r="K33" s="8" t="s">
        <v>47</v>
      </c>
      <c r="L33" s="8" t="s">
        <v>48</v>
      </c>
      <c r="M33" s="8" t="s">
        <v>46</v>
      </c>
      <c r="N33" s="8" t="s">
        <v>46</v>
      </c>
      <c r="O33" s="8" t="s">
        <v>46</v>
      </c>
      <c r="P33" s="8" t="s">
        <v>47</v>
      </c>
      <c r="Q33" s="8" t="s">
        <v>48</v>
      </c>
      <c r="R33" s="8" t="s">
        <v>47</v>
      </c>
      <c r="S33" s="8" t="s">
        <v>48</v>
      </c>
      <c r="T33" s="8" t="s">
        <v>46</v>
      </c>
      <c r="U33" s="8" t="s">
        <v>46</v>
      </c>
      <c r="V33" s="8" t="s">
        <v>47</v>
      </c>
      <c r="W33" s="8" t="s">
        <v>45</v>
      </c>
      <c r="X33" s="8" t="s">
        <v>47</v>
      </c>
      <c r="Y33" s="8" t="s">
        <v>47</v>
      </c>
      <c r="Z33" s="8" t="s">
        <v>47</v>
      </c>
      <c r="AA33" s="8" t="s">
        <v>46</v>
      </c>
      <c r="AB33" s="8" t="s">
        <v>47</v>
      </c>
      <c r="AC33" s="8" t="s">
        <v>46</v>
      </c>
      <c r="AD33" s="8" t="s">
        <v>46</v>
      </c>
      <c r="AE33" s="8" t="s">
        <v>48</v>
      </c>
    </row>
    <row r="34" customFormat="false" ht="15" hidden="false" customHeight="false" outlineLevel="0" collapsed="false">
      <c r="A34" s="7" t="s">
        <v>80</v>
      </c>
      <c r="B34" s="8" t="s">
        <v>45</v>
      </c>
      <c r="C34" s="8" t="s">
        <v>47</v>
      </c>
      <c r="D34" s="8" t="s">
        <v>45</v>
      </c>
      <c r="E34" s="8" t="s">
        <v>47</v>
      </c>
      <c r="F34" s="8" t="s">
        <v>47</v>
      </c>
      <c r="G34" s="8" t="s">
        <v>47</v>
      </c>
      <c r="H34" s="8" t="s">
        <v>46</v>
      </c>
      <c r="I34" s="8" t="s">
        <v>46</v>
      </c>
      <c r="J34" s="8" t="s">
        <v>48</v>
      </c>
      <c r="K34" s="8" t="s">
        <v>45</v>
      </c>
      <c r="L34" s="8" t="s">
        <v>48</v>
      </c>
      <c r="M34" s="8" t="s">
        <v>46</v>
      </c>
      <c r="N34" s="8" t="s">
        <v>47</v>
      </c>
      <c r="O34" s="8" t="s">
        <v>45</v>
      </c>
      <c r="P34" s="8" t="s">
        <v>46</v>
      </c>
      <c r="Q34" s="8" t="s">
        <v>48</v>
      </c>
      <c r="R34" s="8" t="s">
        <v>48</v>
      </c>
      <c r="S34" s="8" t="s">
        <v>48</v>
      </c>
      <c r="T34" s="8" t="s">
        <v>47</v>
      </c>
      <c r="U34" s="8" t="s">
        <v>45</v>
      </c>
      <c r="V34" s="8" t="s">
        <v>46</v>
      </c>
      <c r="W34" s="8" t="s">
        <v>46</v>
      </c>
      <c r="X34" s="8" t="s">
        <v>46</v>
      </c>
      <c r="Y34" s="8" t="s">
        <v>47</v>
      </c>
      <c r="Z34" s="8" t="s">
        <v>46</v>
      </c>
      <c r="AA34" s="8" t="s">
        <v>47</v>
      </c>
      <c r="AB34" s="8" t="s">
        <v>47</v>
      </c>
      <c r="AC34" s="8" t="s">
        <v>47</v>
      </c>
      <c r="AD34" s="8" t="s">
        <v>46</v>
      </c>
      <c r="AE34" s="8" t="s">
        <v>46</v>
      </c>
    </row>
    <row r="35" customFormat="false" ht="15" hidden="false" customHeight="false" outlineLevel="0" collapsed="false">
      <c r="A35" s="7" t="s">
        <v>81</v>
      </c>
      <c r="B35" s="8" t="s">
        <v>45</v>
      </c>
      <c r="C35" s="8" t="s">
        <v>46</v>
      </c>
      <c r="D35" s="8" t="s">
        <v>45</v>
      </c>
      <c r="E35" s="8" t="s">
        <v>47</v>
      </c>
      <c r="F35" s="8" t="s">
        <v>48</v>
      </c>
      <c r="G35" s="8" t="s">
        <v>47</v>
      </c>
      <c r="H35" s="8" t="s">
        <v>46</v>
      </c>
      <c r="I35" s="8" t="s">
        <v>46</v>
      </c>
      <c r="J35" s="8" t="s">
        <v>48</v>
      </c>
      <c r="K35" s="8" t="s">
        <v>45</v>
      </c>
      <c r="L35" s="8" t="s">
        <v>48</v>
      </c>
      <c r="M35" s="8" t="s">
        <v>46</v>
      </c>
      <c r="N35" s="8" t="s">
        <v>47</v>
      </c>
      <c r="O35" s="8" t="s">
        <v>47</v>
      </c>
      <c r="P35" s="8" t="s">
        <v>46</v>
      </c>
      <c r="Q35" s="8" t="s">
        <v>48</v>
      </c>
      <c r="R35" s="8" t="s">
        <v>48</v>
      </c>
      <c r="S35" s="8" t="s">
        <v>46</v>
      </c>
      <c r="T35" s="8" t="s">
        <v>48</v>
      </c>
      <c r="U35" s="8" t="s">
        <v>45</v>
      </c>
      <c r="V35" s="8" t="s">
        <v>46</v>
      </c>
      <c r="W35" s="8" t="s">
        <v>46</v>
      </c>
      <c r="X35" s="8" t="s">
        <v>46</v>
      </c>
      <c r="Y35" s="8" t="s">
        <v>47</v>
      </c>
      <c r="Z35" s="8" t="s">
        <v>45</v>
      </c>
      <c r="AA35" s="8" t="s">
        <v>47</v>
      </c>
      <c r="AB35" s="8" t="s">
        <v>47</v>
      </c>
      <c r="AC35" s="8" t="s">
        <v>47</v>
      </c>
      <c r="AD35" s="8" t="s">
        <v>46</v>
      </c>
      <c r="AE35" s="8" t="s">
        <v>46</v>
      </c>
    </row>
    <row r="36" customFormat="false" ht="15" hidden="false" customHeight="false" outlineLevel="0" collapsed="false">
      <c r="A36" s="7" t="s">
        <v>82</v>
      </c>
      <c r="B36" s="8" t="s">
        <v>45</v>
      </c>
      <c r="C36" s="8" t="s">
        <v>48</v>
      </c>
      <c r="D36" s="8" t="s">
        <v>46</v>
      </c>
      <c r="E36" s="8" t="s">
        <v>47</v>
      </c>
      <c r="F36" s="8" t="s">
        <v>47</v>
      </c>
      <c r="G36" s="8" t="s">
        <v>47</v>
      </c>
      <c r="H36" s="8" t="s">
        <v>46</v>
      </c>
      <c r="I36" s="8" t="s">
        <v>46</v>
      </c>
      <c r="J36" s="8" t="s">
        <v>48</v>
      </c>
      <c r="K36" s="8" t="s">
        <v>45</v>
      </c>
      <c r="L36" s="8" t="s">
        <v>48</v>
      </c>
      <c r="M36" s="8" t="s">
        <v>46</v>
      </c>
      <c r="N36" s="8" t="s">
        <v>47</v>
      </c>
      <c r="O36" s="8" t="s">
        <v>45</v>
      </c>
      <c r="P36" s="8" t="s">
        <v>48</v>
      </c>
      <c r="Q36" s="8" t="s">
        <v>48</v>
      </c>
      <c r="R36" s="8" t="s">
        <v>48</v>
      </c>
      <c r="S36" s="8" t="s">
        <v>48</v>
      </c>
      <c r="T36" s="8" t="s">
        <v>45</v>
      </c>
      <c r="U36" s="8" t="s">
        <v>45</v>
      </c>
      <c r="V36" s="8" t="s">
        <v>46</v>
      </c>
      <c r="W36" s="8" t="s">
        <v>46</v>
      </c>
      <c r="X36" s="8" t="s">
        <v>46</v>
      </c>
      <c r="Y36" s="8" t="s">
        <v>47</v>
      </c>
      <c r="Z36" s="8" t="s">
        <v>48</v>
      </c>
      <c r="AA36" s="8" t="s">
        <v>47</v>
      </c>
      <c r="AB36" s="8" t="s">
        <v>47</v>
      </c>
      <c r="AC36" s="8" t="s">
        <v>48</v>
      </c>
      <c r="AD36" s="8" t="s">
        <v>46</v>
      </c>
      <c r="AE36" s="8" t="s">
        <v>46</v>
      </c>
    </row>
    <row r="37" customFormat="false" ht="15" hidden="false" customHeight="false" outlineLevel="0" collapsed="false">
      <c r="A37" s="7" t="s">
        <v>83</v>
      </c>
      <c r="B37" s="8" t="s">
        <v>47</v>
      </c>
      <c r="C37" s="8" t="s">
        <v>46</v>
      </c>
      <c r="D37" s="8" t="s">
        <v>47</v>
      </c>
      <c r="E37" s="8" t="s">
        <v>47</v>
      </c>
      <c r="F37" s="8" t="s">
        <v>46</v>
      </c>
      <c r="G37" s="8" t="s">
        <v>47</v>
      </c>
      <c r="H37" s="8" t="s">
        <v>45</v>
      </c>
      <c r="I37" s="8" t="s">
        <v>48</v>
      </c>
      <c r="J37" s="8" t="s">
        <v>48</v>
      </c>
      <c r="K37" s="8" t="s">
        <v>46</v>
      </c>
      <c r="L37" s="8" t="s">
        <v>46</v>
      </c>
      <c r="M37" s="8" t="s">
        <v>46</v>
      </c>
      <c r="N37" s="8" t="s">
        <v>45</v>
      </c>
      <c r="O37" s="8" t="s">
        <v>45</v>
      </c>
      <c r="P37" s="8" t="s">
        <v>47</v>
      </c>
      <c r="Q37" s="8" t="s">
        <v>48</v>
      </c>
      <c r="R37" s="8" t="s">
        <v>48</v>
      </c>
      <c r="S37" s="8" t="s">
        <v>47</v>
      </c>
      <c r="T37" s="8" t="s">
        <v>47</v>
      </c>
      <c r="U37" s="8" t="s">
        <v>45</v>
      </c>
      <c r="V37" s="8" t="s">
        <v>48</v>
      </c>
      <c r="W37" s="8" t="s">
        <v>45</v>
      </c>
      <c r="X37" s="8" t="s">
        <v>47</v>
      </c>
      <c r="Y37" s="8" t="s">
        <v>46</v>
      </c>
      <c r="Z37" s="8" t="s">
        <v>45</v>
      </c>
      <c r="AA37" s="8" t="s">
        <v>47</v>
      </c>
      <c r="AB37" s="8" t="s">
        <v>45</v>
      </c>
      <c r="AC37" s="8" t="s">
        <v>47</v>
      </c>
      <c r="AD37" s="8" t="s">
        <v>48</v>
      </c>
      <c r="AE37" s="8" t="s">
        <v>45</v>
      </c>
    </row>
    <row r="38" customFormat="false" ht="15" hidden="false" customHeight="false" outlineLevel="0" collapsed="false">
      <c r="A38" s="7" t="s">
        <v>84</v>
      </c>
      <c r="B38" s="8" t="s">
        <v>45</v>
      </c>
      <c r="C38" s="8" t="s">
        <v>45</v>
      </c>
      <c r="D38" s="8" t="s">
        <v>46</v>
      </c>
      <c r="E38" s="8" t="s">
        <v>47</v>
      </c>
      <c r="F38" s="8" t="s">
        <v>47</v>
      </c>
      <c r="G38" s="8" t="s">
        <v>45</v>
      </c>
      <c r="H38" s="8" t="s">
        <v>46</v>
      </c>
      <c r="I38" s="8" t="s">
        <v>46</v>
      </c>
      <c r="J38" s="8" t="s">
        <v>48</v>
      </c>
      <c r="K38" s="8" t="s">
        <v>47</v>
      </c>
      <c r="L38" s="8" t="s">
        <v>48</v>
      </c>
      <c r="M38" s="8" t="s">
        <v>46</v>
      </c>
      <c r="N38" s="8" t="s">
        <v>47</v>
      </c>
      <c r="O38" s="8" t="s">
        <v>45</v>
      </c>
      <c r="P38" s="8" t="s">
        <v>46</v>
      </c>
      <c r="Q38" s="8" t="s">
        <v>48</v>
      </c>
      <c r="R38" s="8" t="s">
        <v>48</v>
      </c>
      <c r="S38" s="8" t="s">
        <v>47</v>
      </c>
      <c r="T38" s="8" t="s">
        <v>45</v>
      </c>
      <c r="U38" s="8" t="s">
        <v>45</v>
      </c>
      <c r="V38" s="8" t="s">
        <v>48</v>
      </c>
      <c r="W38" s="8" t="s">
        <v>46</v>
      </c>
      <c r="X38" s="8" t="s">
        <v>46</v>
      </c>
      <c r="Y38" s="8" t="s">
        <v>47</v>
      </c>
      <c r="Z38" s="8" t="s">
        <v>47</v>
      </c>
      <c r="AA38" s="8" t="s">
        <v>46</v>
      </c>
      <c r="AB38" s="8" t="s">
        <v>47</v>
      </c>
      <c r="AC38" s="8" t="s">
        <v>47</v>
      </c>
      <c r="AD38" s="8" t="s">
        <v>46</v>
      </c>
      <c r="AE38" s="8" t="s">
        <v>45</v>
      </c>
    </row>
    <row r="39" customFormat="false" ht="15" hidden="false" customHeight="false" outlineLevel="0" collapsed="false">
      <c r="A39" s="7" t="s">
        <v>85</v>
      </c>
      <c r="B39" s="8" t="s">
        <v>47</v>
      </c>
      <c r="C39" s="8" t="s">
        <v>47</v>
      </c>
      <c r="D39" s="8" t="s">
        <v>45</v>
      </c>
      <c r="E39" s="8" t="s">
        <v>45</v>
      </c>
      <c r="F39" s="8" t="s">
        <v>48</v>
      </c>
      <c r="G39" s="8" t="s">
        <v>45</v>
      </c>
      <c r="H39" s="8" t="s">
        <v>47</v>
      </c>
      <c r="I39" s="8" t="s">
        <v>48</v>
      </c>
      <c r="J39" s="8" t="s">
        <v>48</v>
      </c>
      <c r="K39" s="8" t="s">
        <v>48</v>
      </c>
      <c r="L39" s="8" t="s">
        <v>47</v>
      </c>
      <c r="M39" s="8" t="s">
        <v>46</v>
      </c>
      <c r="N39" s="8" t="s">
        <v>48</v>
      </c>
      <c r="O39" s="8" t="s">
        <v>45</v>
      </c>
      <c r="P39" s="8" t="s">
        <v>47</v>
      </c>
      <c r="Q39" s="8" t="s">
        <v>46</v>
      </c>
      <c r="R39" s="8" t="s">
        <v>48</v>
      </c>
      <c r="S39" s="8" t="s">
        <v>48</v>
      </c>
      <c r="T39" s="8" t="s">
        <v>48</v>
      </c>
      <c r="U39" s="8" t="s">
        <v>47</v>
      </c>
      <c r="V39" s="8" t="s">
        <v>46</v>
      </c>
      <c r="W39" s="8" t="s">
        <v>45</v>
      </c>
      <c r="X39" s="8" t="s">
        <v>46</v>
      </c>
      <c r="Y39" s="8" t="s">
        <v>46</v>
      </c>
      <c r="Z39" s="8" t="s">
        <v>48</v>
      </c>
      <c r="AA39" s="8" t="s">
        <v>45</v>
      </c>
      <c r="AB39" s="8" t="s">
        <v>47</v>
      </c>
      <c r="AC39" s="8" t="s">
        <v>46</v>
      </c>
      <c r="AD39" s="8" t="s">
        <v>47</v>
      </c>
      <c r="AE39" s="8" t="s">
        <v>46</v>
      </c>
    </row>
    <row r="40" customFormat="false" ht="15" hidden="false" customHeight="false" outlineLevel="0" collapsed="false">
      <c r="A40" s="7" t="s">
        <v>86</v>
      </c>
      <c r="B40" s="8" t="s">
        <v>45</v>
      </c>
      <c r="C40" s="8" t="s">
        <v>47</v>
      </c>
      <c r="D40" s="8" t="s">
        <v>46</v>
      </c>
      <c r="E40" s="8" t="s">
        <v>47</v>
      </c>
      <c r="F40" s="8" t="s">
        <v>48</v>
      </c>
      <c r="G40" s="8" t="s">
        <v>46</v>
      </c>
      <c r="H40" s="8" t="s">
        <v>46</v>
      </c>
      <c r="I40" s="8" t="s">
        <v>48</v>
      </c>
      <c r="J40" s="8" t="s">
        <v>48</v>
      </c>
      <c r="K40" s="8" t="s">
        <v>47</v>
      </c>
      <c r="L40" s="8" t="s">
        <v>46</v>
      </c>
      <c r="M40" s="8" t="s">
        <v>46</v>
      </c>
      <c r="N40" s="8" t="s">
        <v>48</v>
      </c>
      <c r="O40" s="8" t="s">
        <v>45</v>
      </c>
      <c r="P40" s="8" t="s">
        <v>48</v>
      </c>
      <c r="Q40" s="8" t="s">
        <v>48</v>
      </c>
      <c r="R40" s="8" t="s">
        <v>48</v>
      </c>
      <c r="S40" s="8" t="s">
        <v>47</v>
      </c>
      <c r="T40" s="8" t="s">
        <v>45</v>
      </c>
      <c r="U40" s="8" t="s">
        <v>48</v>
      </c>
      <c r="V40" s="8" t="s">
        <v>45</v>
      </c>
      <c r="W40" s="8" t="s">
        <v>45</v>
      </c>
      <c r="X40" s="8" t="s">
        <v>48</v>
      </c>
      <c r="Y40" s="8" t="s">
        <v>45</v>
      </c>
      <c r="Z40" s="8" t="s">
        <v>48</v>
      </c>
      <c r="AA40" s="8" t="s">
        <v>46</v>
      </c>
      <c r="AB40" s="8" t="s">
        <v>47</v>
      </c>
      <c r="AC40" s="8" t="s">
        <v>47</v>
      </c>
      <c r="AD40" s="8" t="s">
        <v>46</v>
      </c>
      <c r="AE40" s="8" t="s">
        <v>47</v>
      </c>
    </row>
    <row r="41" customFormat="false" ht="15" hidden="false" customHeight="false" outlineLevel="0" collapsed="false">
      <c r="A41" s="7" t="s">
        <v>87</v>
      </c>
      <c r="B41" s="8" t="s">
        <v>47</v>
      </c>
      <c r="C41" s="8" t="s">
        <v>46</v>
      </c>
      <c r="D41" s="8" t="s">
        <v>45</v>
      </c>
      <c r="E41" s="8" t="s">
        <v>47</v>
      </c>
      <c r="F41" s="8" t="s">
        <v>47</v>
      </c>
      <c r="G41" s="8" t="s">
        <v>45</v>
      </c>
      <c r="H41" s="8" t="s">
        <v>46</v>
      </c>
      <c r="I41" s="8" t="s">
        <v>46</v>
      </c>
      <c r="J41" s="8" t="s">
        <v>48</v>
      </c>
      <c r="K41" s="8" t="s">
        <v>45</v>
      </c>
      <c r="L41" s="8" t="s">
        <v>45</v>
      </c>
      <c r="M41" s="8" t="s">
        <v>46</v>
      </c>
      <c r="N41" s="8" t="s">
        <v>47</v>
      </c>
      <c r="O41" s="8" t="s">
        <v>45</v>
      </c>
      <c r="P41" s="8" t="s">
        <v>45</v>
      </c>
      <c r="Q41" s="8" t="s">
        <v>48</v>
      </c>
      <c r="R41" s="8" t="s">
        <v>48</v>
      </c>
      <c r="S41" s="8" t="s">
        <v>47</v>
      </c>
      <c r="T41" s="8" t="s">
        <v>46</v>
      </c>
      <c r="U41" s="8" t="s">
        <v>46</v>
      </c>
      <c r="V41" s="8" t="s">
        <v>46</v>
      </c>
      <c r="W41" s="8" t="s">
        <v>46</v>
      </c>
      <c r="X41" s="8" t="s">
        <v>47</v>
      </c>
      <c r="Y41" s="8" t="s">
        <v>47</v>
      </c>
      <c r="Z41" s="8" t="s">
        <v>46</v>
      </c>
      <c r="AA41" s="8" t="s">
        <v>47</v>
      </c>
      <c r="AB41" s="8" t="s">
        <v>47</v>
      </c>
      <c r="AC41" s="8" t="s">
        <v>47</v>
      </c>
      <c r="AD41" s="8" t="s">
        <v>46</v>
      </c>
      <c r="AE41" s="8" t="s">
        <v>46</v>
      </c>
    </row>
    <row r="42" customFormat="false" ht="15" hidden="false" customHeight="false" outlineLevel="0" collapsed="false">
      <c r="A42" s="7" t="s">
        <v>88</v>
      </c>
      <c r="B42" s="8" t="s">
        <v>47</v>
      </c>
      <c r="C42" s="8" t="s">
        <v>45</v>
      </c>
      <c r="D42" s="8" t="s">
        <v>48</v>
      </c>
      <c r="E42" s="8" t="s">
        <v>47</v>
      </c>
      <c r="F42" s="8" t="s">
        <v>47</v>
      </c>
      <c r="G42" s="8" t="s">
        <v>47</v>
      </c>
      <c r="H42" s="8" t="s">
        <v>46</v>
      </c>
      <c r="I42" s="8" t="s">
        <v>46</v>
      </c>
      <c r="J42" s="8" t="s">
        <v>48</v>
      </c>
      <c r="K42" s="8" t="s">
        <v>45</v>
      </c>
      <c r="L42" s="8" t="s">
        <v>48</v>
      </c>
      <c r="M42" s="8" t="s">
        <v>46</v>
      </c>
      <c r="N42" s="8" t="s">
        <v>47</v>
      </c>
      <c r="O42" s="8" t="s">
        <v>45</v>
      </c>
      <c r="P42" s="8" t="s">
        <v>48</v>
      </c>
      <c r="Q42" s="8" t="s">
        <v>48</v>
      </c>
      <c r="R42" s="8" t="s">
        <v>48</v>
      </c>
      <c r="S42" s="8" t="s">
        <v>45</v>
      </c>
      <c r="T42" s="8" t="s">
        <v>45</v>
      </c>
      <c r="U42" s="8" t="s">
        <v>45</v>
      </c>
      <c r="V42" s="8" t="s">
        <v>46</v>
      </c>
      <c r="W42" s="8" t="s">
        <v>46</v>
      </c>
      <c r="X42" s="8" t="s">
        <v>46</v>
      </c>
      <c r="Y42" s="8" t="s">
        <v>47</v>
      </c>
      <c r="Z42" s="8" t="s">
        <v>46</v>
      </c>
      <c r="AA42" s="8" t="s">
        <v>47</v>
      </c>
      <c r="AB42" s="8" t="s">
        <v>48</v>
      </c>
      <c r="AC42" s="8" t="s">
        <v>48</v>
      </c>
      <c r="AD42" s="8" t="s">
        <v>46</v>
      </c>
      <c r="AE42" s="8" t="s">
        <v>46</v>
      </c>
    </row>
    <row r="43" customFormat="false" ht="15" hidden="false" customHeight="false" outlineLevel="0" collapsed="false">
      <c r="A43" s="7" t="s">
        <v>89</v>
      </c>
      <c r="B43" s="8" t="s">
        <v>46</v>
      </c>
      <c r="C43" s="8" t="s">
        <v>46</v>
      </c>
      <c r="D43" s="8" t="s">
        <v>45</v>
      </c>
      <c r="E43" s="8" t="s">
        <v>47</v>
      </c>
      <c r="F43" s="8" t="s">
        <v>46</v>
      </c>
      <c r="G43" s="8" t="s">
        <v>45</v>
      </c>
      <c r="H43" s="8" t="s">
        <v>46</v>
      </c>
      <c r="I43" s="8" t="s">
        <v>46</v>
      </c>
      <c r="J43" s="8" t="s">
        <v>48</v>
      </c>
      <c r="K43" s="8" t="s">
        <v>45</v>
      </c>
      <c r="L43" s="8" t="s">
        <v>48</v>
      </c>
      <c r="M43" s="8" t="s">
        <v>46</v>
      </c>
      <c r="N43" s="8" t="s">
        <v>48</v>
      </c>
      <c r="O43" s="8" t="s">
        <v>45</v>
      </c>
      <c r="P43" s="8" t="s">
        <v>46</v>
      </c>
      <c r="Q43" s="8" t="s">
        <v>48</v>
      </c>
      <c r="R43" s="8" t="s">
        <v>48</v>
      </c>
      <c r="S43" s="8" t="s">
        <v>46</v>
      </c>
      <c r="T43" s="8" t="s">
        <v>45</v>
      </c>
      <c r="U43" s="8" t="s">
        <v>46</v>
      </c>
      <c r="V43" s="8" t="s">
        <v>45</v>
      </c>
      <c r="W43" s="8" t="s">
        <v>45</v>
      </c>
      <c r="X43" s="8" t="s">
        <v>46</v>
      </c>
      <c r="Y43" s="8" t="s">
        <v>46</v>
      </c>
      <c r="Z43" s="8" t="s">
        <v>46</v>
      </c>
      <c r="AA43" s="8" t="s">
        <v>47</v>
      </c>
      <c r="AB43" s="8" t="s">
        <v>47</v>
      </c>
      <c r="AC43" s="8" t="s">
        <v>47</v>
      </c>
      <c r="AD43" s="8" t="s">
        <v>45</v>
      </c>
      <c r="AE43" s="8" t="s">
        <v>47</v>
      </c>
    </row>
    <row r="44" customFormat="false" ht="15" hidden="false" customHeight="false" outlineLevel="0" collapsed="false">
      <c r="A44" s="7" t="s">
        <v>90</v>
      </c>
      <c r="B44" s="8" t="s">
        <v>46</v>
      </c>
      <c r="C44" s="8" t="s">
        <v>46</v>
      </c>
      <c r="D44" s="8" t="s">
        <v>46</v>
      </c>
      <c r="E44" s="8" t="s">
        <v>47</v>
      </c>
      <c r="F44" s="8" t="s">
        <v>47</v>
      </c>
      <c r="G44" s="8" t="s">
        <v>47</v>
      </c>
      <c r="H44" s="8" t="s">
        <v>48</v>
      </c>
      <c r="I44" s="8" t="s">
        <v>46</v>
      </c>
      <c r="J44" s="8" t="s">
        <v>48</v>
      </c>
      <c r="K44" s="8" t="s">
        <v>47</v>
      </c>
      <c r="L44" s="8" t="s">
        <v>46</v>
      </c>
      <c r="M44" s="8" t="s">
        <v>46</v>
      </c>
      <c r="N44" s="8" t="s">
        <v>47</v>
      </c>
      <c r="O44" s="8" t="s">
        <v>47</v>
      </c>
      <c r="P44" s="8" t="s">
        <v>46</v>
      </c>
      <c r="Q44" s="8" t="s">
        <v>48</v>
      </c>
      <c r="R44" s="8" t="s">
        <v>48</v>
      </c>
      <c r="S44" s="8" t="s">
        <v>47</v>
      </c>
      <c r="T44" s="8" t="s">
        <v>46</v>
      </c>
      <c r="U44" s="8" t="s">
        <v>46</v>
      </c>
      <c r="V44" s="8" t="s">
        <v>45</v>
      </c>
      <c r="W44" s="8" t="s">
        <v>48</v>
      </c>
      <c r="X44" s="8" t="s">
        <v>46</v>
      </c>
      <c r="Y44" s="8" t="s">
        <v>47</v>
      </c>
      <c r="Z44" s="8" t="s">
        <v>48</v>
      </c>
      <c r="AA44" s="8" t="s">
        <v>48</v>
      </c>
      <c r="AB44" s="8" t="s">
        <v>45</v>
      </c>
      <c r="AC44" s="8" t="s">
        <v>48</v>
      </c>
      <c r="AD44" s="8" t="s">
        <v>45</v>
      </c>
      <c r="AE44" s="8" t="s">
        <v>46</v>
      </c>
    </row>
    <row r="45" customFormat="false" ht="15" hidden="false" customHeight="false" outlineLevel="0" collapsed="false">
      <c r="A45" s="7" t="s">
        <v>91</v>
      </c>
      <c r="B45" s="8" t="s">
        <v>46</v>
      </c>
      <c r="C45" s="8" t="s">
        <v>45</v>
      </c>
      <c r="D45" s="8" t="s">
        <v>46</v>
      </c>
      <c r="E45" s="8" t="s">
        <v>48</v>
      </c>
      <c r="F45" s="8" t="s">
        <v>46</v>
      </c>
      <c r="G45" s="8" t="s">
        <v>48</v>
      </c>
      <c r="H45" s="8" t="s">
        <v>46</v>
      </c>
      <c r="I45" s="8" t="s">
        <v>45</v>
      </c>
      <c r="J45" s="8" t="s">
        <v>48</v>
      </c>
      <c r="K45" s="8" t="s">
        <v>45</v>
      </c>
      <c r="L45" s="8" t="s">
        <v>47</v>
      </c>
      <c r="M45" s="8" t="s">
        <v>46</v>
      </c>
      <c r="N45" s="8" t="s">
        <v>46</v>
      </c>
      <c r="O45" s="8" t="s">
        <v>47</v>
      </c>
      <c r="P45" s="8" t="s">
        <v>48</v>
      </c>
      <c r="Q45" s="8" t="s">
        <v>48</v>
      </c>
      <c r="R45" s="8" t="s">
        <v>47</v>
      </c>
      <c r="S45" s="8" t="s">
        <v>45</v>
      </c>
      <c r="T45" s="8" t="s">
        <v>45</v>
      </c>
      <c r="U45" s="8" t="s">
        <v>46</v>
      </c>
      <c r="V45" s="8" t="s">
        <v>45</v>
      </c>
      <c r="W45" s="8" t="s">
        <v>48</v>
      </c>
      <c r="X45" s="8" t="s">
        <v>46</v>
      </c>
      <c r="Y45" s="8" t="s">
        <v>46</v>
      </c>
      <c r="Z45" s="8" t="s">
        <v>45</v>
      </c>
      <c r="AA45" s="8" t="s">
        <v>46</v>
      </c>
      <c r="AB45" s="8" t="s">
        <v>45</v>
      </c>
      <c r="AC45" s="8" t="s">
        <v>46</v>
      </c>
      <c r="AD45" s="8" t="s">
        <v>46</v>
      </c>
      <c r="AE45" s="8" t="s">
        <v>45</v>
      </c>
    </row>
    <row r="46" customFormat="false" ht="15" hidden="false" customHeight="false" outlineLevel="0" collapsed="false">
      <c r="A46" s="7" t="s">
        <v>92</v>
      </c>
      <c r="B46" s="8" t="s">
        <v>45</v>
      </c>
      <c r="C46" s="8" t="s">
        <v>46</v>
      </c>
      <c r="D46" s="8" t="s">
        <v>45</v>
      </c>
      <c r="E46" s="8" t="s">
        <v>47</v>
      </c>
      <c r="F46" s="8" t="s">
        <v>45</v>
      </c>
      <c r="G46" s="8" t="s">
        <v>47</v>
      </c>
      <c r="H46" s="8" t="s">
        <v>46</v>
      </c>
      <c r="I46" s="8" t="s">
        <v>46</v>
      </c>
      <c r="J46" s="8" t="s">
        <v>48</v>
      </c>
      <c r="K46" s="8" t="s">
        <v>45</v>
      </c>
      <c r="L46" s="8" t="s">
        <v>48</v>
      </c>
      <c r="M46" s="8" t="s">
        <v>46</v>
      </c>
      <c r="N46" s="8" t="s">
        <v>47</v>
      </c>
      <c r="O46" s="8" t="s">
        <v>45</v>
      </c>
      <c r="P46" s="8" t="s">
        <v>46</v>
      </c>
      <c r="Q46" s="8" t="s">
        <v>48</v>
      </c>
      <c r="R46" s="8" t="s">
        <v>48</v>
      </c>
      <c r="S46" s="8" t="s">
        <v>46</v>
      </c>
      <c r="T46" s="8" t="s">
        <v>45</v>
      </c>
      <c r="U46" s="8" t="s">
        <v>45</v>
      </c>
      <c r="V46" s="8" t="s">
        <v>46</v>
      </c>
      <c r="W46" s="8" t="s">
        <v>46</v>
      </c>
      <c r="X46" s="8" t="s">
        <v>46</v>
      </c>
      <c r="Y46" s="8" t="s">
        <v>47</v>
      </c>
      <c r="Z46" s="8" t="s">
        <v>46</v>
      </c>
      <c r="AA46" s="8" t="s">
        <v>47</v>
      </c>
      <c r="AB46" s="8" t="s">
        <v>46</v>
      </c>
      <c r="AC46" s="8" t="s">
        <v>47</v>
      </c>
      <c r="AD46" s="8" t="s">
        <v>46</v>
      </c>
      <c r="AE46" s="8" t="s">
        <v>46</v>
      </c>
    </row>
    <row r="47" customFormat="false" ht="15" hidden="false" customHeight="false" outlineLevel="0" collapsed="false">
      <c r="A47" s="7" t="s">
        <v>93</v>
      </c>
      <c r="B47" s="8" t="s">
        <v>45</v>
      </c>
      <c r="C47" s="8" t="s">
        <v>45</v>
      </c>
      <c r="D47" s="8" t="s">
        <v>47</v>
      </c>
      <c r="E47" s="8" t="s">
        <v>47</v>
      </c>
      <c r="F47" s="8" t="s">
        <v>45</v>
      </c>
      <c r="G47" s="8" t="s">
        <v>47</v>
      </c>
      <c r="H47" s="8" t="s">
        <v>46</v>
      </c>
      <c r="I47" s="8" t="s">
        <v>46</v>
      </c>
      <c r="J47" s="8" t="s">
        <v>48</v>
      </c>
      <c r="K47" s="8" t="s">
        <v>45</v>
      </c>
      <c r="L47" s="8" t="s">
        <v>48</v>
      </c>
      <c r="M47" s="8" t="s">
        <v>46</v>
      </c>
      <c r="N47" s="8" t="s">
        <v>47</v>
      </c>
      <c r="O47" s="8" t="s">
        <v>45</v>
      </c>
      <c r="P47" s="8" t="s">
        <v>48</v>
      </c>
      <c r="Q47" s="8" t="s">
        <v>48</v>
      </c>
      <c r="R47" s="8" t="s">
        <v>48</v>
      </c>
      <c r="S47" s="8" t="s">
        <v>48</v>
      </c>
      <c r="T47" s="8" t="s">
        <v>45</v>
      </c>
      <c r="U47" s="8" t="s">
        <v>45</v>
      </c>
      <c r="V47" s="8" t="s">
        <v>45</v>
      </c>
      <c r="W47" s="8" t="s">
        <v>46</v>
      </c>
      <c r="X47" s="8" t="s">
        <v>46</v>
      </c>
      <c r="Y47" s="8" t="s">
        <v>47</v>
      </c>
      <c r="Z47" s="8" t="s">
        <v>46</v>
      </c>
      <c r="AA47" s="8" t="s">
        <v>46</v>
      </c>
      <c r="AB47" s="8" t="s">
        <v>45</v>
      </c>
      <c r="AC47" s="8" t="s">
        <v>47</v>
      </c>
      <c r="AD47" s="8" t="s">
        <v>45</v>
      </c>
      <c r="AE47" s="8" t="s">
        <v>46</v>
      </c>
    </row>
    <row r="48" customFormat="false" ht="15" hidden="false" customHeight="false" outlineLevel="0" collapsed="false">
      <c r="A48" s="7" t="s">
        <v>94</v>
      </c>
      <c r="B48" s="8" t="s">
        <v>45</v>
      </c>
      <c r="C48" s="8" t="s">
        <v>47</v>
      </c>
      <c r="D48" s="8" t="s">
        <v>45</v>
      </c>
      <c r="E48" s="8" t="s">
        <v>47</v>
      </c>
      <c r="F48" s="8" t="s">
        <v>45</v>
      </c>
      <c r="G48" s="8" t="s">
        <v>48</v>
      </c>
      <c r="H48" s="8" t="s">
        <v>47</v>
      </c>
      <c r="I48" s="8" t="s">
        <v>46</v>
      </c>
      <c r="J48" s="8" t="s">
        <v>48</v>
      </c>
      <c r="K48" s="8" t="s">
        <v>45</v>
      </c>
      <c r="L48" s="8" t="s">
        <v>48</v>
      </c>
      <c r="M48" s="8" t="s">
        <v>46</v>
      </c>
      <c r="N48" s="8" t="s">
        <v>47</v>
      </c>
      <c r="O48" s="8" t="s">
        <v>45</v>
      </c>
      <c r="P48" s="8" t="s">
        <v>48</v>
      </c>
      <c r="Q48" s="8" t="s">
        <v>48</v>
      </c>
      <c r="R48" s="8" t="s">
        <v>48</v>
      </c>
      <c r="S48" s="8" t="s">
        <v>48</v>
      </c>
      <c r="T48" s="8" t="s">
        <v>47</v>
      </c>
      <c r="U48" s="8" t="s">
        <v>45</v>
      </c>
      <c r="V48" s="8" t="s">
        <v>46</v>
      </c>
      <c r="W48" s="8" t="s">
        <v>48</v>
      </c>
      <c r="X48" s="8" t="s">
        <v>46</v>
      </c>
      <c r="Y48" s="8" t="s">
        <v>46</v>
      </c>
      <c r="Z48" s="8" t="s">
        <v>46</v>
      </c>
      <c r="AA48" s="8" t="s">
        <v>47</v>
      </c>
      <c r="AB48" s="8" t="s">
        <v>47</v>
      </c>
      <c r="AC48" s="8" t="s">
        <v>47</v>
      </c>
      <c r="AD48" s="8" t="s">
        <v>46</v>
      </c>
      <c r="AE48" s="8" t="s">
        <v>46</v>
      </c>
    </row>
    <row r="49" customFormat="false" ht="15" hidden="false" customHeight="false" outlineLevel="0" collapsed="false">
      <c r="A49" s="7" t="s">
        <v>95</v>
      </c>
      <c r="B49" s="8" t="s">
        <v>45</v>
      </c>
      <c r="C49" s="8" t="s">
        <v>46</v>
      </c>
      <c r="D49" s="8" t="s">
        <v>45</v>
      </c>
      <c r="E49" s="8" t="s">
        <v>47</v>
      </c>
      <c r="F49" s="8" t="s">
        <v>47</v>
      </c>
      <c r="G49" s="8" t="s">
        <v>47</v>
      </c>
      <c r="H49" s="8" t="s">
        <v>46</v>
      </c>
      <c r="I49" s="8" t="s">
        <v>46</v>
      </c>
      <c r="J49" s="8" t="s">
        <v>48</v>
      </c>
      <c r="K49" s="8" t="s">
        <v>45</v>
      </c>
      <c r="L49" s="8" t="s">
        <v>48</v>
      </c>
      <c r="M49" s="8" t="s">
        <v>46</v>
      </c>
      <c r="N49" s="8" t="s">
        <v>47</v>
      </c>
      <c r="O49" s="8" t="s">
        <v>45</v>
      </c>
      <c r="P49" s="8" t="s">
        <v>48</v>
      </c>
      <c r="Q49" s="8" t="s">
        <v>48</v>
      </c>
      <c r="R49" s="8" t="s">
        <v>48</v>
      </c>
      <c r="S49" s="8" t="s">
        <v>46</v>
      </c>
      <c r="T49" s="8" t="s">
        <v>45</v>
      </c>
      <c r="U49" s="8" t="s">
        <v>45</v>
      </c>
      <c r="V49" s="8" t="s">
        <v>46</v>
      </c>
      <c r="W49" s="8" t="s">
        <v>46</v>
      </c>
      <c r="X49" s="8" t="s">
        <v>46</v>
      </c>
      <c r="Y49" s="8" t="s">
        <v>47</v>
      </c>
      <c r="Z49" s="8" t="s">
        <v>46</v>
      </c>
      <c r="AA49" s="8" t="s">
        <v>47</v>
      </c>
      <c r="AB49" s="8" t="s">
        <v>46</v>
      </c>
      <c r="AC49" s="8" t="s">
        <v>47</v>
      </c>
      <c r="AD49" s="8" t="s">
        <v>46</v>
      </c>
      <c r="AE49" s="8" t="s">
        <v>46</v>
      </c>
    </row>
    <row r="50" customFormat="false" ht="15" hidden="false" customHeight="false" outlineLevel="0" collapsed="false">
      <c r="A50" s="7" t="s">
        <v>96</v>
      </c>
      <c r="B50" s="8" t="s">
        <v>45</v>
      </c>
      <c r="C50" s="8" t="s">
        <v>45</v>
      </c>
      <c r="D50" s="8" t="s">
        <v>47</v>
      </c>
      <c r="E50" s="8" t="s">
        <v>47</v>
      </c>
      <c r="F50" s="8" t="s">
        <v>48</v>
      </c>
      <c r="G50" s="8" t="s">
        <v>48</v>
      </c>
      <c r="H50" s="8" t="s">
        <v>47</v>
      </c>
      <c r="I50" s="8" t="s">
        <v>48</v>
      </c>
      <c r="J50" s="8" t="s">
        <v>47</v>
      </c>
      <c r="K50" s="8" t="s">
        <v>46</v>
      </c>
      <c r="L50" s="8" t="s">
        <v>47</v>
      </c>
      <c r="M50" s="8" t="s">
        <v>46</v>
      </c>
      <c r="N50" s="8" t="s">
        <v>46</v>
      </c>
      <c r="O50" s="8" t="s">
        <v>48</v>
      </c>
      <c r="P50" s="8" t="s">
        <v>45</v>
      </c>
      <c r="Q50" s="8" t="s">
        <v>46</v>
      </c>
      <c r="R50" s="8" t="s">
        <v>48</v>
      </c>
      <c r="S50" s="8" t="s">
        <v>46</v>
      </c>
      <c r="T50" s="8" t="s">
        <v>46</v>
      </c>
      <c r="U50" s="8" t="s">
        <v>47</v>
      </c>
      <c r="V50" s="8" t="s">
        <v>45</v>
      </c>
      <c r="W50" s="8" t="s">
        <v>48</v>
      </c>
      <c r="X50" s="8" t="s">
        <v>47</v>
      </c>
      <c r="Y50" s="8" t="s">
        <v>46</v>
      </c>
      <c r="Z50" s="8" t="s">
        <v>46</v>
      </c>
      <c r="AA50" s="8" t="s">
        <v>48</v>
      </c>
      <c r="AB50" s="8" t="s">
        <v>48</v>
      </c>
      <c r="AC50" s="8" t="s">
        <v>47</v>
      </c>
      <c r="AD50" s="8" t="s">
        <v>48</v>
      </c>
      <c r="AE50" s="8" t="s">
        <v>48</v>
      </c>
    </row>
    <row r="51" customFormat="false" ht="15" hidden="false" customHeight="false" outlineLevel="0" collapsed="false">
      <c r="A51" s="7" t="s">
        <v>97</v>
      </c>
      <c r="B51" s="8" t="s">
        <v>45</v>
      </c>
      <c r="C51" s="8" t="s">
        <v>46</v>
      </c>
      <c r="D51" s="8" t="s">
        <v>45</v>
      </c>
      <c r="E51" s="8" t="s">
        <v>47</v>
      </c>
      <c r="F51" s="8" t="s">
        <v>47</v>
      </c>
      <c r="G51" s="8" t="s">
        <v>47</v>
      </c>
      <c r="H51" s="8" t="s">
        <v>46</v>
      </c>
      <c r="I51" s="8" t="s">
        <v>46</v>
      </c>
      <c r="J51" s="8" t="s">
        <v>48</v>
      </c>
      <c r="K51" s="8" t="s">
        <v>45</v>
      </c>
      <c r="L51" s="8" t="s">
        <v>48</v>
      </c>
      <c r="M51" s="8" t="s">
        <v>46</v>
      </c>
      <c r="N51" s="8" t="s">
        <v>47</v>
      </c>
      <c r="O51" s="8" t="s">
        <v>45</v>
      </c>
      <c r="P51" s="8" t="s">
        <v>46</v>
      </c>
      <c r="Q51" s="8" t="s">
        <v>48</v>
      </c>
      <c r="R51" s="8" t="s">
        <v>48</v>
      </c>
      <c r="S51" s="8" t="s">
        <v>46</v>
      </c>
      <c r="T51" s="8" t="s">
        <v>45</v>
      </c>
      <c r="U51" s="8" t="s">
        <v>45</v>
      </c>
      <c r="V51" s="8" t="s">
        <v>46</v>
      </c>
      <c r="W51" s="8" t="s">
        <v>46</v>
      </c>
      <c r="X51" s="8" t="s">
        <v>46</v>
      </c>
      <c r="Y51" s="8" t="s">
        <v>47</v>
      </c>
      <c r="Z51" s="8" t="s">
        <v>46</v>
      </c>
      <c r="AA51" s="8" t="s">
        <v>47</v>
      </c>
      <c r="AB51" s="8" t="s">
        <v>45</v>
      </c>
      <c r="AC51" s="8" t="s">
        <v>47</v>
      </c>
      <c r="AD51" s="8" t="s">
        <v>46</v>
      </c>
      <c r="AE51" s="8" t="s">
        <v>46</v>
      </c>
    </row>
    <row r="52" customFormat="false" ht="15" hidden="false" customHeight="false" outlineLevel="0" collapsed="false">
      <c r="A52" s="7" t="s">
        <v>98</v>
      </c>
      <c r="B52" s="8" t="s">
        <v>45</v>
      </c>
      <c r="C52" s="8" t="s">
        <v>46</v>
      </c>
      <c r="D52" s="8" t="s">
        <v>45</v>
      </c>
      <c r="E52" s="8" t="s">
        <v>47</v>
      </c>
      <c r="F52" s="8" t="s">
        <v>47</v>
      </c>
      <c r="G52" s="8" t="s">
        <v>47</v>
      </c>
      <c r="H52" s="8" t="s">
        <v>46</v>
      </c>
      <c r="I52" s="8" t="s">
        <v>46</v>
      </c>
      <c r="J52" s="8" t="s">
        <v>48</v>
      </c>
      <c r="K52" s="8" t="s">
        <v>45</v>
      </c>
      <c r="L52" s="8" t="s">
        <v>48</v>
      </c>
      <c r="M52" s="8" t="s">
        <v>46</v>
      </c>
      <c r="N52" s="8" t="s">
        <v>47</v>
      </c>
      <c r="O52" s="8" t="s">
        <v>45</v>
      </c>
      <c r="P52" s="8" t="s">
        <v>48</v>
      </c>
      <c r="Q52" s="8" t="s">
        <v>48</v>
      </c>
      <c r="R52" s="8" t="s">
        <v>48</v>
      </c>
      <c r="S52" s="8" t="s">
        <v>45</v>
      </c>
      <c r="T52" s="8" t="s">
        <v>45</v>
      </c>
      <c r="U52" s="8" t="s">
        <v>45</v>
      </c>
      <c r="V52" s="8" t="s">
        <v>46</v>
      </c>
      <c r="W52" s="8" t="s">
        <v>46</v>
      </c>
      <c r="X52" s="8" t="s">
        <v>46</v>
      </c>
      <c r="Y52" s="8" t="s">
        <v>47</v>
      </c>
      <c r="Z52" s="8" t="s">
        <v>46</v>
      </c>
      <c r="AA52" s="8" t="s">
        <v>47</v>
      </c>
      <c r="AB52" s="8" t="s">
        <v>47</v>
      </c>
      <c r="AC52" s="8" t="s">
        <v>47</v>
      </c>
      <c r="AD52" s="8" t="s">
        <v>46</v>
      </c>
      <c r="AE52" s="8" t="s">
        <v>46</v>
      </c>
    </row>
    <row r="53" customFormat="false" ht="15" hidden="false" customHeight="false" outlineLevel="0" collapsed="false">
      <c r="A53" s="7" t="s">
        <v>99</v>
      </c>
      <c r="B53" s="8" t="s">
        <v>45</v>
      </c>
      <c r="C53" s="8" t="s">
        <v>46</v>
      </c>
      <c r="D53" s="8" t="s">
        <v>45</v>
      </c>
      <c r="E53" s="8" t="s">
        <v>47</v>
      </c>
      <c r="F53" s="8" t="s">
        <v>47</v>
      </c>
      <c r="G53" s="8" t="s">
        <v>47</v>
      </c>
      <c r="H53" s="8" t="s">
        <v>46</v>
      </c>
      <c r="I53" s="8" t="s">
        <v>46</v>
      </c>
      <c r="J53" s="8" t="s">
        <v>48</v>
      </c>
      <c r="K53" s="8" t="s">
        <v>45</v>
      </c>
      <c r="L53" s="8" t="s">
        <v>48</v>
      </c>
      <c r="M53" s="8" t="s">
        <v>46</v>
      </c>
      <c r="N53" s="8" t="s">
        <v>47</v>
      </c>
      <c r="O53" s="8" t="s">
        <v>45</v>
      </c>
      <c r="P53" s="8" t="s">
        <v>48</v>
      </c>
      <c r="Q53" s="8" t="s">
        <v>48</v>
      </c>
      <c r="R53" s="8" t="s">
        <v>48</v>
      </c>
      <c r="S53" s="8" t="s">
        <v>47</v>
      </c>
      <c r="T53" s="8" t="s">
        <v>45</v>
      </c>
      <c r="U53" s="8" t="s">
        <v>45</v>
      </c>
      <c r="V53" s="8" t="s">
        <v>46</v>
      </c>
      <c r="W53" s="8" t="s">
        <v>46</v>
      </c>
      <c r="X53" s="8" t="s">
        <v>46</v>
      </c>
      <c r="Y53" s="8" t="s">
        <v>47</v>
      </c>
      <c r="Z53" s="8" t="s">
        <v>46</v>
      </c>
      <c r="AA53" s="8" t="s">
        <v>47</v>
      </c>
      <c r="AB53" s="8" t="s">
        <v>47</v>
      </c>
      <c r="AC53" s="8" t="s">
        <v>47</v>
      </c>
      <c r="AD53" s="8" t="s">
        <v>46</v>
      </c>
      <c r="AE53" s="8" t="s">
        <v>46</v>
      </c>
    </row>
    <row r="54" customFormat="false" ht="15" hidden="false" customHeight="false" outlineLevel="0" collapsed="false">
      <c r="A54" s="7" t="s">
        <v>100</v>
      </c>
      <c r="B54" s="8" t="s">
        <v>45</v>
      </c>
      <c r="C54" s="8" t="s">
        <v>46</v>
      </c>
      <c r="D54" s="8" t="s">
        <v>48</v>
      </c>
      <c r="E54" s="8" t="s">
        <v>47</v>
      </c>
      <c r="F54" s="8" t="s">
        <v>46</v>
      </c>
      <c r="G54" s="8" t="s">
        <v>45</v>
      </c>
      <c r="H54" s="8" t="s">
        <v>46</v>
      </c>
      <c r="I54" s="8" t="s">
        <v>46</v>
      </c>
      <c r="J54" s="8" t="s">
        <v>48</v>
      </c>
      <c r="K54" s="8" t="s">
        <v>45</v>
      </c>
      <c r="L54" s="8" t="s">
        <v>48</v>
      </c>
      <c r="M54" s="8" t="s">
        <v>46</v>
      </c>
      <c r="N54" s="8" t="s">
        <v>46</v>
      </c>
      <c r="O54" s="8" t="s">
        <v>46</v>
      </c>
      <c r="P54" s="8" t="s">
        <v>46</v>
      </c>
      <c r="Q54" s="8" t="s">
        <v>48</v>
      </c>
      <c r="R54" s="8" t="s">
        <v>48</v>
      </c>
      <c r="S54" s="8" t="s">
        <v>45</v>
      </c>
      <c r="T54" s="8" t="s">
        <v>45</v>
      </c>
      <c r="U54" s="8" t="s">
        <v>45</v>
      </c>
      <c r="V54" s="8" t="s">
        <v>46</v>
      </c>
      <c r="W54" s="8" t="s">
        <v>48</v>
      </c>
      <c r="X54" s="8" t="s">
        <v>46</v>
      </c>
      <c r="Y54" s="8" t="s">
        <v>47</v>
      </c>
      <c r="Z54" s="8" t="s">
        <v>46</v>
      </c>
      <c r="AA54" s="8" t="s">
        <v>47</v>
      </c>
      <c r="AB54" s="8" t="s">
        <v>47</v>
      </c>
      <c r="AC54" s="8" t="s">
        <v>47</v>
      </c>
      <c r="AD54" s="8" t="s">
        <v>45</v>
      </c>
      <c r="AE54" s="8" t="s">
        <v>46</v>
      </c>
    </row>
    <row r="55" customFormat="false" ht="15" hidden="false" customHeight="false" outlineLevel="0" collapsed="false">
      <c r="A55" s="7" t="s">
        <v>101</v>
      </c>
      <c r="B55" s="8" t="s">
        <v>48</v>
      </c>
      <c r="C55" s="8" t="s">
        <v>45</v>
      </c>
      <c r="D55" s="8" t="s">
        <v>47</v>
      </c>
      <c r="E55" s="8" t="s">
        <v>47</v>
      </c>
      <c r="F55" s="8" t="s">
        <v>46</v>
      </c>
      <c r="G55" s="8" t="s">
        <v>47</v>
      </c>
      <c r="H55" s="8" t="s">
        <v>48</v>
      </c>
      <c r="I55" s="8" t="s">
        <v>46</v>
      </c>
      <c r="J55" s="8" t="s">
        <v>48</v>
      </c>
      <c r="K55" s="8" t="s">
        <v>45</v>
      </c>
      <c r="L55" s="8" t="s">
        <v>46</v>
      </c>
      <c r="M55" s="8" t="s">
        <v>46</v>
      </c>
      <c r="N55" s="8" t="s">
        <v>47</v>
      </c>
      <c r="O55" s="8" t="s">
        <v>47</v>
      </c>
      <c r="P55" s="8" t="s">
        <v>45</v>
      </c>
      <c r="Q55" s="8" t="s">
        <v>48</v>
      </c>
      <c r="R55" s="8" t="s">
        <v>48</v>
      </c>
      <c r="S55" s="8" t="s">
        <v>47</v>
      </c>
      <c r="T55" s="8" t="s">
        <v>45</v>
      </c>
      <c r="U55" s="8" t="s">
        <v>46</v>
      </c>
      <c r="V55" s="8" t="s">
        <v>45</v>
      </c>
      <c r="W55" s="8" t="s">
        <v>48</v>
      </c>
      <c r="X55" s="8" t="s">
        <v>48</v>
      </c>
      <c r="Y55" s="8" t="s">
        <v>47</v>
      </c>
      <c r="Z55" s="8" t="s">
        <v>46</v>
      </c>
      <c r="AA55" s="8" t="s">
        <v>47</v>
      </c>
      <c r="AB55" s="8" t="s">
        <v>45</v>
      </c>
      <c r="AC55" s="8" t="s">
        <v>47</v>
      </c>
      <c r="AD55" s="8" t="s">
        <v>47</v>
      </c>
      <c r="AE55" s="8" t="s">
        <v>45</v>
      </c>
    </row>
    <row r="56" customFormat="false" ht="15" hidden="false" customHeight="false" outlineLevel="0" collapsed="false">
      <c r="A56" s="7" t="s">
        <v>102</v>
      </c>
      <c r="B56" s="8" t="s">
        <v>46</v>
      </c>
      <c r="C56" s="8" t="s">
        <v>46</v>
      </c>
      <c r="D56" s="8" t="s">
        <v>45</v>
      </c>
      <c r="E56" s="8" t="s">
        <v>47</v>
      </c>
      <c r="F56" s="8" t="s">
        <v>48</v>
      </c>
      <c r="G56" s="8" t="s">
        <v>47</v>
      </c>
      <c r="H56" s="8" t="s">
        <v>46</v>
      </c>
      <c r="I56" s="8" t="s">
        <v>46</v>
      </c>
      <c r="J56" s="8" t="s">
        <v>48</v>
      </c>
      <c r="K56" s="8" t="s">
        <v>45</v>
      </c>
      <c r="L56" s="8" t="s">
        <v>48</v>
      </c>
      <c r="M56" s="8" t="s">
        <v>46</v>
      </c>
      <c r="N56" s="8" t="s">
        <v>45</v>
      </c>
      <c r="O56" s="8" t="s">
        <v>47</v>
      </c>
      <c r="P56" s="8" t="s">
        <v>48</v>
      </c>
      <c r="Q56" s="8" t="s">
        <v>48</v>
      </c>
      <c r="R56" s="8" t="s">
        <v>48</v>
      </c>
      <c r="S56" s="8" t="s">
        <v>48</v>
      </c>
      <c r="T56" s="8" t="s">
        <v>48</v>
      </c>
      <c r="U56" s="8" t="s">
        <v>45</v>
      </c>
      <c r="V56" s="8" t="s">
        <v>46</v>
      </c>
      <c r="W56" s="8" t="s">
        <v>46</v>
      </c>
      <c r="X56" s="8" t="s">
        <v>46</v>
      </c>
      <c r="Y56" s="8" t="s">
        <v>47</v>
      </c>
      <c r="Z56" s="8" t="s">
        <v>46</v>
      </c>
      <c r="AA56" s="8" t="s">
        <v>48</v>
      </c>
      <c r="AB56" s="8" t="s">
        <v>47</v>
      </c>
      <c r="AC56" s="8" t="s">
        <v>47</v>
      </c>
      <c r="AD56" s="8" t="s">
        <v>46</v>
      </c>
      <c r="AE56" s="8" t="s">
        <v>46</v>
      </c>
    </row>
    <row r="57" customFormat="false" ht="15" hidden="false" customHeight="false" outlineLevel="0" collapsed="false">
      <c r="A57" s="7" t="s">
        <v>103</v>
      </c>
      <c r="B57" s="8" t="s">
        <v>47</v>
      </c>
      <c r="C57" s="8" t="s">
        <v>48</v>
      </c>
      <c r="D57" s="8" t="s">
        <v>47</v>
      </c>
      <c r="E57" s="8" t="s">
        <v>47</v>
      </c>
      <c r="F57" s="8" t="s">
        <v>46</v>
      </c>
      <c r="G57" s="8" t="s">
        <v>48</v>
      </c>
      <c r="H57" s="8" t="s">
        <v>48</v>
      </c>
      <c r="I57" s="8" t="s">
        <v>48</v>
      </c>
      <c r="J57" s="8" t="s">
        <v>48</v>
      </c>
      <c r="K57" s="8" t="s">
        <v>48</v>
      </c>
      <c r="L57" s="8" t="s">
        <v>47</v>
      </c>
      <c r="M57" s="8" t="s">
        <v>46</v>
      </c>
      <c r="N57" s="8" t="s">
        <v>48</v>
      </c>
      <c r="O57" s="8" t="s">
        <v>45</v>
      </c>
      <c r="P57" s="8" t="s">
        <v>47</v>
      </c>
      <c r="Q57" s="8" t="s">
        <v>48</v>
      </c>
      <c r="R57" s="8" t="s">
        <v>48</v>
      </c>
      <c r="S57" s="8" t="s">
        <v>46</v>
      </c>
      <c r="T57" s="8" t="s">
        <v>47</v>
      </c>
      <c r="U57" s="8" t="s">
        <v>48</v>
      </c>
      <c r="V57" s="8" t="s">
        <v>46</v>
      </c>
      <c r="W57" s="8" t="s">
        <v>48</v>
      </c>
      <c r="X57" s="8" t="s">
        <v>48</v>
      </c>
      <c r="Y57" s="8" t="s">
        <v>45</v>
      </c>
      <c r="Z57" s="8" t="s">
        <v>45</v>
      </c>
      <c r="AA57" s="8" t="s">
        <v>48</v>
      </c>
      <c r="AB57" s="8" t="s">
        <v>45</v>
      </c>
      <c r="AC57" s="8" t="s">
        <v>47</v>
      </c>
      <c r="AD57" s="8" t="s">
        <v>46</v>
      </c>
      <c r="AE57" s="8" t="s">
        <v>46</v>
      </c>
    </row>
    <row r="58" customFormat="false" ht="15" hidden="false" customHeight="false" outlineLevel="0" collapsed="false">
      <c r="A58" s="7" t="s">
        <v>104</v>
      </c>
      <c r="B58" s="8" t="s">
        <v>45</v>
      </c>
      <c r="C58" s="8" t="s">
        <v>45</v>
      </c>
      <c r="D58" s="8" t="s">
        <v>46</v>
      </c>
      <c r="E58" s="8" t="s">
        <v>45</v>
      </c>
      <c r="F58" s="8" t="s">
        <v>48</v>
      </c>
      <c r="G58" s="8" t="s">
        <v>47</v>
      </c>
      <c r="H58" s="8" t="s">
        <v>46</v>
      </c>
      <c r="I58" s="8" t="s">
        <v>46</v>
      </c>
      <c r="J58" s="8" t="s">
        <v>48</v>
      </c>
      <c r="K58" s="8" t="s">
        <v>48</v>
      </c>
      <c r="L58" s="8" t="s">
        <v>46</v>
      </c>
      <c r="M58" s="8" t="s">
        <v>46</v>
      </c>
      <c r="N58" s="8" t="s">
        <v>47</v>
      </c>
      <c r="O58" s="8" t="s">
        <v>45</v>
      </c>
      <c r="P58" s="8" t="s">
        <v>46</v>
      </c>
      <c r="Q58" s="8" t="s">
        <v>48</v>
      </c>
      <c r="R58" s="8" t="s">
        <v>48</v>
      </c>
      <c r="S58" s="8" t="s">
        <v>47</v>
      </c>
      <c r="T58" s="8" t="s">
        <v>46</v>
      </c>
      <c r="U58" s="8" t="s">
        <v>45</v>
      </c>
      <c r="V58" s="8" t="s">
        <v>46</v>
      </c>
      <c r="W58" s="8" t="s">
        <v>45</v>
      </c>
      <c r="X58" s="8" t="s">
        <v>46</v>
      </c>
      <c r="Y58" s="8" t="s">
        <v>48</v>
      </c>
      <c r="Z58" s="8" t="s">
        <v>45</v>
      </c>
      <c r="AA58" s="8" t="s">
        <v>47</v>
      </c>
      <c r="AB58" s="8" t="s">
        <v>47</v>
      </c>
      <c r="AC58" s="8" t="s">
        <v>47</v>
      </c>
      <c r="AD58" s="8" t="s">
        <v>46</v>
      </c>
      <c r="AE58" s="8" t="s">
        <v>45</v>
      </c>
    </row>
    <row r="59" customFormat="false" ht="15" hidden="false" customHeight="false" outlineLevel="0" collapsed="false">
      <c r="A59" s="7" t="s">
        <v>105</v>
      </c>
      <c r="B59" s="8" t="s">
        <v>47</v>
      </c>
      <c r="C59" s="8" t="s">
        <v>47</v>
      </c>
      <c r="D59" s="8" t="s">
        <v>46</v>
      </c>
      <c r="E59" s="8" t="s">
        <v>47</v>
      </c>
      <c r="F59" s="8" t="s">
        <v>48</v>
      </c>
      <c r="G59" s="8" t="s">
        <v>46</v>
      </c>
      <c r="H59" s="8" t="s">
        <v>46</v>
      </c>
      <c r="I59" s="8" t="s">
        <v>46</v>
      </c>
      <c r="J59" s="8" t="s">
        <v>48</v>
      </c>
      <c r="K59" s="8" t="s">
        <v>46</v>
      </c>
      <c r="L59" s="8" t="s">
        <v>48</v>
      </c>
      <c r="M59" s="8" t="s">
        <v>46</v>
      </c>
      <c r="N59" s="8" t="s">
        <v>48</v>
      </c>
      <c r="O59" s="8" t="s">
        <v>48</v>
      </c>
      <c r="P59" s="8" t="s">
        <v>46</v>
      </c>
      <c r="Q59" s="8" t="s">
        <v>48</v>
      </c>
      <c r="R59" s="8" t="s">
        <v>48</v>
      </c>
      <c r="S59" s="8" t="s">
        <v>48</v>
      </c>
      <c r="T59" s="8" t="s">
        <v>48</v>
      </c>
      <c r="U59" s="8" t="s">
        <v>46</v>
      </c>
      <c r="V59" s="8" t="s">
        <v>48</v>
      </c>
      <c r="W59" s="8" t="s">
        <v>46</v>
      </c>
      <c r="X59" s="8" t="s">
        <v>46</v>
      </c>
      <c r="Y59" s="8" t="s">
        <v>46</v>
      </c>
      <c r="Z59" s="8" t="s">
        <v>46</v>
      </c>
      <c r="AA59" s="8" t="s">
        <v>48</v>
      </c>
      <c r="AB59" s="8" t="s">
        <v>48</v>
      </c>
      <c r="AC59" s="8" t="s">
        <v>48</v>
      </c>
      <c r="AD59" s="8" t="s">
        <v>48</v>
      </c>
      <c r="AE59" s="8" t="s">
        <v>48</v>
      </c>
    </row>
    <row r="60" customFormat="false" ht="15" hidden="false" customHeight="false" outlineLevel="0" collapsed="false">
      <c r="A60" s="7" t="s">
        <v>106</v>
      </c>
      <c r="B60" s="8" t="s">
        <v>45</v>
      </c>
      <c r="C60" s="8" t="s">
        <v>48</v>
      </c>
      <c r="D60" s="8" t="s">
        <v>46</v>
      </c>
      <c r="E60" s="8" t="s">
        <v>47</v>
      </c>
      <c r="F60" s="8" t="s">
        <v>45</v>
      </c>
      <c r="G60" s="8" t="s">
        <v>47</v>
      </c>
      <c r="H60" s="8" t="s">
        <v>47</v>
      </c>
      <c r="I60" s="8" t="s">
        <v>46</v>
      </c>
      <c r="J60" s="8" t="s">
        <v>45</v>
      </c>
      <c r="K60" s="8" t="s">
        <v>45</v>
      </c>
      <c r="L60" s="8" t="s">
        <v>48</v>
      </c>
      <c r="M60" s="8" t="s">
        <v>46</v>
      </c>
      <c r="N60" s="8" t="s">
        <v>48</v>
      </c>
      <c r="O60" s="8" t="s">
        <v>45</v>
      </c>
      <c r="P60" s="8" t="s">
        <v>47</v>
      </c>
      <c r="Q60" s="8" t="s">
        <v>48</v>
      </c>
      <c r="R60" s="8" t="s">
        <v>48</v>
      </c>
      <c r="S60" s="8" t="s">
        <v>48</v>
      </c>
      <c r="T60" s="8" t="s">
        <v>45</v>
      </c>
      <c r="U60" s="8" t="s">
        <v>45</v>
      </c>
      <c r="V60" s="8" t="s">
        <v>48</v>
      </c>
      <c r="W60" s="8" t="s">
        <v>46</v>
      </c>
      <c r="X60" s="8" t="s">
        <v>46</v>
      </c>
      <c r="Y60" s="8" t="s">
        <v>48</v>
      </c>
      <c r="Z60" s="8" t="s">
        <v>46</v>
      </c>
      <c r="AA60" s="8" t="s">
        <v>47</v>
      </c>
      <c r="AB60" s="8" t="s">
        <v>47</v>
      </c>
      <c r="AC60" s="8" t="s">
        <v>46</v>
      </c>
      <c r="AD60" s="8" t="s">
        <v>46</v>
      </c>
      <c r="AE60" s="8" t="s">
        <v>45</v>
      </c>
    </row>
    <row r="61" customFormat="false" ht="15" hidden="false" customHeight="false" outlineLevel="0" collapsed="false">
      <c r="A61" s="7" t="s">
        <v>107</v>
      </c>
      <c r="B61" s="8" t="s">
        <v>45</v>
      </c>
      <c r="C61" s="8" t="s">
        <v>45</v>
      </c>
      <c r="D61" s="8" t="s">
        <v>46</v>
      </c>
      <c r="E61" s="8" t="s">
        <v>47</v>
      </c>
      <c r="F61" s="8" t="s">
        <v>47</v>
      </c>
      <c r="G61" s="8" t="s">
        <v>47</v>
      </c>
      <c r="H61" s="8" t="s">
        <v>46</v>
      </c>
      <c r="I61" s="8" t="s">
        <v>46</v>
      </c>
      <c r="J61" s="8" t="s">
        <v>48</v>
      </c>
      <c r="K61" s="8" t="s">
        <v>45</v>
      </c>
      <c r="L61" s="8" t="s">
        <v>48</v>
      </c>
      <c r="M61" s="8" t="s">
        <v>46</v>
      </c>
      <c r="N61" s="8" t="s">
        <v>47</v>
      </c>
      <c r="O61" s="8" t="s">
        <v>45</v>
      </c>
      <c r="P61" s="8" t="s">
        <v>46</v>
      </c>
      <c r="Q61" s="8" t="s">
        <v>48</v>
      </c>
      <c r="R61" s="8" t="s">
        <v>48</v>
      </c>
      <c r="S61" s="8" t="s">
        <v>46</v>
      </c>
      <c r="T61" s="8" t="s">
        <v>45</v>
      </c>
      <c r="U61" s="8" t="s">
        <v>45</v>
      </c>
      <c r="V61" s="8" t="s">
        <v>46</v>
      </c>
      <c r="W61" s="8" t="s">
        <v>46</v>
      </c>
      <c r="X61" s="8" t="s">
        <v>46</v>
      </c>
      <c r="Y61" s="8" t="s">
        <v>47</v>
      </c>
      <c r="Z61" s="8" t="s">
        <v>46</v>
      </c>
      <c r="AA61" s="8" t="s">
        <v>47</v>
      </c>
      <c r="AB61" s="8" t="s">
        <v>48</v>
      </c>
      <c r="AC61" s="8" t="s">
        <v>47</v>
      </c>
      <c r="AD61" s="8" t="s">
        <v>48</v>
      </c>
      <c r="AE61" s="8" t="s">
        <v>46</v>
      </c>
    </row>
    <row r="62" customFormat="false" ht="15" hidden="false" customHeight="false" outlineLevel="0" collapsed="false">
      <c r="A62" s="7" t="s">
        <v>108</v>
      </c>
      <c r="B62" s="8" t="s">
        <v>45</v>
      </c>
      <c r="C62" s="8" t="s">
        <v>45</v>
      </c>
      <c r="D62" s="8" t="s">
        <v>46</v>
      </c>
      <c r="E62" s="8" t="s">
        <v>47</v>
      </c>
      <c r="F62" s="8" t="s">
        <v>47</v>
      </c>
      <c r="G62" s="8" t="s">
        <v>47</v>
      </c>
      <c r="H62" s="8" t="s">
        <v>46</v>
      </c>
      <c r="I62" s="8" t="s">
        <v>48</v>
      </c>
      <c r="J62" s="8" t="s">
        <v>48</v>
      </c>
      <c r="K62" s="8" t="s">
        <v>45</v>
      </c>
      <c r="L62" s="8" t="s">
        <v>48</v>
      </c>
      <c r="M62" s="8" t="s">
        <v>46</v>
      </c>
      <c r="N62" s="8" t="s">
        <v>45</v>
      </c>
      <c r="O62" s="8" t="s">
        <v>45</v>
      </c>
      <c r="P62" s="8" t="s">
        <v>46</v>
      </c>
      <c r="Q62" s="8" t="s">
        <v>48</v>
      </c>
      <c r="R62" s="8" t="s">
        <v>48</v>
      </c>
      <c r="S62" s="8" t="s">
        <v>46</v>
      </c>
      <c r="T62" s="8" t="s">
        <v>48</v>
      </c>
      <c r="U62" s="8" t="s">
        <v>48</v>
      </c>
      <c r="V62" s="8" t="s">
        <v>47</v>
      </c>
      <c r="W62" s="8" t="s">
        <v>46</v>
      </c>
      <c r="X62" s="8" t="s">
        <v>47</v>
      </c>
      <c r="Y62" s="8" t="s">
        <v>47</v>
      </c>
      <c r="Z62" s="8" t="s">
        <v>48</v>
      </c>
      <c r="AA62" s="8" t="s">
        <v>47</v>
      </c>
      <c r="AB62" s="8" t="s">
        <v>47</v>
      </c>
      <c r="AC62" s="8" t="s">
        <v>46</v>
      </c>
      <c r="AD62" s="8" t="s">
        <v>48</v>
      </c>
      <c r="AE62" s="8" t="s">
        <v>48</v>
      </c>
    </row>
    <row r="63" customFormat="false" ht="15" hidden="false" customHeight="false" outlineLevel="0" collapsed="false">
      <c r="A63" s="7" t="s">
        <v>109</v>
      </c>
      <c r="B63" s="8" t="s">
        <v>46</v>
      </c>
      <c r="C63" s="8" t="s">
        <v>47</v>
      </c>
      <c r="D63" s="8" t="s">
        <v>46</v>
      </c>
      <c r="E63" s="8" t="s">
        <v>47</v>
      </c>
      <c r="F63" s="8" t="s">
        <v>46</v>
      </c>
      <c r="G63" s="8" t="s">
        <v>48</v>
      </c>
      <c r="H63" s="8" t="s">
        <v>46</v>
      </c>
      <c r="I63" s="8" t="s">
        <v>45</v>
      </c>
      <c r="J63" s="8" t="s">
        <v>48</v>
      </c>
      <c r="K63" s="8" t="s">
        <v>48</v>
      </c>
      <c r="L63" s="8" t="s">
        <v>45</v>
      </c>
      <c r="M63" s="8" t="s">
        <v>46</v>
      </c>
      <c r="N63" s="8" t="s">
        <v>48</v>
      </c>
      <c r="O63" s="8" t="s">
        <v>46</v>
      </c>
      <c r="P63" s="8" t="s">
        <v>48</v>
      </c>
      <c r="Q63" s="8" t="s">
        <v>46</v>
      </c>
      <c r="R63" s="8" t="s">
        <v>46</v>
      </c>
      <c r="S63" s="8" t="s">
        <v>48</v>
      </c>
      <c r="T63" s="8" t="s">
        <v>45</v>
      </c>
      <c r="U63" s="8" t="s">
        <v>46</v>
      </c>
      <c r="V63" s="8" t="s">
        <v>46</v>
      </c>
      <c r="W63" s="8" t="s">
        <v>47</v>
      </c>
      <c r="X63" s="8" t="s">
        <v>46</v>
      </c>
      <c r="Y63" s="8" t="s">
        <v>47</v>
      </c>
      <c r="Z63" s="8" t="s">
        <v>48</v>
      </c>
      <c r="AA63" s="8" t="s">
        <v>45</v>
      </c>
      <c r="AB63" s="8" t="s">
        <v>48</v>
      </c>
      <c r="AC63" s="8" t="s">
        <v>47</v>
      </c>
      <c r="AD63" s="8" t="s">
        <v>48</v>
      </c>
      <c r="AE63" s="8" t="s">
        <v>46</v>
      </c>
    </row>
    <row r="64" customFormat="false" ht="15" hidden="false" customHeight="false" outlineLevel="0" collapsed="false">
      <c r="A64" s="7" t="s">
        <v>110</v>
      </c>
      <c r="B64" s="8" t="s">
        <v>48</v>
      </c>
      <c r="C64" s="8" t="s">
        <v>48</v>
      </c>
      <c r="D64" s="8" t="s">
        <v>47</v>
      </c>
      <c r="E64" s="8" t="s">
        <v>46</v>
      </c>
      <c r="F64" s="8" t="s">
        <v>45</v>
      </c>
      <c r="G64" s="8" t="s">
        <v>47</v>
      </c>
      <c r="H64" s="8" t="s">
        <v>47</v>
      </c>
      <c r="I64" s="8" t="s">
        <v>45</v>
      </c>
      <c r="J64" s="8" t="s">
        <v>48</v>
      </c>
      <c r="K64" s="8" t="s">
        <v>48</v>
      </c>
      <c r="L64" s="8" t="s">
        <v>46</v>
      </c>
      <c r="M64" s="8" t="s">
        <v>46</v>
      </c>
      <c r="N64" s="8" t="s">
        <v>46</v>
      </c>
      <c r="O64" s="8" t="s">
        <v>45</v>
      </c>
      <c r="P64" s="8" t="s">
        <v>45</v>
      </c>
      <c r="Q64" s="8" t="s">
        <v>48</v>
      </c>
      <c r="R64" s="8" t="s">
        <v>47</v>
      </c>
      <c r="S64" s="8" t="s">
        <v>47</v>
      </c>
      <c r="T64" s="8" t="s">
        <v>48</v>
      </c>
      <c r="U64" s="8" t="s">
        <v>48</v>
      </c>
      <c r="V64" s="8" t="s">
        <v>45</v>
      </c>
      <c r="W64" s="8" t="s">
        <v>45</v>
      </c>
      <c r="X64" s="8" t="s">
        <v>47</v>
      </c>
      <c r="Y64" s="8" t="s">
        <v>46</v>
      </c>
      <c r="Z64" s="8" t="s">
        <v>47</v>
      </c>
      <c r="AA64" s="8" t="s">
        <v>47</v>
      </c>
      <c r="AB64" s="8" t="s">
        <v>45</v>
      </c>
      <c r="AC64" s="8" t="s">
        <v>46</v>
      </c>
      <c r="AD64" s="8" t="s">
        <v>47</v>
      </c>
      <c r="AE64" s="8" t="s">
        <v>47</v>
      </c>
    </row>
    <row r="65" customFormat="false" ht="15" hidden="false" customHeight="false" outlineLevel="0" collapsed="false">
      <c r="A65" s="7" t="s">
        <v>111</v>
      </c>
      <c r="B65" s="8" t="s">
        <v>47</v>
      </c>
      <c r="C65" s="8" t="s">
        <v>48</v>
      </c>
      <c r="D65" s="8" t="s">
        <v>45</v>
      </c>
      <c r="E65" s="8" t="s">
        <v>45</v>
      </c>
      <c r="F65" s="8" t="s">
        <v>45</v>
      </c>
      <c r="G65" s="8" t="s">
        <v>48</v>
      </c>
      <c r="H65" s="8" t="s">
        <v>45</v>
      </c>
      <c r="I65" s="8" t="s">
        <v>45</v>
      </c>
      <c r="J65" s="8" t="s">
        <v>48</v>
      </c>
      <c r="K65" s="8" t="s">
        <v>46</v>
      </c>
      <c r="L65" s="8" t="s">
        <v>48</v>
      </c>
      <c r="M65" s="8" t="s">
        <v>46</v>
      </c>
      <c r="N65" s="8" t="s">
        <v>46</v>
      </c>
      <c r="O65" s="8" t="s">
        <v>45</v>
      </c>
      <c r="P65" s="8" t="s">
        <v>48</v>
      </c>
      <c r="Q65" s="8" t="s">
        <v>48</v>
      </c>
      <c r="R65" s="8" t="s">
        <v>48</v>
      </c>
      <c r="S65" s="8" t="s">
        <v>47</v>
      </c>
      <c r="T65" s="8" t="s">
        <v>47</v>
      </c>
      <c r="U65" s="8" t="s">
        <v>47</v>
      </c>
      <c r="V65" s="8" t="s">
        <v>48</v>
      </c>
      <c r="W65" s="8" t="s">
        <v>45</v>
      </c>
      <c r="X65" s="8" t="s">
        <v>46</v>
      </c>
      <c r="Y65" s="8" t="s">
        <v>45</v>
      </c>
      <c r="Z65" s="8" t="s">
        <v>45</v>
      </c>
      <c r="AA65" s="8" t="s">
        <v>46</v>
      </c>
      <c r="AB65" s="8" t="s">
        <v>45</v>
      </c>
      <c r="AC65" s="8" t="s">
        <v>46</v>
      </c>
      <c r="AD65" s="8" t="s">
        <v>48</v>
      </c>
      <c r="AE65" s="8" t="s">
        <v>47</v>
      </c>
    </row>
    <row r="66" customFormat="false" ht="15" hidden="false" customHeight="false" outlineLevel="0" collapsed="false">
      <c r="A66" s="7" t="s">
        <v>112</v>
      </c>
      <c r="B66" s="8" t="s">
        <v>45</v>
      </c>
      <c r="C66" s="8" t="s">
        <v>45</v>
      </c>
      <c r="D66" s="8" t="s">
        <v>48</v>
      </c>
      <c r="E66" s="8" t="s">
        <v>47</v>
      </c>
      <c r="F66" s="8" t="s">
        <v>48</v>
      </c>
      <c r="G66" s="8" t="s">
        <v>48</v>
      </c>
      <c r="H66" s="8" t="s">
        <v>47</v>
      </c>
      <c r="I66" s="8" t="s">
        <v>46</v>
      </c>
      <c r="J66" s="8" t="s">
        <v>48</v>
      </c>
      <c r="K66" s="8" t="s">
        <v>46</v>
      </c>
      <c r="L66" s="8" t="s">
        <v>48</v>
      </c>
      <c r="M66" s="8" t="s">
        <v>46</v>
      </c>
      <c r="N66" s="8" t="s">
        <v>46</v>
      </c>
      <c r="O66" s="8" t="s">
        <v>47</v>
      </c>
      <c r="P66" s="8" t="s">
        <v>46</v>
      </c>
      <c r="Q66" s="8" t="s">
        <v>48</v>
      </c>
      <c r="R66" s="8" t="s">
        <v>48</v>
      </c>
      <c r="S66" s="8" t="s">
        <v>45</v>
      </c>
      <c r="T66" s="8" t="s">
        <v>45</v>
      </c>
      <c r="U66" s="8" t="s">
        <v>47</v>
      </c>
      <c r="V66" s="8" t="s">
        <v>48</v>
      </c>
      <c r="W66" s="8" t="s">
        <v>47</v>
      </c>
      <c r="X66" s="8" t="s">
        <v>48</v>
      </c>
      <c r="Y66" s="8" t="s">
        <v>48</v>
      </c>
      <c r="Z66" s="8" t="s">
        <v>46</v>
      </c>
      <c r="AA66" s="8" t="s">
        <v>47</v>
      </c>
      <c r="AB66" s="8" t="s">
        <v>45</v>
      </c>
      <c r="AC66" s="8" t="s">
        <v>47</v>
      </c>
      <c r="AD66" s="8" t="s">
        <v>47</v>
      </c>
      <c r="AE66" s="8" t="s">
        <v>47</v>
      </c>
    </row>
    <row r="67" customFormat="false" ht="15" hidden="false" customHeight="false" outlineLevel="0" collapsed="false">
      <c r="A67" s="7" t="s">
        <v>113</v>
      </c>
      <c r="B67" s="8" t="s">
        <v>46</v>
      </c>
      <c r="C67" s="8" t="s">
        <v>48</v>
      </c>
      <c r="D67" s="8" t="s">
        <v>47</v>
      </c>
      <c r="E67" s="8" t="s">
        <v>48</v>
      </c>
      <c r="F67" s="8" t="s">
        <v>46</v>
      </c>
      <c r="G67" s="8" t="s">
        <v>48</v>
      </c>
      <c r="H67" s="8" t="s">
        <v>46</v>
      </c>
      <c r="I67" s="8" t="s">
        <v>48</v>
      </c>
      <c r="J67" s="8" t="s">
        <v>48</v>
      </c>
      <c r="K67" s="8" t="s">
        <v>47</v>
      </c>
      <c r="L67" s="8" t="s">
        <v>47</v>
      </c>
      <c r="M67" s="8" t="s">
        <v>46</v>
      </c>
      <c r="N67" s="8" t="s">
        <v>48</v>
      </c>
      <c r="O67" s="8" t="s">
        <v>46</v>
      </c>
      <c r="P67" s="8" t="s">
        <v>48</v>
      </c>
      <c r="Q67" s="8" t="s">
        <v>48</v>
      </c>
      <c r="R67" s="8" t="s">
        <v>48</v>
      </c>
      <c r="S67" s="8" t="s">
        <v>45</v>
      </c>
      <c r="T67" s="8" t="s">
        <v>47</v>
      </c>
      <c r="U67" s="8" t="s">
        <v>48</v>
      </c>
      <c r="V67" s="8" t="s">
        <v>47</v>
      </c>
      <c r="W67" s="8" t="s">
        <v>45</v>
      </c>
      <c r="X67" s="8" t="s">
        <v>46</v>
      </c>
      <c r="Y67" s="8" t="s">
        <v>45</v>
      </c>
      <c r="Z67" s="8" t="s">
        <v>45</v>
      </c>
      <c r="AA67" s="8" t="s">
        <v>46</v>
      </c>
      <c r="AB67" s="8" t="s">
        <v>47</v>
      </c>
      <c r="AC67" s="8" t="s">
        <v>48</v>
      </c>
      <c r="AD67" s="8" t="s">
        <v>45</v>
      </c>
      <c r="AE67" s="8" t="s">
        <v>47</v>
      </c>
    </row>
    <row r="68" customFormat="false" ht="15" hidden="false" customHeight="false" outlineLevel="0" collapsed="false">
      <c r="A68" s="7" t="s">
        <v>114</v>
      </c>
      <c r="B68" s="8" t="s">
        <v>45</v>
      </c>
      <c r="C68" s="8" t="s">
        <v>45</v>
      </c>
      <c r="D68" s="8" t="s">
        <v>48</v>
      </c>
      <c r="E68" s="8" t="s">
        <v>47</v>
      </c>
      <c r="F68" s="8" t="s">
        <v>47</v>
      </c>
      <c r="G68" s="8" t="s">
        <v>47</v>
      </c>
      <c r="H68" s="8" t="s">
        <v>46</v>
      </c>
      <c r="I68" s="8" t="s">
        <v>46</v>
      </c>
      <c r="J68" s="8" t="s">
        <v>48</v>
      </c>
      <c r="K68" s="8" t="s">
        <v>45</v>
      </c>
      <c r="L68" s="8" t="s">
        <v>48</v>
      </c>
      <c r="M68" s="8" t="s">
        <v>46</v>
      </c>
      <c r="N68" s="8" t="s">
        <v>47</v>
      </c>
      <c r="O68" s="8" t="s">
        <v>45</v>
      </c>
      <c r="P68" s="8" t="s">
        <v>48</v>
      </c>
      <c r="Q68" s="8" t="s">
        <v>48</v>
      </c>
      <c r="R68" s="8" t="s">
        <v>48</v>
      </c>
      <c r="S68" s="8" t="s">
        <v>47</v>
      </c>
      <c r="T68" s="8" t="s">
        <v>46</v>
      </c>
      <c r="U68" s="8" t="s">
        <v>45</v>
      </c>
      <c r="V68" s="8" t="s">
        <v>46</v>
      </c>
      <c r="W68" s="8" t="s">
        <v>46</v>
      </c>
      <c r="X68" s="8" t="s">
        <v>46</v>
      </c>
      <c r="Y68" s="8" t="s">
        <v>47</v>
      </c>
      <c r="Z68" s="8" t="s">
        <v>46</v>
      </c>
      <c r="AA68" s="8" t="s">
        <v>47</v>
      </c>
      <c r="AB68" s="8" t="s">
        <v>45</v>
      </c>
      <c r="AC68" s="8" t="s">
        <v>47</v>
      </c>
      <c r="AD68" s="8" t="s">
        <v>46</v>
      </c>
      <c r="AE68" s="8" t="s">
        <v>46</v>
      </c>
    </row>
    <row r="69" customFormat="false" ht="15" hidden="false" customHeight="false" outlineLevel="0" collapsed="false">
      <c r="A69" s="7" t="s">
        <v>115</v>
      </c>
      <c r="B69" s="8" t="s">
        <v>45</v>
      </c>
      <c r="C69" s="8" t="s">
        <v>47</v>
      </c>
      <c r="D69" s="8" t="s">
        <v>46</v>
      </c>
      <c r="E69" s="8" t="s">
        <v>47</v>
      </c>
      <c r="F69" s="8" t="s">
        <v>47</v>
      </c>
      <c r="G69" s="8" t="s">
        <v>48</v>
      </c>
      <c r="H69" s="8" t="s">
        <v>47</v>
      </c>
      <c r="I69" s="8" t="s">
        <v>45</v>
      </c>
      <c r="J69" s="8" t="s">
        <v>48</v>
      </c>
      <c r="K69" s="8" t="s">
        <v>48</v>
      </c>
      <c r="L69" s="8" t="s">
        <v>47</v>
      </c>
      <c r="M69" s="8" t="s">
        <v>46</v>
      </c>
      <c r="N69" s="8" t="s">
        <v>45</v>
      </c>
      <c r="O69" s="8" t="s">
        <v>45</v>
      </c>
      <c r="P69" s="8" t="s">
        <v>45</v>
      </c>
      <c r="Q69" s="8" t="s">
        <v>48</v>
      </c>
      <c r="R69" s="8" t="s">
        <v>48</v>
      </c>
      <c r="S69" s="8" t="s">
        <v>48</v>
      </c>
      <c r="T69" s="8" t="s">
        <v>46</v>
      </c>
      <c r="U69" s="8" t="s">
        <v>45</v>
      </c>
      <c r="V69" s="8" t="s">
        <v>46</v>
      </c>
      <c r="W69" s="8" t="s">
        <v>46</v>
      </c>
      <c r="X69" s="8" t="s">
        <v>47</v>
      </c>
      <c r="Y69" s="8" t="s">
        <v>47</v>
      </c>
      <c r="Z69" s="8" t="s">
        <v>45</v>
      </c>
      <c r="AA69" s="8" t="s">
        <v>47</v>
      </c>
      <c r="AB69" s="8" t="s">
        <v>46</v>
      </c>
      <c r="AC69" s="8" t="s">
        <v>46</v>
      </c>
      <c r="AD69" s="8" t="s">
        <v>48</v>
      </c>
      <c r="AE69" s="8" t="s">
        <v>45</v>
      </c>
    </row>
    <row r="70" customFormat="false" ht="15" hidden="false" customHeight="false" outlineLevel="0" collapsed="false">
      <c r="A70" s="7" t="s">
        <v>116</v>
      </c>
      <c r="B70" s="8" t="s">
        <v>45</v>
      </c>
      <c r="C70" s="8" t="s">
        <v>46</v>
      </c>
      <c r="D70" s="8" t="s">
        <v>47</v>
      </c>
      <c r="E70" s="8" t="s">
        <v>47</v>
      </c>
      <c r="F70" s="8" t="s">
        <v>47</v>
      </c>
      <c r="G70" s="8" t="s">
        <v>45</v>
      </c>
      <c r="H70" s="8" t="s">
        <v>46</v>
      </c>
      <c r="I70" s="8" t="s">
        <v>46</v>
      </c>
      <c r="J70" s="8" t="s">
        <v>48</v>
      </c>
      <c r="K70" s="8" t="s">
        <v>47</v>
      </c>
      <c r="L70" s="8" t="s">
        <v>48</v>
      </c>
      <c r="M70" s="8" t="s">
        <v>46</v>
      </c>
      <c r="N70" s="8" t="s">
        <v>48</v>
      </c>
      <c r="O70" s="8" t="s">
        <v>45</v>
      </c>
      <c r="P70" s="8" t="s">
        <v>48</v>
      </c>
      <c r="Q70" s="8" t="s">
        <v>47</v>
      </c>
      <c r="R70" s="8" t="s">
        <v>48</v>
      </c>
      <c r="S70" s="8" t="s">
        <v>45</v>
      </c>
      <c r="T70" s="8" t="s">
        <v>45</v>
      </c>
      <c r="U70" s="8" t="s">
        <v>45</v>
      </c>
      <c r="V70" s="8" t="s">
        <v>46</v>
      </c>
      <c r="W70" s="8" t="s">
        <v>48</v>
      </c>
      <c r="X70" s="8" t="s">
        <v>48</v>
      </c>
      <c r="Y70" s="8" t="s">
        <v>47</v>
      </c>
      <c r="Z70" s="8" t="s">
        <v>47</v>
      </c>
      <c r="AA70" s="8" t="s">
        <v>45</v>
      </c>
      <c r="AB70" s="8" t="s">
        <v>46</v>
      </c>
      <c r="AC70" s="8" t="s">
        <v>47</v>
      </c>
      <c r="AD70" s="8" t="s">
        <v>46</v>
      </c>
      <c r="AE70" s="8" t="s">
        <v>45</v>
      </c>
    </row>
    <row r="71" customFormat="false" ht="15" hidden="false" customHeight="false" outlineLevel="0" collapsed="false">
      <c r="A71" s="7" t="s">
        <v>117</v>
      </c>
      <c r="B71" s="8" t="s">
        <v>48</v>
      </c>
      <c r="C71" s="8" t="s">
        <v>46</v>
      </c>
      <c r="D71" s="8" t="s">
        <v>45</v>
      </c>
      <c r="E71" s="8" t="s">
        <v>45</v>
      </c>
      <c r="F71" s="8" t="s">
        <v>48</v>
      </c>
      <c r="G71" s="8" t="s">
        <v>47</v>
      </c>
      <c r="H71" s="8" t="s">
        <v>47</v>
      </c>
      <c r="I71" s="8" t="s">
        <v>48</v>
      </c>
      <c r="J71" s="8" t="s">
        <v>48</v>
      </c>
      <c r="K71" s="8" t="s">
        <v>48</v>
      </c>
      <c r="L71" s="8" t="s">
        <v>47</v>
      </c>
      <c r="M71" s="8" t="s">
        <v>46</v>
      </c>
      <c r="N71" s="8" t="s">
        <v>48</v>
      </c>
      <c r="O71" s="8" t="s">
        <v>47</v>
      </c>
      <c r="P71" s="8" t="s">
        <v>47</v>
      </c>
      <c r="Q71" s="8" t="s">
        <v>48</v>
      </c>
      <c r="R71" s="8" t="s">
        <v>48</v>
      </c>
      <c r="S71" s="8" t="s">
        <v>46</v>
      </c>
      <c r="T71" s="8" t="s">
        <v>46</v>
      </c>
      <c r="U71" s="8" t="s">
        <v>46</v>
      </c>
      <c r="V71" s="8" t="s">
        <v>46</v>
      </c>
      <c r="W71" s="8" t="s">
        <v>47</v>
      </c>
      <c r="X71" s="8" t="s">
        <v>47</v>
      </c>
      <c r="Y71" s="8" t="s">
        <v>45</v>
      </c>
      <c r="Z71" s="8" t="s">
        <v>47</v>
      </c>
      <c r="AA71" s="8" t="s">
        <v>48</v>
      </c>
      <c r="AB71" s="8" t="s">
        <v>47</v>
      </c>
      <c r="AC71" s="8" t="s">
        <v>48</v>
      </c>
      <c r="AD71" s="8" t="s">
        <v>45</v>
      </c>
      <c r="AE71" s="8" t="s">
        <v>45</v>
      </c>
    </row>
    <row r="72" customFormat="false" ht="15" hidden="false" customHeight="false" outlineLevel="0" collapsed="false">
      <c r="A72" s="7" t="s">
        <v>118</v>
      </c>
      <c r="B72" s="8" t="s">
        <v>45</v>
      </c>
      <c r="C72" s="8" t="s">
        <v>46</v>
      </c>
      <c r="D72" s="8" t="s">
        <v>45</v>
      </c>
      <c r="E72" s="8" t="s">
        <v>47</v>
      </c>
      <c r="F72" s="8" t="s">
        <v>47</v>
      </c>
      <c r="G72" s="8" t="s">
        <v>45</v>
      </c>
      <c r="H72" s="8" t="s">
        <v>46</v>
      </c>
      <c r="I72" s="8" t="s">
        <v>46</v>
      </c>
      <c r="J72" s="8" t="s">
        <v>48</v>
      </c>
      <c r="K72" s="8" t="s">
        <v>48</v>
      </c>
      <c r="L72" s="8" t="s">
        <v>48</v>
      </c>
      <c r="M72" s="8" t="s">
        <v>46</v>
      </c>
      <c r="N72" s="8" t="s">
        <v>48</v>
      </c>
      <c r="O72" s="8" t="s">
        <v>45</v>
      </c>
      <c r="P72" s="8" t="s">
        <v>46</v>
      </c>
      <c r="Q72" s="8" t="s">
        <v>48</v>
      </c>
      <c r="R72" s="8" t="s">
        <v>48</v>
      </c>
      <c r="S72" s="8" t="s">
        <v>47</v>
      </c>
      <c r="T72" s="8" t="s">
        <v>48</v>
      </c>
      <c r="U72" s="8" t="s">
        <v>46</v>
      </c>
      <c r="V72" s="8" t="s">
        <v>46</v>
      </c>
      <c r="W72" s="8" t="s">
        <v>48</v>
      </c>
      <c r="X72" s="8" t="s">
        <v>46</v>
      </c>
      <c r="Y72" s="8" t="s">
        <v>48</v>
      </c>
      <c r="Z72" s="8" t="s">
        <v>47</v>
      </c>
      <c r="AA72" s="8" t="s">
        <v>45</v>
      </c>
      <c r="AB72" s="8" t="s">
        <v>47</v>
      </c>
      <c r="AC72" s="8" t="s">
        <v>46</v>
      </c>
      <c r="AD72" s="8" t="s">
        <v>46</v>
      </c>
      <c r="AE72" s="8" t="s">
        <v>46</v>
      </c>
    </row>
    <row r="73" customFormat="false" ht="15" hidden="false" customHeight="false" outlineLevel="0" collapsed="false">
      <c r="A73" s="7" t="s">
        <v>119</v>
      </c>
      <c r="B73" s="8" t="s">
        <v>47</v>
      </c>
      <c r="C73" s="8" t="s">
        <v>48</v>
      </c>
      <c r="D73" s="8" t="s">
        <v>46</v>
      </c>
      <c r="E73" s="8" t="s">
        <v>45</v>
      </c>
      <c r="F73" s="8" t="s">
        <v>46</v>
      </c>
      <c r="G73" s="8" t="s">
        <v>46</v>
      </c>
      <c r="H73" s="8" t="s">
        <v>47</v>
      </c>
      <c r="I73" s="8" t="s">
        <v>46</v>
      </c>
      <c r="J73" s="8" t="s">
        <v>48</v>
      </c>
      <c r="K73" s="8" t="s">
        <v>45</v>
      </c>
      <c r="L73" s="8" t="s">
        <v>47</v>
      </c>
      <c r="M73" s="8" t="s">
        <v>46</v>
      </c>
      <c r="N73" s="8" t="s">
        <v>48</v>
      </c>
      <c r="O73" s="8" t="s">
        <v>45</v>
      </c>
      <c r="P73" s="8" t="s">
        <v>46</v>
      </c>
      <c r="Q73" s="8" t="s">
        <v>48</v>
      </c>
      <c r="R73" s="8" t="s">
        <v>47</v>
      </c>
      <c r="S73" s="8" t="s">
        <v>46</v>
      </c>
      <c r="T73" s="8" t="s">
        <v>46</v>
      </c>
      <c r="U73" s="8" t="s">
        <v>47</v>
      </c>
      <c r="V73" s="8" t="s">
        <v>48</v>
      </c>
      <c r="W73" s="8" t="s">
        <v>45</v>
      </c>
      <c r="X73" s="8" t="s">
        <v>48</v>
      </c>
      <c r="Y73" s="8" t="s">
        <v>48</v>
      </c>
      <c r="Z73" s="8" t="s">
        <v>47</v>
      </c>
      <c r="AA73" s="8" t="s">
        <v>45</v>
      </c>
      <c r="AB73" s="8" t="s">
        <v>47</v>
      </c>
      <c r="AC73" s="8" t="s">
        <v>47</v>
      </c>
      <c r="AD73" s="8" t="s">
        <v>45</v>
      </c>
      <c r="AE73" s="8" t="s">
        <v>48</v>
      </c>
    </row>
    <row r="74" customFormat="false" ht="15" hidden="false" customHeight="false" outlineLevel="0" collapsed="false">
      <c r="A74" s="7" t="s">
        <v>120</v>
      </c>
      <c r="B74" s="8" t="s">
        <v>47</v>
      </c>
      <c r="C74" s="8" t="s">
        <v>46</v>
      </c>
      <c r="D74" s="8" t="s">
        <v>47</v>
      </c>
      <c r="E74" s="8" t="s">
        <v>45</v>
      </c>
      <c r="F74" s="8" t="s">
        <v>48</v>
      </c>
      <c r="G74" s="8" t="s">
        <v>47</v>
      </c>
      <c r="H74" s="8" t="s">
        <v>47</v>
      </c>
      <c r="I74" s="8" t="s">
        <v>48</v>
      </c>
      <c r="J74" s="8" t="s">
        <v>48</v>
      </c>
      <c r="K74" s="8" t="s">
        <v>47</v>
      </c>
      <c r="L74" s="8" t="s">
        <v>48</v>
      </c>
      <c r="M74" s="8" t="s">
        <v>46</v>
      </c>
      <c r="N74" s="8" t="s">
        <v>45</v>
      </c>
      <c r="O74" s="8" t="s">
        <v>45</v>
      </c>
      <c r="P74" s="8" t="s">
        <v>46</v>
      </c>
      <c r="Q74" s="8" t="s">
        <v>48</v>
      </c>
      <c r="R74" s="8" t="s">
        <v>48</v>
      </c>
      <c r="S74" s="8" t="s">
        <v>46</v>
      </c>
      <c r="T74" s="8" t="s">
        <v>46</v>
      </c>
      <c r="U74" s="8" t="s">
        <v>45</v>
      </c>
      <c r="V74" s="8" t="s">
        <v>46</v>
      </c>
      <c r="W74" s="8" t="s">
        <v>45</v>
      </c>
      <c r="X74" s="8" t="s">
        <v>47</v>
      </c>
      <c r="Y74" s="8" t="s">
        <v>48</v>
      </c>
      <c r="Z74" s="8" t="s">
        <v>47</v>
      </c>
      <c r="AA74" s="8" t="s">
        <v>47</v>
      </c>
      <c r="AB74" s="8" t="s">
        <v>47</v>
      </c>
      <c r="AC74" s="8" t="s">
        <v>47</v>
      </c>
      <c r="AD74" s="8" t="s">
        <v>48</v>
      </c>
      <c r="AE74" s="8" t="s">
        <v>48</v>
      </c>
    </row>
    <row r="75" customFormat="false" ht="15" hidden="false" customHeight="false" outlineLevel="0" collapsed="false">
      <c r="A75" s="7" t="s">
        <v>121</v>
      </c>
      <c r="B75" s="8" t="s">
        <v>45</v>
      </c>
      <c r="C75" s="8" t="s">
        <v>46</v>
      </c>
      <c r="D75" s="8" t="s">
        <v>45</v>
      </c>
      <c r="E75" s="8" t="s">
        <v>47</v>
      </c>
      <c r="F75" s="8" t="s">
        <v>47</v>
      </c>
      <c r="G75" s="8" t="s">
        <v>47</v>
      </c>
      <c r="H75" s="8" t="s">
        <v>46</v>
      </c>
      <c r="I75" s="8" t="s">
        <v>46</v>
      </c>
      <c r="J75" s="8" t="s">
        <v>48</v>
      </c>
      <c r="K75" s="8" t="s">
        <v>45</v>
      </c>
      <c r="L75" s="8" t="s">
        <v>48</v>
      </c>
      <c r="M75" s="8" t="s">
        <v>46</v>
      </c>
      <c r="N75" s="8" t="s">
        <v>47</v>
      </c>
      <c r="O75" s="8" t="s">
        <v>45</v>
      </c>
      <c r="P75" s="8" t="s">
        <v>48</v>
      </c>
      <c r="Q75" s="8" t="s">
        <v>48</v>
      </c>
      <c r="R75" s="8" t="s">
        <v>48</v>
      </c>
      <c r="S75" s="8" t="s">
        <v>46</v>
      </c>
      <c r="T75" s="8" t="s">
        <v>45</v>
      </c>
      <c r="U75" s="8" t="s">
        <v>45</v>
      </c>
      <c r="V75" s="8" t="s">
        <v>46</v>
      </c>
      <c r="W75" s="8" t="s">
        <v>46</v>
      </c>
      <c r="X75" s="8" t="s">
        <v>46</v>
      </c>
      <c r="Y75" s="8" t="s">
        <v>47</v>
      </c>
      <c r="Z75" s="8" t="s">
        <v>46</v>
      </c>
      <c r="AA75" s="8" t="s">
        <v>47</v>
      </c>
      <c r="AB75" s="8" t="s">
        <v>47</v>
      </c>
      <c r="AC75" s="8" t="s">
        <v>47</v>
      </c>
      <c r="AD75" s="8" t="s">
        <v>46</v>
      </c>
      <c r="AE75" s="8" t="s">
        <v>46</v>
      </c>
    </row>
    <row r="76" customFormat="false" ht="15" hidden="false" customHeight="false" outlineLevel="0" collapsed="false">
      <c r="A76" s="7" t="s">
        <v>122</v>
      </c>
      <c r="B76" s="8" t="s">
        <v>46</v>
      </c>
      <c r="C76" s="8" t="s">
        <v>45</v>
      </c>
      <c r="D76" s="8" t="s">
        <v>46</v>
      </c>
      <c r="E76" s="8" t="s">
        <v>47</v>
      </c>
      <c r="F76" s="8" t="s">
        <v>47</v>
      </c>
      <c r="G76" s="8" t="s">
        <v>46</v>
      </c>
      <c r="H76" s="8" t="s">
        <v>45</v>
      </c>
      <c r="I76" s="8" t="s">
        <v>46</v>
      </c>
      <c r="J76" s="8" t="s">
        <v>48</v>
      </c>
      <c r="K76" s="8" t="s">
        <v>48</v>
      </c>
      <c r="L76" s="8" t="s">
        <v>47</v>
      </c>
      <c r="M76" s="8" t="s">
        <v>46</v>
      </c>
      <c r="N76" s="8" t="s">
        <v>48</v>
      </c>
      <c r="O76" s="8" t="s">
        <v>46</v>
      </c>
      <c r="P76" s="8" t="s">
        <v>45</v>
      </c>
      <c r="Q76" s="8" t="s">
        <v>47</v>
      </c>
      <c r="R76" s="8" t="s">
        <v>48</v>
      </c>
      <c r="S76" s="8" t="s">
        <v>45</v>
      </c>
      <c r="T76" s="8" t="s">
        <v>45</v>
      </c>
      <c r="U76" s="8" t="s">
        <v>46</v>
      </c>
      <c r="V76" s="8" t="s">
        <v>48</v>
      </c>
      <c r="W76" s="8" t="s">
        <v>45</v>
      </c>
      <c r="X76" s="8" t="s">
        <v>46</v>
      </c>
      <c r="Y76" s="8" t="s">
        <v>46</v>
      </c>
      <c r="Z76" s="8" t="s">
        <v>46</v>
      </c>
      <c r="AA76" s="8" t="s">
        <v>48</v>
      </c>
      <c r="AB76" s="8" t="s">
        <v>47</v>
      </c>
      <c r="AC76" s="8" t="s">
        <v>46</v>
      </c>
      <c r="AD76" s="8" t="s">
        <v>45</v>
      </c>
      <c r="AE76" s="8" t="s">
        <v>45</v>
      </c>
    </row>
    <row r="77" customFormat="false" ht="15" hidden="false" customHeight="false" outlineLevel="0" collapsed="false">
      <c r="A77" s="7" t="s">
        <v>123</v>
      </c>
      <c r="B77" s="8" t="s">
        <v>45</v>
      </c>
      <c r="C77" s="8" t="s">
        <v>46</v>
      </c>
      <c r="D77" s="8" t="s">
        <v>45</v>
      </c>
      <c r="E77" s="8" t="s">
        <v>47</v>
      </c>
      <c r="F77" s="8" t="s">
        <v>47</v>
      </c>
      <c r="G77" s="8" t="s">
        <v>47</v>
      </c>
      <c r="H77" s="8" t="s">
        <v>46</v>
      </c>
      <c r="I77" s="8" t="s">
        <v>46</v>
      </c>
      <c r="J77" s="8" t="s">
        <v>48</v>
      </c>
      <c r="K77" s="8" t="s">
        <v>45</v>
      </c>
      <c r="L77" s="8" t="s">
        <v>48</v>
      </c>
      <c r="M77" s="8" t="s">
        <v>46</v>
      </c>
      <c r="N77" s="8" t="s">
        <v>47</v>
      </c>
      <c r="O77" s="8" t="s">
        <v>45</v>
      </c>
      <c r="P77" s="8" t="s">
        <v>48</v>
      </c>
      <c r="Q77" s="8" t="s">
        <v>48</v>
      </c>
      <c r="R77" s="8" t="s">
        <v>48</v>
      </c>
      <c r="S77" s="8" t="s">
        <v>45</v>
      </c>
      <c r="T77" s="8" t="s">
        <v>45</v>
      </c>
      <c r="U77" s="8" t="s">
        <v>45</v>
      </c>
      <c r="V77" s="8" t="s">
        <v>46</v>
      </c>
      <c r="W77" s="8" t="s">
        <v>46</v>
      </c>
      <c r="X77" s="8" t="s">
        <v>46</v>
      </c>
      <c r="Y77" s="8" t="s">
        <v>47</v>
      </c>
      <c r="Z77" s="8" t="s">
        <v>46</v>
      </c>
      <c r="AA77" s="8" t="s">
        <v>47</v>
      </c>
      <c r="AB77" s="8" t="s">
        <v>47</v>
      </c>
      <c r="AC77" s="8" t="s">
        <v>47</v>
      </c>
      <c r="AD77" s="8" t="s">
        <v>46</v>
      </c>
      <c r="AE77" s="8" t="s">
        <v>46</v>
      </c>
    </row>
    <row r="78" customFormat="false" ht="15" hidden="false" customHeight="false" outlineLevel="0" collapsed="false">
      <c r="A78" s="7" t="s">
        <v>124</v>
      </c>
      <c r="B78" s="8" t="s">
        <v>45</v>
      </c>
      <c r="C78" s="8" t="s">
        <v>46</v>
      </c>
      <c r="D78" s="8" t="s">
        <v>48</v>
      </c>
      <c r="E78" s="8" t="s">
        <v>47</v>
      </c>
      <c r="F78" s="8" t="s">
        <v>47</v>
      </c>
      <c r="G78" s="8" t="s">
        <v>45</v>
      </c>
      <c r="H78" s="8" t="s">
        <v>47</v>
      </c>
      <c r="I78" s="8" t="s">
        <v>46</v>
      </c>
      <c r="J78" s="8" t="s">
        <v>48</v>
      </c>
      <c r="K78" s="8" t="s">
        <v>48</v>
      </c>
      <c r="L78" s="8" t="s">
        <v>48</v>
      </c>
      <c r="M78" s="8" t="s">
        <v>46</v>
      </c>
      <c r="N78" s="8" t="s">
        <v>45</v>
      </c>
      <c r="O78" s="8" t="s">
        <v>46</v>
      </c>
      <c r="P78" s="8" t="s">
        <v>48</v>
      </c>
      <c r="Q78" s="8" t="s">
        <v>48</v>
      </c>
      <c r="R78" s="8" t="s">
        <v>48</v>
      </c>
      <c r="S78" s="8" t="s">
        <v>45</v>
      </c>
      <c r="T78" s="8" t="s">
        <v>45</v>
      </c>
      <c r="U78" s="8" t="s">
        <v>45</v>
      </c>
      <c r="V78" s="8" t="s">
        <v>46</v>
      </c>
      <c r="W78" s="8" t="s">
        <v>46</v>
      </c>
      <c r="X78" s="8" t="s">
        <v>47</v>
      </c>
      <c r="Y78" s="8" t="s">
        <v>47</v>
      </c>
      <c r="Z78" s="8" t="s">
        <v>46</v>
      </c>
      <c r="AA78" s="8" t="s">
        <v>48</v>
      </c>
      <c r="AB78" s="8" t="s">
        <v>47</v>
      </c>
      <c r="AC78" s="8" t="s">
        <v>48</v>
      </c>
      <c r="AD78" s="8" t="s">
        <v>46</v>
      </c>
      <c r="AE78" s="8" t="s">
        <v>47</v>
      </c>
    </row>
    <row r="79" customFormat="false" ht="15" hidden="false" customHeight="false" outlineLevel="0" collapsed="false">
      <c r="A79" s="7" t="s">
        <v>125</v>
      </c>
      <c r="B79" s="8" t="s">
        <v>45</v>
      </c>
      <c r="C79" s="8" t="s">
        <v>45</v>
      </c>
      <c r="D79" s="8" t="s">
        <v>47</v>
      </c>
      <c r="E79" s="8" t="s">
        <v>47</v>
      </c>
      <c r="F79" s="8" t="s">
        <v>47</v>
      </c>
      <c r="G79" s="8" t="s">
        <v>48</v>
      </c>
      <c r="H79" s="8" t="s">
        <v>46</v>
      </c>
      <c r="I79" s="8" t="s">
        <v>47</v>
      </c>
      <c r="J79" s="8" t="s">
        <v>48</v>
      </c>
      <c r="K79" s="8" t="s">
        <v>46</v>
      </c>
      <c r="L79" s="8" t="s">
        <v>48</v>
      </c>
      <c r="M79" s="8" t="s">
        <v>46</v>
      </c>
      <c r="N79" s="8" t="s">
        <v>45</v>
      </c>
      <c r="O79" s="8" t="s">
        <v>48</v>
      </c>
      <c r="P79" s="8" t="s">
        <v>48</v>
      </c>
      <c r="Q79" s="8" t="s">
        <v>48</v>
      </c>
      <c r="R79" s="8" t="s">
        <v>48</v>
      </c>
      <c r="S79" s="8" t="s">
        <v>48</v>
      </c>
      <c r="T79" s="8" t="s">
        <v>45</v>
      </c>
      <c r="U79" s="8" t="s">
        <v>47</v>
      </c>
      <c r="V79" s="8" t="s">
        <v>46</v>
      </c>
      <c r="W79" s="8" t="s">
        <v>46</v>
      </c>
      <c r="X79" s="8" t="s">
        <v>48</v>
      </c>
      <c r="Y79" s="8" t="s">
        <v>46</v>
      </c>
      <c r="Z79" s="8" t="s">
        <v>45</v>
      </c>
      <c r="AA79" s="8" t="s">
        <v>46</v>
      </c>
      <c r="AB79" s="8" t="s">
        <v>46</v>
      </c>
      <c r="AC79" s="8" t="s">
        <v>48</v>
      </c>
      <c r="AD79" s="8" t="s">
        <v>47</v>
      </c>
      <c r="AE79" s="8" t="s">
        <v>45</v>
      </c>
    </row>
    <row r="80" customFormat="false" ht="15" hidden="false" customHeight="false" outlineLevel="0" collapsed="false">
      <c r="A80" s="7" t="s">
        <v>126</v>
      </c>
      <c r="B80" s="8" t="s">
        <v>48</v>
      </c>
      <c r="C80" s="8" t="s">
        <v>47</v>
      </c>
      <c r="D80" s="8" t="s">
        <v>47</v>
      </c>
      <c r="E80" s="8" t="s">
        <v>47</v>
      </c>
      <c r="F80" s="8" t="s">
        <v>48</v>
      </c>
      <c r="G80" s="8" t="s">
        <v>48</v>
      </c>
      <c r="H80" s="8" t="s">
        <v>47</v>
      </c>
      <c r="I80" s="8" t="s">
        <v>46</v>
      </c>
      <c r="J80" s="8" t="s">
        <v>46</v>
      </c>
      <c r="K80" s="8" t="s">
        <v>47</v>
      </c>
      <c r="L80" s="8" t="s">
        <v>47</v>
      </c>
      <c r="M80" s="8" t="s">
        <v>46</v>
      </c>
      <c r="N80" s="8" t="s">
        <v>46</v>
      </c>
      <c r="O80" s="8" t="s">
        <v>45</v>
      </c>
      <c r="P80" s="8" t="s">
        <v>48</v>
      </c>
      <c r="Q80" s="8" t="s">
        <v>48</v>
      </c>
      <c r="R80" s="8" t="s">
        <v>48</v>
      </c>
      <c r="S80" s="8" t="s">
        <v>45</v>
      </c>
      <c r="T80" s="8" t="s">
        <v>45</v>
      </c>
      <c r="U80" s="8" t="s">
        <v>47</v>
      </c>
      <c r="V80" s="8" t="s">
        <v>48</v>
      </c>
      <c r="W80" s="8" t="s">
        <v>46</v>
      </c>
      <c r="X80" s="8" t="s">
        <v>47</v>
      </c>
      <c r="Y80" s="8" t="s">
        <v>45</v>
      </c>
      <c r="Z80" s="8" t="s">
        <v>46</v>
      </c>
      <c r="AA80" s="8" t="s">
        <v>47</v>
      </c>
      <c r="AB80" s="8" t="s">
        <v>47</v>
      </c>
      <c r="AC80" s="8" t="s">
        <v>45</v>
      </c>
      <c r="AD80" s="8" t="s">
        <v>46</v>
      </c>
      <c r="AE80" s="8" t="s">
        <v>46</v>
      </c>
    </row>
    <row r="81" customFormat="false" ht="15" hidden="false" customHeight="false" outlineLevel="0" collapsed="false">
      <c r="A81" s="7" t="s">
        <v>127</v>
      </c>
      <c r="B81" s="8" t="s">
        <v>45</v>
      </c>
      <c r="C81" s="8" t="s">
        <v>48</v>
      </c>
      <c r="D81" s="8" t="s">
        <v>45</v>
      </c>
      <c r="E81" s="8" t="s">
        <v>47</v>
      </c>
      <c r="F81" s="8" t="s">
        <v>47</v>
      </c>
      <c r="G81" s="8" t="s">
        <v>47</v>
      </c>
      <c r="H81" s="8" t="s">
        <v>46</v>
      </c>
      <c r="I81" s="8" t="s">
        <v>46</v>
      </c>
      <c r="J81" s="8" t="s">
        <v>48</v>
      </c>
      <c r="K81" s="8" t="s">
        <v>45</v>
      </c>
      <c r="L81" s="8" t="s">
        <v>48</v>
      </c>
      <c r="M81" s="8" t="s">
        <v>46</v>
      </c>
      <c r="N81" s="8" t="s">
        <v>48</v>
      </c>
      <c r="O81" s="8" t="s">
        <v>45</v>
      </c>
      <c r="P81" s="8" t="s">
        <v>48</v>
      </c>
      <c r="Q81" s="8" t="s">
        <v>48</v>
      </c>
      <c r="R81" s="8" t="s">
        <v>48</v>
      </c>
      <c r="S81" s="8" t="s">
        <v>48</v>
      </c>
      <c r="T81" s="8" t="s">
        <v>45</v>
      </c>
      <c r="U81" s="8" t="s">
        <v>45</v>
      </c>
      <c r="V81" s="8" t="s">
        <v>46</v>
      </c>
      <c r="W81" s="8" t="s">
        <v>46</v>
      </c>
      <c r="X81" s="8" t="s">
        <v>46</v>
      </c>
      <c r="Y81" s="8" t="s">
        <v>47</v>
      </c>
      <c r="Z81" s="8" t="s">
        <v>46</v>
      </c>
      <c r="AA81" s="8" t="s">
        <v>47</v>
      </c>
      <c r="AB81" s="8" t="s">
        <v>46</v>
      </c>
      <c r="AC81" s="8" t="s">
        <v>47</v>
      </c>
      <c r="AD81" s="8" t="s">
        <v>46</v>
      </c>
      <c r="AE81" s="8" t="s">
        <v>46</v>
      </c>
    </row>
    <row r="82" customFormat="false" ht="15" hidden="false" customHeight="false" outlineLevel="0" collapsed="false">
      <c r="A82" s="7" t="s">
        <v>128</v>
      </c>
      <c r="B82" s="8" t="s">
        <v>46</v>
      </c>
      <c r="C82" s="8" t="s">
        <v>45</v>
      </c>
      <c r="D82" s="8" t="s">
        <v>45</v>
      </c>
      <c r="E82" s="8" t="s">
        <v>45</v>
      </c>
      <c r="F82" s="8" t="s">
        <v>48</v>
      </c>
      <c r="G82" s="8" t="s">
        <v>46</v>
      </c>
      <c r="H82" s="8" t="s">
        <v>45</v>
      </c>
      <c r="I82" s="8" t="s">
        <v>45</v>
      </c>
      <c r="J82" s="8" t="s">
        <v>48</v>
      </c>
      <c r="K82" s="8" t="s">
        <v>47</v>
      </c>
      <c r="L82" s="8" t="s">
        <v>47</v>
      </c>
      <c r="M82" s="8" t="s">
        <v>46</v>
      </c>
      <c r="N82" s="8" t="s">
        <v>46</v>
      </c>
      <c r="O82" s="8" t="s">
        <v>47</v>
      </c>
      <c r="P82" s="8" t="s">
        <v>47</v>
      </c>
      <c r="Q82" s="8" t="s">
        <v>48</v>
      </c>
      <c r="R82" s="8" t="s">
        <v>48</v>
      </c>
      <c r="S82" s="8" t="s">
        <v>48</v>
      </c>
      <c r="T82" s="8" t="s">
        <v>45</v>
      </c>
      <c r="U82" s="8" t="s">
        <v>48</v>
      </c>
      <c r="V82" s="8" t="s">
        <v>46</v>
      </c>
      <c r="W82" s="8" t="s">
        <v>48</v>
      </c>
      <c r="X82" s="8" t="s">
        <v>46</v>
      </c>
      <c r="Y82" s="8" t="s">
        <v>47</v>
      </c>
      <c r="Z82" s="8" t="s">
        <v>48</v>
      </c>
      <c r="AA82" s="8" t="s">
        <v>48</v>
      </c>
      <c r="AB82" s="8" t="s">
        <v>48</v>
      </c>
      <c r="AC82" s="8" t="s">
        <v>46</v>
      </c>
      <c r="AD82" s="8" t="s">
        <v>46</v>
      </c>
      <c r="AE82" s="8" t="s">
        <v>48</v>
      </c>
    </row>
    <row r="83" customFormat="false" ht="15" hidden="false" customHeight="false" outlineLevel="0" collapsed="false">
      <c r="A83" s="7" t="s">
        <v>129</v>
      </c>
      <c r="B83" s="8" t="s">
        <v>45</v>
      </c>
      <c r="C83" s="8" t="s">
        <v>46</v>
      </c>
      <c r="D83" s="8" t="s">
        <v>48</v>
      </c>
      <c r="E83" s="8" t="s">
        <v>47</v>
      </c>
      <c r="F83" s="8" t="s">
        <v>47</v>
      </c>
      <c r="G83" s="8" t="s">
        <v>47</v>
      </c>
      <c r="H83" s="8" t="s">
        <v>46</v>
      </c>
      <c r="I83" s="8" t="s">
        <v>46</v>
      </c>
      <c r="J83" s="8" t="s">
        <v>48</v>
      </c>
      <c r="K83" s="8" t="s">
        <v>45</v>
      </c>
      <c r="L83" s="8" t="s">
        <v>48</v>
      </c>
      <c r="M83" s="8" t="s">
        <v>46</v>
      </c>
      <c r="N83" s="8" t="s">
        <v>47</v>
      </c>
      <c r="O83" s="8" t="s">
        <v>45</v>
      </c>
      <c r="P83" s="8" t="s">
        <v>48</v>
      </c>
      <c r="Q83" s="8" t="s">
        <v>48</v>
      </c>
      <c r="R83" s="8" t="s">
        <v>48</v>
      </c>
      <c r="S83" s="8" t="s">
        <v>45</v>
      </c>
      <c r="T83" s="8" t="s">
        <v>45</v>
      </c>
      <c r="U83" s="8" t="s">
        <v>45</v>
      </c>
      <c r="V83" s="8" t="s">
        <v>46</v>
      </c>
      <c r="W83" s="8" t="s">
        <v>46</v>
      </c>
      <c r="X83" s="8" t="s">
        <v>46</v>
      </c>
      <c r="Y83" s="8" t="s">
        <v>47</v>
      </c>
      <c r="Z83" s="8" t="s">
        <v>46</v>
      </c>
      <c r="AA83" s="8" t="s">
        <v>47</v>
      </c>
      <c r="AB83" s="8" t="s">
        <v>46</v>
      </c>
      <c r="AC83" s="8" t="s">
        <v>47</v>
      </c>
      <c r="AD83" s="8" t="s">
        <v>46</v>
      </c>
      <c r="AE83" s="8" t="s">
        <v>46</v>
      </c>
    </row>
    <row r="84" customFormat="false" ht="15" hidden="false" customHeight="false" outlineLevel="0" collapsed="false">
      <c r="A84" s="7" t="s">
        <v>130</v>
      </c>
      <c r="B84" s="8" t="s">
        <v>45</v>
      </c>
      <c r="C84" s="8" t="s">
        <v>45</v>
      </c>
      <c r="D84" s="8" t="s">
        <v>47</v>
      </c>
      <c r="E84" s="8" t="s">
        <v>45</v>
      </c>
      <c r="F84" s="8" t="s">
        <v>45</v>
      </c>
      <c r="G84" s="8" t="s">
        <v>47</v>
      </c>
      <c r="H84" s="8" t="s">
        <v>47</v>
      </c>
      <c r="I84" s="8" t="s">
        <v>45</v>
      </c>
      <c r="J84" s="8" t="s">
        <v>48</v>
      </c>
      <c r="K84" s="8" t="s">
        <v>45</v>
      </c>
      <c r="L84" s="8" t="s">
        <v>48</v>
      </c>
      <c r="M84" s="8" t="s">
        <v>46</v>
      </c>
      <c r="N84" s="8" t="s">
        <v>46</v>
      </c>
      <c r="O84" s="8" t="s">
        <v>45</v>
      </c>
      <c r="P84" s="8" t="s">
        <v>45</v>
      </c>
      <c r="Q84" s="8" t="s">
        <v>48</v>
      </c>
      <c r="R84" s="8" t="s">
        <v>48</v>
      </c>
      <c r="S84" s="8" t="s">
        <v>46</v>
      </c>
      <c r="T84" s="8" t="s">
        <v>45</v>
      </c>
      <c r="U84" s="8" t="s">
        <v>47</v>
      </c>
      <c r="V84" s="8" t="s">
        <v>45</v>
      </c>
      <c r="W84" s="8" t="s">
        <v>47</v>
      </c>
      <c r="X84" s="8" t="s">
        <v>47</v>
      </c>
      <c r="Y84" s="8" t="s">
        <v>46</v>
      </c>
      <c r="Z84" s="8" t="s">
        <v>48</v>
      </c>
      <c r="AA84" s="8" t="s">
        <v>48</v>
      </c>
      <c r="AB84" s="8" t="s">
        <v>47</v>
      </c>
      <c r="AC84" s="8" t="s">
        <v>46</v>
      </c>
      <c r="AD84" s="8" t="s">
        <v>45</v>
      </c>
      <c r="AE84" s="8" t="s">
        <v>48</v>
      </c>
    </row>
    <row r="85" customFormat="false" ht="15" hidden="false" customHeight="false" outlineLevel="0" collapsed="false">
      <c r="A85" s="7" t="s">
        <v>131</v>
      </c>
      <c r="B85" s="8" t="s">
        <v>47</v>
      </c>
      <c r="C85" s="8" t="s">
        <v>47</v>
      </c>
      <c r="D85" s="8" t="s">
        <v>47</v>
      </c>
      <c r="E85" s="8" t="s">
        <v>47</v>
      </c>
      <c r="F85" s="8" t="s">
        <v>46</v>
      </c>
      <c r="G85" s="8" t="s">
        <v>45</v>
      </c>
      <c r="H85" s="8" t="s">
        <v>46</v>
      </c>
      <c r="I85" s="8" t="s">
        <v>47</v>
      </c>
      <c r="J85" s="8" t="s">
        <v>48</v>
      </c>
      <c r="K85" s="8" t="s">
        <v>48</v>
      </c>
      <c r="L85" s="8" t="s">
        <v>48</v>
      </c>
      <c r="M85" s="8" t="s">
        <v>46</v>
      </c>
      <c r="N85" s="8" t="s">
        <v>47</v>
      </c>
      <c r="O85" s="8" t="s">
        <v>48</v>
      </c>
      <c r="P85" s="8" t="s">
        <v>48</v>
      </c>
      <c r="Q85" s="8" t="s">
        <v>48</v>
      </c>
      <c r="R85" s="8" t="s">
        <v>48</v>
      </c>
      <c r="S85" s="8" t="s">
        <v>48</v>
      </c>
      <c r="T85" s="8" t="s">
        <v>45</v>
      </c>
      <c r="U85" s="8" t="s">
        <v>48</v>
      </c>
      <c r="V85" s="8" t="s">
        <v>46</v>
      </c>
      <c r="W85" s="8" t="s">
        <v>45</v>
      </c>
      <c r="X85" s="8" t="s">
        <v>46</v>
      </c>
      <c r="Y85" s="8" t="s">
        <v>46</v>
      </c>
      <c r="Z85" s="8" t="s">
        <v>46</v>
      </c>
      <c r="AA85" s="8" t="s">
        <v>47</v>
      </c>
      <c r="AB85" s="8" t="s">
        <v>48</v>
      </c>
      <c r="AC85" s="8" t="s">
        <v>48</v>
      </c>
      <c r="AD85" s="8" t="s">
        <v>46</v>
      </c>
      <c r="AE85" s="8" t="s">
        <v>46</v>
      </c>
    </row>
    <row r="86" customFormat="false" ht="15" hidden="false" customHeight="false" outlineLevel="0" collapsed="false">
      <c r="A86" s="7" t="s">
        <v>132</v>
      </c>
      <c r="B86" s="8" t="s">
        <v>45</v>
      </c>
      <c r="C86" s="8" t="s">
        <v>47</v>
      </c>
      <c r="D86" s="8" t="s">
        <v>45</v>
      </c>
      <c r="E86" s="8" t="s">
        <v>47</v>
      </c>
      <c r="F86" s="8" t="s">
        <v>47</v>
      </c>
      <c r="G86" s="8" t="s">
        <v>45</v>
      </c>
      <c r="H86" s="8" t="s">
        <v>46</v>
      </c>
      <c r="I86" s="8" t="s">
        <v>46</v>
      </c>
      <c r="J86" s="8" t="s">
        <v>48</v>
      </c>
      <c r="K86" s="8" t="s">
        <v>45</v>
      </c>
      <c r="L86" s="8" t="s">
        <v>48</v>
      </c>
      <c r="M86" s="8" t="s">
        <v>46</v>
      </c>
      <c r="N86" s="8" t="s">
        <v>46</v>
      </c>
      <c r="O86" s="8" t="s">
        <v>45</v>
      </c>
      <c r="P86" s="8" t="s">
        <v>46</v>
      </c>
      <c r="Q86" s="8" t="s">
        <v>48</v>
      </c>
      <c r="R86" s="8" t="s">
        <v>48</v>
      </c>
      <c r="S86" s="8" t="s">
        <v>45</v>
      </c>
      <c r="T86" s="8" t="s">
        <v>45</v>
      </c>
      <c r="U86" s="8" t="s">
        <v>47</v>
      </c>
      <c r="V86" s="8" t="s">
        <v>46</v>
      </c>
      <c r="W86" s="8" t="s">
        <v>46</v>
      </c>
      <c r="X86" s="8" t="s">
        <v>48</v>
      </c>
      <c r="Y86" s="8" t="s">
        <v>48</v>
      </c>
      <c r="Z86" s="8" t="s">
        <v>46</v>
      </c>
      <c r="AA86" s="8" t="s">
        <v>46</v>
      </c>
      <c r="AB86" s="8" t="s">
        <v>46</v>
      </c>
      <c r="AC86" s="8" t="s">
        <v>47</v>
      </c>
      <c r="AD86" s="8" t="s">
        <v>47</v>
      </c>
      <c r="AE86" s="8" t="s">
        <v>48</v>
      </c>
    </row>
    <row r="87" customFormat="false" ht="15" hidden="false" customHeight="false" outlineLevel="0" collapsed="false">
      <c r="A87" s="7" t="s">
        <v>133</v>
      </c>
      <c r="B87" s="8" t="s">
        <v>46</v>
      </c>
      <c r="C87" s="8" t="s">
        <v>46</v>
      </c>
      <c r="D87" s="8" t="s">
        <v>46</v>
      </c>
      <c r="E87" s="8" t="s">
        <v>47</v>
      </c>
      <c r="F87" s="8" t="s">
        <v>46</v>
      </c>
      <c r="G87" s="8" t="s">
        <v>47</v>
      </c>
      <c r="H87" s="8" t="s">
        <v>46</v>
      </c>
      <c r="I87" s="8" t="s">
        <v>46</v>
      </c>
      <c r="J87" s="8" t="s">
        <v>48</v>
      </c>
      <c r="K87" s="8" t="s">
        <v>47</v>
      </c>
      <c r="L87" s="8" t="s">
        <v>46</v>
      </c>
      <c r="M87" s="8" t="s">
        <v>46</v>
      </c>
      <c r="N87" s="8" t="s">
        <v>47</v>
      </c>
      <c r="O87" s="8" t="s">
        <v>47</v>
      </c>
      <c r="P87" s="8" t="s">
        <v>48</v>
      </c>
      <c r="Q87" s="8" t="s">
        <v>48</v>
      </c>
      <c r="R87" s="8" t="s">
        <v>48</v>
      </c>
      <c r="S87" s="8" t="s">
        <v>46</v>
      </c>
      <c r="T87" s="8" t="s">
        <v>47</v>
      </c>
      <c r="U87" s="8" t="s">
        <v>45</v>
      </c>
      <c r="V87" s="8" t="s">
        <v>47</v>
      </c>
      <c r="W87" s="8" t="s">
        <v>45</v>
      </c>
      <c r="X87" s="8" t="s">
        <v>47</v>
      </c>
      <c r="Y87" s="8" t="s">
        <v>48</v>
      </c>
      <c r="Z87" s="8" t="s">
        <v>46</v>
      </c>
      <c r="AA87" s="8" t="s">
        <v>46</v>
      </c>
      <c r="AB87" s="8" t="s">
        <v>47</v>
      </c>
      <c r="AC87" s="8" t="s">
        <v>47</v>
      </c>
      <c r="AD87" s="8" t="s">
        <v>47</v>
      </c>
      <c r="AE87" s="8" t="s">
        <v>46</v>
      </c>
    </row>
    <row r="88" customFormat="false" ht="15" hidden="false" customHeight="false" outlineLevel="0" collapsed="false">
      <c r="A88" s="7" t="s">
        <v>134</v>
      </c>
      <c r="B88" s="8" t="s">
        <v>48</v>
      </c>
      <c r="C88" s="8" t="s">
        <v>46</v>
      </c>
      <c r="D88" s="8" t="s">
        <v>48</v>
      </c>
      <c r="E88" s="8" t="s">
        <v>46</v>
      </c>
      <c r="F88" s="8" t="s">
        <v>48</v>
      </c>
      <c r="G88" s="8" t="s">
        <v>46</v>
      </c>
      <c r="H88" s="8" t="s">
        <v>47</v>
      </c>
      <c r="I88" s="8" t="s">
        <v>48</v>
      </c>
      <c r="J88" s="8" t="s">
        <v>48</v>
      </c>
      <c r="K88" s="8" t="s">
        <v>47</v>
      </c>
      <c r="L88" s="8" t="s">
        <v>46</v>
      </c>
      <c r="M88" s="8" t="s">
        <v>46</v>
      </c>
      <c r="N88" s="8" t="s">
        <v>48</v>
      </c>
      <c r="O88" s="8" t="s">
        <v>47</v>
      </c>
      <c r="P88" s="8" t="s">
        <v>46</v>
      </c>
      <c r="Q88" s="8" t="s">
        <v>48</v>
      </c>
      <c r="R88" s="8" t="s">
        <v>45</v>
      </c>
      <c r="S88" s="8" t="s">
        <v>45</v>
      </c>
      <c r="T88" s="8" t="s">
        <v>45</v>
      </c>
      <c r="U88" s="8" t="s">
        <v>48</v>
      </c>
      <c r="V88" s="8" t="s">
        <v>48</v>
      </c>
      <c r="W88" s="8" t="s">
        <v>46</v>
      </c>
      <c r="X88" s="8" t="s">
        <v>47</v>
      </c>
      <c r="Y88" s="8" t="s">
        <v>46</v>
      </c>
      <c r="Z88" s="8" t="s">
        <v>46</v>
      </c>
      <c r="AA88" s="8" t="s">
        <v>46</v>
      </c>
      <c r="AB88" s="8" t="s">
        <v>47</v>
      </c>
      <c r="AC88" s="8" t="s">
        <v>45</v>
      </c>
      <c r="AD88" s="8" t="s">
        <v>45</v>
      </c>
      <c r="AE88" s="8" t="s">
        <v>46</v>
      </c>
    </row>
    <row r="89" customFormat="false" ht="15" hidden="false" customHeight="false" outlineLevel="0" collapsed="false">
      <c r="A89" s="7" t="s">
        <v>135</v>
      </c>
      <c r="B89" s="8" t="s">
        <v>47</v>
      </c>
      <c r="C89" s="8" t="s">
        <v>47</v>
      </c>
      <c r="D89" s="8" t="s">
        <v>45</v>
      </c>
      <c r="E89" s="8" t="s">
        <v>45</v>
      </c>
      <c r="F89" s="8" t="s">
        <v>47</v>
      </c>
      <c r="G89" s="8" t="s">
        <v>48</v>
      </c>
      <c r="H89" s="8" t="s">
        <v>47</v>
      </c>
      <c r="I89" s="8" t="s">
        <v>48</v>
      </c>
      <c r="J89" s="8" t="s">
        <v>47</v>
      </c>
      <c r="K89" s="8" t="s">
        <v>48</v>
      </c>
      <c r="L89" s="8" t="s">
        <v>47</v>
      </c>
      <c r="M89" s="8" t="s">
        <v>46</v>
      </c>
      <c r="N89" s="8" t="s">
        <v>46</v>
      </c>
      <c r="O89" s="8" t="s">
        <v>47</v>
      </c>
      <c r="P89" s="8" t="s">
        <v>48</v>
      </c>
      <c r="Q89" s="8" t="s">
        <v>48</v>
      </c>
      <c r="R89" s="8" t="s">
        <v>48</v>
      </c>
      <c r="S89" s="8" t="s">
        <v>45</v>
      </c>
      <c r="T89" s="8" t="s">
        <v>46</v>
      </c>
      <c r="U89" s="8" t="s">
        <v>45</v>
      </c>
      <c r="V89" s="8" t="s">
        <v>48</v>
      </c>
      <c r="W89" s="8" t="s">
        <v>45</v>
      </c>
      <c r="X89" s="8" t="s">
        <v>47</v>
      </c>
      <c r="Y89" s="8" t="s">
        <v>47</v>
      </c>
      <c r="Z89" s="8" t="s">
        <v>47</v>
      </c>
      <c r="AA89" s="8" t="s">
        <v>48</v>
      </c>
      <c r="AB89" s="8" t="s">
        <v>47</v>
      </c>
      <c r="AC89" s="8" t="s">
        <v>45</v>
      </c>
      <c r="AD89" s="8" t="s">
        <v>46</v>
      </c>
      <c r="AE89" s="8" t="s">
        <v>46</v>
      </c>
    </row>
    <row r="90" customFormat="false" ht="15" hidden="false" customHeight="false" outlineLevel="0" collapsed="false">
      <c r="A90" s="7" t="s">
        <v>136</v>
      </c>
      <c r="B90" s="8" t="s">
        <v>47</v>
      </c>
      <c r="C90" s="8" t="s">
        <v>46</v>
      </c>
      <c r="D90" s="8" t="s">
        <v>45</v>
      </c>
      <c r="E90" s="8" t="s">
        <v>45</v>
      </c>
      <c r="F90" s="8" t="s">
        <v>48</v>
      </c>
      <c r="G90" s="8" t="s">
        <v>47</v>
      </c>
      <c r="H90" s="8" t="s">
        <v>46</v>
      </c>
      <c r="I90" s="8" t="s">
        <v>46</v>
      </c>
      <c r="J90" s="8" t="s">
        <v>48</v>
      </c>
      <c r="K90" s="8" t="s">
        <v>48</v>
      </c>
      <c r="L90" s="8" t="s">
        <v>47</v>
      </c>
      <c r="M90" s="8" t="s">
        <v>46</v>
      </c>
      <c r="N90" s="8" t="s">
        <v>47</v>
      </c>
      <c r="O90" s="8" t="s">
        <v>45</v>
      </c>
      <c r="P90" s="8" t="s">
        <v>46</v>
      </c>
      <c r="Q90" s="8" t="s">
        <v>48</v>
      </c>
      <c r="R90" s="8" t="s">
        <v>48</v>
      </c>
      <c r="S90" s="8" t="s">
        <v>47</v>
      </c>
      <c r="T90" s="8" t="s">
        <v>46</v>
      </c>
      <c r="U90" s="8" t="s">
        <v>45</v>
      </c>
      <c r="V90" s="8" t="s">
        <v>46</v>
      </c>
      <c r="W90" s="8" t="s">
        <v>48</v>
      </c>
      <c r="X90" s="8" t="s">
        <v>48</v>
      </c>
      <c r="Y90" s="8" t="s">
        <v>45</v>
      </c>
      <c r="Z90" s="8" t="s">
        <v>45</v>
      </c>
      <c r="AA90" s="8" t="s">
        <v>48</v>
      </c>
      <c r="AB90" s="8" t="s">
        <v>47</v>
      </c>
      <c r="AC90" s="8" t="s">
        <v>47</v>
      </c>
      <c r="AD90" s="8" t="s">
        <v>48</v>
      </c>
      <c r="AE90" s="8" t="s">
        <v>45</v>
      </c>
    </row>
    <row r="91" customFormat="false" ht="15" hidden="false" customHeight="false" outlineLevel="0" collapsed="false">
      <c r="A91" s="7" t="s">
        <v>137</v>
      </c>
      <c r="B91" s="8" t="s">
        <v>48</v>
      </c>
      <c r="C91" s="8" t="s">
        <v>46</v>
      </c>
      <c r="D91" s="8" t="s">
        <v>48</v>
      </c>
      <c r="E91" s="8" t="s">
        <v>47</v>
      </c>
      <c r="F91" s="8" t="s">
        <v>45</v>
      </c>
      <c r="G91" s="8" t="s">
        <v>48</v>
      </c>
      <c r="H91" s="8" t="s">
        <v>47</v>
      </c>
      <c r="I91" s="8" t="s">
        <v>48</v>
      </c>
      <c r="J91" s="8" t="s">
        <v>48</v>
      </c>
      <c r="K91" s="8" t="s">
        <v>45</v>
      </c>
      <c r="L91" s="8" t="s">
        <v>47</v>
      </c>
      <c r="M91" s="8" t="s">
        <v>46</v>
      </c>
      <c r="N91" s="8" t="s">
        <v>48</v>
      </c>
      <c r="O91" s="8" t="s">
        <v>45</v>
      </c>
      <c r="P91" s="8" t="s">
        <v>48</v>
      </c>
      <c r="Q91" s="8" t="s">
        <v>47</v>
      </c>
      <c r="R91" s="8" t="s">
        <v>48</v>
      </c>
      <c r="S91" s="8" t="s">
        <v>47</v>
      </c>
      <c r="T91" s="8" t="s">
        <v>45</v>
      </c>
      <c r="U91" s="8" t="s">
        <v>47</v>
      </c>
      <c r="V91" s="8" t="s">
        <v>46</v>
      </c>
      <c r="W91" s="8" t="s">
        <v>47</v>
      </c>
      <c r="X91" s="8" t="s">
        <v>48</v>
      </c>
      <c r="Y91" s="8" t="s">
        <v>48</v>
      </c>
      <c r="Z91" s="8" t="s">
        <v>46</v>
      </c>
      <c r="AA91" s="8" t="s">
        <v>45</v>
      </c>
      <c r="AB91" s="8" t="s">
        <v>47</v>
      </c>
      <c r="AC91" s="8" t="s">
        <v>45</v>
      </c>
      <c r="AD91" s="8" t="s">
        <v>46</v>
      </c>
      <c r="AE91" s="8" t="s">
        <v>45</v>
      </c>
    </row>
    <row r="92" customFormat="false" ht="15" hidden="false" customHeight="false" outlineLevel="0" collapsed="false">
      <c r="A92" s="7" t="s">
        <v>138</v>
      </c>
      <c r="B92" s="8" t="s">
        <v>45</v>
      </c>
      <c r="C92" s="8" t="s">
        <v>46</v>
      </c>
      <c r="D92" s="8" t="s">
        <v>48</v>
      </c>
      <c r="E92" s="8" t="s">
        <v>47</v>
      </c>
      <c r="F92" s="8" t="s">
        <v>47</v>
      </c>
      <c r="G92" s="8" t="s">
        <v>46</v>
      </c>
      <c r="H92" s="8" t="s">
        <v>47</v>
      </c>
      <c r="I92" s="8" t="s">
        <v>46</v>
      </c>
      <c r="J92" s="8" t="s">
        <v>48</v>
      </c>
      <c r="K92" s="8" t="s">
        <v>45</v>
      </c>
      <c r="L92" s="8" t="s">
        <v>48</v>
      </c>
      <c r="M92" s="8" t="s">
        <v>46</v>
      </c>
      <c r="N92" s="8" t="s">
        <v>48</v>
      </c>
      <c r="O92" s="8" t="s">
        <v>45</v>
      </c>
      <c r="P92" s="8" t="s">
        <v>46</v>
      </c>
      <c r="Q92" s="8" t="s">
        <v>48</v>
      </c>
      <c r="R92" s="8" t="s">
        <v>48</v>
      </c>
      <c r="S92" s="8" t="s">
        <v>47</v>
      </c>
      <c r="T92" s="8" t="s">
        <v>48</v>
      </c>
      <c r="U92" s="8" t="s">
        <v>46</v>
      </c>
      <c r="V92" s="8" t="s">
        <v>46</v>
      </c>
      <c r="W92" s="8" t="s">
        <v>46</v>
      </c>
      <c r="X92" s="8" t="s">
        <v>48</v>
      </c>
      <c r="Y92" s="8" t="s">
        <v>47</v>
      </c>
      <c r="Z92" s="8" t="s">
        <v>46</v>
      </c>
      <c r="AA92" s="8" t="s">
        <v>47</v>
      </c>
      <c r="AB92" s="8" t="s">
        <v>46</v>
      </c>
      <c r="AC92" s="8" t="s">
        <v>45</v>
      </c>
      <c r="AD92" s="8" t="s">
        <v>46</v>
      </c>
      <c r="AE92" s="8" t="s">
        <v>46</v>
      </c>
    </row>
    <row r="93" customFormat="false" ht="15" hidden="false" customHeight="false" outlineLevel="0" collapsed="false">
      <c r="A93" s="7" t="s">
        <v>139</v>
      </c>
      <c r="B93" s="8" t="s">
        <v>48</v>
      </c>
      <c r="C93" s="8" t="s">
        <v>46</v>
      </c>
      <c r="D93" s="8" t="s">
        <v>45</v>
      </c>
      <c r="E93" s="8" t="s">
        <v>47</v>
      </c>
      <c r="F93" s="8" t="s">
        <v>48</v>
      </c>
      <c r="G93" s="8" t="s">
        <v>48</v>
      </c>
      <c r="H93" s="8" t="s">
        <v>46</v>
      </c>
      <c r="I93" s="8" t="s">
        <v>46</v>
      </c>
      <c r="J93" s="8" t="s">
        <v>48</v>
      </c>
      <c r="K93" s="8" t="s">
        <v>47</v>
      </c>
      <c r="L93" s="8" t="s">
        <v>47</v>
      </c>
      <c r="M93" s="8" t="s">
        <v>46</v>
      </c>
      <c r="N93" s="8" t="s">
        <v>47</v>
      </c>
      <c r="O93" s="8" t="s">
        <v>45</v>
      </c>
      <c r="P93" s="8" t="s">
        <v>48</v>
      </c>
      <c r="Q93" s="8" t="s">
        <v>48</v>
      </c>
      <c r="R93" s="8" t="s">
        <v>48</v>
      </c>
      <c r="S93" s="8" t="s">
        <v>45</v>
      </c>
      <c r="T93" s="8" t="s">
        <v>45</v>
      </c>
      <c r="U93" s="8" t="s">
        <v>46</v>
      </c>
      <c r="V93" s="8" t="s">
        <v>46</v>
      </c>
      <c r="W93" s="8" t="s">
        <v>48</v>
      </c>
      <c r="X93" s="8" t="s">
        <v>46</v>
      </c>
      <c r="Y93" s="8" t="s">
        <v>47</v>
      </c>
      <c r="Z93" s="8" t="s">
        <v>46</v>
      </c>
      <c r="AA93" s="8" t="s">
        <v>47</v>
      </c>
      <c r="AB93" s="8" t="s">
        <v>46</v>
      </c>
      <c r="AC93" s="8" t="s">
        <v>47</v>
      </c>
      <c r="AD93" s="8" t="s">
        <v>46</v>
      </c>
      <c r="AE93" s="8" t="s">
        <v>46</v>
      </c>
    </row>
    <row r="94" customFormat="false" ht="15" hidden="false" customHeight="false" outlineLevel="0" collapsed="false">
      <c r="A94" s="7" t="s">
        <v>140</v>
      </c>
      <c r="B94" s="8" t="s">
        <v>47</v>
      </c>
      <c r="C94" s="8" t="s">
        <v>47</v>
      </c>
      <c r="D94" s="8" t="s">
        <v>45</v>
      </c>
      <c r="E94" s="8" t="s">
        <v>47</v>
      </c>
      <c r="F94" s="8" t="s">
        <v>46</v>
      </c>
      <c r="G94" s="8" t="s">
        <v>45</v>
      </c>
      <c r="H94" s="8" t="s">
        <v>47</v>
      </c>
      <c r="I94" s="8" t="s">
        <v>45</v>
      </c>
      <c r="J94" s="8" t="s">
        <v>48</v>
      </c>
      <c r="K94" s="8" t="s">
        <v>46</v>
      </c>
      <c r="L94" s="8" t="s">
        <v>48</v>
      </c>
      <c r="M94" s="8" t="s">
        <v>48</v>
      </c>
      <c r="N94" s="8" t="s">
        <v>47</v>
      </c>
      <c r="O94" s="8" t="s">
        <v>47</v>
      </c>
      <c r="P94" s="8" t="s">
        <v>45</v>
      </c>
      <c r="Q94" s="8" t="s">
        <v>45</v>
      </c>
      <c r="R94" s="8" t="s">
        <v>46</v>
      </c>
      <c r="S94" s="8" t="s">
        <v>45</v>
      </c>
      <c r="T94" s="8" t="s">
        <v>47</v>
      </c>
      <c r="U94" s="8" t="s">
        <v>46</v>
      </c>
      <c r="V94" s="8" t="s">
        <v>45</v>
      </c>
      <c r="W94" s="8" t="s">
        <v>47</v>
      </c>
      <c r="X94" s="8" t="s">
        <v>47</v>
      </c>
      <c r="Y94" s="8" t="s">
        <v>48</v>
      </c>
      <c r="Z94" s="8" t="s">
        <v>47</v>
      </c>
      <c r="AA94" s="8" t="s">
        <v>48</v>
      </c>
      <c r="AB94" s="8" t="s">
        <v>48</v>
      </c>
      <c r="AC94" s="8" t="s">
        <v>45</v>
      </c>
      <c r="AD94" s="8" t="s">
        <v>48</v>
      </c>
      <c r="AE94" s="8" t="s">
        <v>45</v>
      </c>
    </row>
    <row r="95" customFormat="false" ht="15" hidden="false" customHeight="false" outlineLevel="0" collapsed="false">
      <c r="A95" s="7" t="s">
        <v>141</v>
      </c>
      <c r="B95" s="8" t="s">
        <v>48</v>
      </c>
      <c r="C95" s="8" t="s">
        <v>46</v>
      </c>
      <c r="D95" s="8" t="s">
        <v>47</v>
      </c>
      <c r="E95" s="8" t="s">
        <v>48</v>
      </c>
      <c r="F95" s="8" t="s">
        <v>48</v>
      </c>
      <c r="G95" s="8" t="s">
        <v>48</v>
      </c>
      <c r="H95" s="8" t="s">
        <v>47</v>
      </c>
      <c r="I95" s="8" t="s">
        <v>48</v>
      </c>
      <c r="J95" s="8" t="s">
        <v>48</v>
      </c>
      <c r="K95" s="8" t="s">
        <v>46</v>
      </c>
      <c r="L95" s="8" t="s">
        <v>48</v>
      </c>
      <c r="M95" s="8" t="s">
        <v>46</v>
      </c>
      <c r="N95" s="8" t="s">
        <v>45</v>
      </c>
      <c r="O95" s="8" t="s">
        <v>48</v>
      </c>
      <c r="P95" s="8" t="s">
        <v>46</v>
      </c>
      <c r="Q95" s="8" t="s">
        <v>46</v>
      </c>
      <c r="R95" s="8" t="s">
        <v>48</v>
      </c>
      <c r="S95" s="8" t="s">
        <v>47</v>
      </c>
      <c r="T95" s="8" t="s">
        <v>46</v>
      </c>
      <c r="U95" s="8" t="s">
        <v>48</v>
      </c>
      <c r="V95" s="8" t="s">
        <v>48</v>
      </c>
      <c r="W95" s="8" t="s">
        <v>48</v>
      </c>
      <c r="X95" s="8" t="s">
        <v>47</v>
      </c>
      <c r="Y95" s="8" t="s">
        <v>47</v>
      </c>
      <c r="Z95" s="8" t="s">
        <v>48</v>
      </c>
      <c r="AA95" s="8" t="s">
        <v>45</v>
      </c>
      <c r="AB95" s="8" t="s">
        <v>46</v>
      </c>
      <c r="AC95" s="8" t="s">
        <v>45</v>
      </c>
      <c r="AD95" s="8" t="s">
        <v>48</v>
      </c>
      <c r="AE95" s="8" t="s">
        <v>45</v>
      </c>
    </row>
    <row r="96" customFormat="false" ht="15" hidden="false" customHeight="false" outlineLevel="0" collapsed="false">
      <c r="A96" s="7" t="s">
        <v>142</v>
      </c>
      <c r="B96" s="8" t="s">
        <v>47</v>
      </c>
      <c r="C96" s="8" t="s">
        <v>48</v>
      </c>
      <c r="D96" s="8" t="s">
        <v>48</v>
      </c>
      <c r="E96" s="8" t="s">
        <v>47</v>
      </c>
      <c r="F96" s="8" t="s">
        <v>47</v>
      </c>
      <c r="G96" s="8" t="s">
        <v>45</v>
      </c>
      <c r="H96" s="8" t="s">
        <v>46</v>
      </c>
      <c r="I96" s="8" t="s">
        <v>48</v>
      </c>
      <c r="J96" s="8" t="s">
        <v>47</v>
      </c>
      <c r="K96" s="8" t="s">
        <v>47</v>
      </c>
      <c r="L96" s="8" t="s">
        <v>46</v>
      </c>
      <c r="M96" s="8" t="s">
        <v>48</v>
      </c>
      <c r="N96" s="8" t="s">
        <v>45</v>
      </c>
      <c r="O96" s="8" t="s">
        <v>48</v>
      </c>
      <c r="P96" s="8" t="s">
        <v>45</v>
      </c>
      <c r="Q96" s="8" t="s">
        <v>45</v>
      </c>
      <c r="R96" s="8" t="s">
        <v>46</v>
      </c>
      <c r="S96" s="8" t="s">
        <v>45</v>
      </c>
      <c r="T96" s="8" t="s">
        <v>45</v>
      </c>
      <c r="U96" s="8" t="s">
        <v>47</v>
      </c>
      <c r="V96" s="8" t="s">
        <v>45</v>
      </c>
      <c r="W96" s="8" t="s">
        <v>45</v>
      </c>
      <c r="X96" s="8" t="s">
        <v>48</v>
      </c>
      <c r="Y96" s="8" t="s">
        <v>48</v>
      </c>
      <c r="Z96" s="8" t="s">
        <v>47</v>
      </c>
      <c r="AA96" s="8" t="s">
        <v>48</v>
      </c>
      <c r="AB96" s="8" t="s">
        <v>47</v>
      </c>
      <c r="AC96" s="8" t="s">
        <v>46</v>
      </c>
      <c r="AD96" s="8" t="s">
        <v>46</v>
      </c>
      <c r="AE96" s="8" t="s">
        <v>47</v>
      </c>
    </row>
    <row r="97" customFormat="false" ht="15" hidden="false" customHeight="false" outlineLevel="0" collapsed="false">
      <c r="A97" s="7" t="s">
        <v>143</v>
      </c>
      <c r="B97" s="8" t="s">
        <v>46</v>
      </c>
      <c r="C97" s="8" t="s">
        <v>48</v>
      </c>
      <c r="D97" s="8" t="s">
        <v>46</v>
      </c>
      <c r="E97" s="8" t="s">
        <v>47</v>
      </c>
      <c r="F97" s="8" t="s">
        <v>46</v>
      </c>
      <c r="G97" s="8" t="s">
        <v>48</v>
      </c>
      <c r="H97" s="8" t="s">
        <v>46</v>
      </c>
      <c r="I97" s="8" t="s">
        <v>46</v>
      </c>
      <c r="J97" s="8" t="s">
        <v>48</v>
      </c>
      <c r="K97" s="8" t="s">
        <v>45</v>
      </c>
      <c r="L97" s="8" t="s">
        <v>48</v>
      </c>
      <c r="M97" s="8" t="s">
        <v>46</v>
      </c>
      <c r="N97" s="8" t="s">
        <v>45</v>
      </c>
      <c r="O97" s="8" t="s">
        <v>48</v>
      </c>
      <c r="P97" s="8" t="s">
        <v>46</v>
      </c>
      <c r="Q97" s="8" t="s">
        <v>48</v>
      </c>
      <c r="R97" s="8" t="s">
        <v>48</v>
      </c>
      <c r="S97" s="8" t="s">
        <v>46</v>
      </c>
      <c r="T97" s="8" t="s">
        <v>48</v>
      </c>
      <c r="U97" s="8" t="s">
        <v>45</v>
      </c>
      <c r="V97" s="8" t="s">
        <v>47</v>
      </c>
      <c r="W97" s="8" t="s">
        <v>45</v>
      </c>
      <c r="X97" s="8" t="s">
        <v>46</v>
      </c>
      <c r="Y97" s="8" t="s">
        <v>47</v>
      </c>
      <c r="Z97" s="8" t="s">
        <v>46</v>
      </c>
      <c r="AA97" s="8" t="s">
        <v>45</v>
      </c>
      <c r="AB97" s="8" t="s">
        <v>47</v>
      </c>
      <c r="AC97" s="8" t="s">
        <v>46</v>
      </c>
      <c r="AD97" s="8" t="s">
        <v>48</v>
      </c>
      <c r="AE97" s="8" t="s">
        <v>46</v>
      </c>
    </row>
    <row r="98" customFormat="false" ht="15" hidden="false" customHeight="false" outlineLevel="0" collapsed="false">
      <c r="A98" s="7" t="s">
        <v>144</v>
      </c>
      <c r="B98" s="8" t="s">
        <v>45</v>
      </c>
      <c r="C98" s="8" t="s">
        <v>46</v>
      </c>
      <c r="D98" s="8" t="s">
        <v>45</v>
      </c>
      <c r="E98" s="8" t="s">
        <v>47</v>
      </c>
      <c r="F98" s="8" t="s">
        <v>47</v>
      </c>
      <c r="G98" s="8" t="s">
        <v>47</v>
      </c>
      <c r="H98" s="8" t="s">
        <v>46</v>
      </c>
      <c r="I98" s="8" t="s">
        <v>46</v>
      </c>
      <c r="J98" s="8" t="s">
        <v>48</v>
      </c>
      <c r="K98" s="8" t="s">
        <v>45</v>
      </c>
      <c r="L98" s="8" t="s">
        <v>48</v>
      </c>
      <c r="M98" s="8" t="s">
        <v>46</v>
      </c>
      <c r="N98" s="8" t="s">
        <v>47</v>
      </c>
      <c r="O98" s="8" t="s">
        <v>45</v>
      </c>
      <c r="P98" s="8" t="s">
        <v>46</v>
      </c>
      <c r="Q98" s="8" t="s">
        <v>48</v>
      </c>
      <c r="R98" s="8" t="s">
        <v>48</v>
      </c>
      <c r="S98" s="8" t="s">
        <v>45</v>
      </c>
      <c r="T98" s="8" t="s">
        <v>45</v>
      </c>
      <c r="U98" s="8" t="s">
        <v>45</v>
      </c>
      <c r="V98" s="8" t="s">
        <v>46</v>
      </c>
      <c r="W98" s="8" t="s">
        <v>46</v>
      </c>
      <c r="X98" s="8" t="s">
        <v>46</v>
      </c>
      <c r="Y98" s="8" t="s">
        <v>47</v>
      </c>
      <c r="Z98" s="8" t="s">
        <v>46</v>
      </c>
      <c r="AA98" s="8" t="s">
        <v>47</v>
      </c>
      <c r="AB98" s="8" t="s">
        <v>45</v>
      </c>
      <c r="AC98" s="8" t="s">
        <v>47</v>
      </c>
      <c r="AD98" s="8" t="s">
        <v>46</v>
      </c>
      <c r="AE98" s="8" t="s">
        <v>46</v>
      </c>
    </row>
    <row r="99" customFormat="false" ht="15" hidden="false" customHeight="false" outlineLevel="0" collapsed="false">
      <c r="A99" s="7" t="s">
        <v>145</v>
      </c>
      <c r="B99" s="8" t="s">
        <v>46</v>
      </c>
      <c r="C99" s="8" t="s">
        <v>47</v>
      </c>
      <c r="D99" s="8" t="s">
        <v>45</v>
      </c>
      <c r="E99" s="8" t="s">
        <v>47</v>
      </c>
      <c r="F99" s="8" t="s">
        <v>48</v>
      </c>
      <c r="G99" s="8" t="s">
        <v>46</v>
      </c>
      <c r="H99" s="8" t="s">
        <v>46</v>
      </c>
      <c r="I99" s="8" t="s">
        <v>46</v>
      </c>
      <c r="J99" s="8" t="s">
        <v>48</v>
      </c>
      <c r="K99" s="8" t="s">
        <v>47</v>
      </c>
      <c r="L99" s="8" t="s">
        <v>48</v>
      </c>
      <c r="M99" s="8" t="s">
        <v>46</v>
      </c>
      <c r="N99" s="8" t="s">
        <v>48</v>
      </c>
      <c r="O99" s="8" t="s">
        <v>47</v>
      </c>
      <c r="P99" s="8" t="s">
        <v>48</v>
      </c>
      <c r="Q99" s="8" t="s">
        <v>48</v>
      </c>
      <c r="R99" s="8" t="s">
        <v>48</v>
      </c>
      <c r="S99" s="8" t="s">
        <v>47</v>
      </c>
      <c r="T99" s="8" t="s">
        <v>45</v>
      </c>
      <c r="U99" s="8" t="s">
        <v>45</v>
      </c>
      <c r="V99" s="8" t="s">
        <v>48</v>
      </c>
      <c r="W99" s="8" t="s">
        <v>48</v>
      </c>
      <c r="X99" s="8" t="s">
        <v>46</v>
      </c>
      <c r="Y99" s="8" t="s">
        <v>45</v>
      </c>
      <c r="Z99" s="8" t="s">
        <v>47</v>
      </c>
      <c r="AA99" s="8" t="s">
        <v>46</v>
      </c>
      <c r="AB99" s="8" t="s">
        <v>45</v>
      </c>
      <c r="AC99" s="8" t="s">
        <v>47</v>
      </c>
      <c r="AD99" s="8" t="s">
        <v>48</v>
      </c>
      <c r="AE99" s="8" t="s">
        <v>48</v>
      </c>
    </row>
    <row r="100" customFormat="false" ht="15" hidden="false" customHeight="false" outlineLevel="0" collapsed="false">
      <c r="A100" s="7" t="s">
        <v>146</v>
      </c>
      <c r="B100" s="8" t="s">
        <v>45</v>
      </c>
      <c r="C100" s="8" t="s">
        <v>48</v>
      </c>
      <c r="D100" s="8" t="s">
        <v>47</v>
      </c>
      <c r="E100" s="8" t="s">
        <v>46</v>
      </c>
      <c r="F100" s="8" t="s">
        <v>48</v>
      </c>
      <c r="G100" s="8" t="s">
        <v>47</v>
      </c>
      <c r="H100" s="8" t="s">
        <v>46</v>
      </c>
      <c r="I100" s="8" t="s">
        <v>45</v>
      </c>
      <c r="J100" s="8" t="s">
        <v>48</v>
      </c>
      <c r="K100" s="8" t="s">
        <v>45</v>
      </c>
      <c r="L100" s="8" t="s">
        <v>48</v>
      </c>
      <c r="M100" s="8" t="s">
        <v>46</v>
      </c>
      <c r="N100" s="8" t="s">
        <v>48</v>
      </c>
      <c r="O100" s="8" t="s">
        <v>45</v>
      </c>
      <c r="P100" s="8" t="s">
        <v>46</v>
      </c>
      <c r="Q100" s="8" t="s">
        <v>48</v>
      </c>
      <c r="R100" s="8" t="s">
        <v>48</v>
      </c>
      <c r="S100" s="8" t="s">
        <v>46</v>
      </c>
      <c r="T100" s="8" t="s">
        <v>48</v>
      </c>
      <c r="U100" s="8" t="s">
        <v>45</v>
      </c>
      <c r="V100" s="8" t="s">
        <v>48</v>
      </c>
      <c r="W100" s="8" t="s">
        <v>47</v>
      </c>
      <c r="X100" s="8" t="s">
        <v>46</v>
      </c>
      <c r="Y100" s="8" t="s">
        <v>46</v>
      </c>
      <c r="Z100" s="8" t="s">
        <v>46</v>
      </c>
      <c r="AA100" s="8" t="s">
        <v>47</v>
      </c>
      <c r="AB100" s="8" t="s">
        <v>46</v>
      </c>
      <c r="AC100" s="8" t="s">
        <v>47</v>
      </c>
      <c r="AD100" s="8" t="s">
        <v>46</v>
      </c>
      <c r="AE100" s="8" t="s">
        <v>46</v>
      </c>
    </row>
    <row r="101" customFormat="false" ht="15" hidden="false" customHeight="false" outlineLevel="0" collapsed="false">
      <c r="A101" s="7" t="s">
        <v>147</v>
      </c>
      <c r="B101" s="8" t="s">
        <v>48</v>
      </c>
      <c r="C101" s="8" t="s">
        <v>47</v>
      </c>
      <c r="D101" s="8" t="s">
        <v>45</v>
      </c>
      <c r="E101" s="8" t="s">
        <v>48</v>
      </c>
      <c r="F101" s="8" t="s">
        <v>45</v>
      </c>
      <c r="G101" s="8" t="s">
        <v>48</v>
      </c>
      <c r="H101" s="8" t="s">
        <v>46</v>
      </c>
      <c r="I101" s="8" t="s">
        <v>46</v>
      </c>
      <c r="J101" s="8" t="s">
        <v>48</v>
      </c>
      <c r="K101" s="8" t="s">
        <v>47</v>
      </c>
      <c r="L101" s="8" t="s">
        <v>46</v>
      </c>
      <c r="M101" s="8" t="s">
        <v>46</v>
      </c>
      <c r="N101" s="8" t="s">
        <v>46</v>
      </c>
      <c r="O101" s="8" t="s">
        <v>46</v>
      </c>
      <c r="P101" s="8" t="s">
        <v>45</v>
      </c>
      <c r="Q101" s="8" t="s">
        <v>47</v>
      </c>
      <c r="R101" s="8" t="s">
        <v>48</v>
      </c>
      <c r="S101" s="8" t="s">
        <v>47</v>
      </c>
      <c r="T101" s="8" t="s">
        <v>46</v>
      </c>
      <c r="U101" s="8" t="s">
        <v>45</v>
      </c>
      <c r="V101" s="8" t="s">
        <v>45</v>
      </c>
      <c r="W101" s="8" t="s">
        <v>47</v>
      </c>
      <c r="X101" s="8" t="s">
        <v>48</v>
      </c>
      <c r="Y101" s="8" t="s">
        <v>47</v>
      </c>
      <c r="Z101" s="8" t="s">
        <v>48</v>
      </c>
      <c r="AA101" s="8" t="s">
        <v>48</v>
      </c>
      <c r="AB101" s="8" t="s">
        <v>47</v>
      </c>
      <c r="AC101" s="8" t="s">
        <v>48</v>
      </c>
      <c r="AD101" s="8" t="s">
        <v>45</v>
      </c>
      <c r="AE101" s="8" t="s">
        <v>47</v>
      </c>
    </row>
    <row r="102" customFormat="false" ht="15" hidden="false" customHeight="false" outlineLevel="0" collapsed="false">
      <c r="A102" s="7" t="s">
        <v>148</v>
      </c>
      <c r="B102" s="8" t="s">
        <v>48</v>
      </c>
      <c r="C102" s="8" t="s">
        <v>45</v>
      </c>
      <c r="D102" s="8" t="s">
        <v>45</v>
      </c>
      <c r="E102" s="8" t="s">
        <v>46</v>
      </c>
      <c r="F102" s="8" t="s">
        <v>48</v>
      </c>
      <c r="G102" s="8" t="s">
        <v>45</v>
      </c>
      <c r="H102" s="8" t="s">
        <v>47</v>
      </c>
      <c r="I102" s="8" t="s">
        <v>47</v>
      </c>
      <c r="J102" s="8" t="s">
        <v>48</v>
      </c>
      <c r="K102" s="8" t="s">
        <v>45</v>
      </c>
      <c r="L102" s="8" t="s">
        <v>47</v>
      </c>
      <c r="M102" s="8" t="s">
        <v>46</v>
      </c>
      <c r="N102" s="8" t="s">
        <v>47</v>
      </c>
      <c r="O102" s="8" t="s">
        <v>45</v>
      </c>
      <c r="P102" s="8" t="s">
        <v>46</v>
      </c>
      <c r="Q102" s="8" t="s">
        <v>48</v>
      </c>
      <c r="R102" s="8" t="s">
        <v>48</v>
      </c>
      <c r="S102" s="8" t="s">
        <v>46</v>
      </c>
      <c r="T102" s="8" t="s">
        <v>48</v>
      </c>
      <c r="U102" s="8" t="s">
        <v>48</v>
      </c>
      <c r="V102" s="8" t="s">
        <v>48</v>
      </c>
      <c r="W102" s="8" t="s">
        <v>46</v>
      </c>
      <c r="X102" s="8" t="s">
        <v>47</v>
      </c>
      <c r="Y102" s="8" t="s">
        <v>46</v>
      </c>
      <c r="Z102" s="8" t="s">
        <v>45</v>
      </c>
      <c r="AA102" s="8" t="s">
        <v>46</v>
      </c>
      <c r="AB102" s="8" t="s">
        <v>47</v>
      </c>
      <c r="AC102" s="8" t="s">
        <v>45</v>
      </c>
      <c r="AD102" s="8" t="s">
        <v>46</v>
      </c>
      <c r="AE102" s="8" t="s">
        <v>48</v>
      </c>
    </row>
    <row r="103" customFormat="false" ht="15" hidden="false" customHeight="false" outlineLevel="0" collapsed="false">
      <c r="A103" s="7" t="s">
        <v>149</v>
      </c>
      <c r="B103" s="8" t="s">
        <v>48</v>
      </c>
      <c r="C103" s="8" t="s">
        <v>45</v>
      </c>
      <c r="D103" s="8" t="s">
        <v>46</v>
      </c>
      <c r="E103" s="8" t="s">
        <v>45</v>
      </c>
      <c r="F103" s="8" t="s">
        <v>48</v>
      </c>
      <c r="G103" s="8" t="s">
        <v>48</v>
      </c>
      <c r="H103" s="8" t="s">
        <v>47</v>
      </c>
      <c r="I103" s="8" t="s">
        <v>45</v>
      </c>
      <c r="J103" s="8" t="s">
        <v>48</v>
      </c>
      <c r="K103" s="8" t="s">
        <v>47</v>
      </c>
      <c r="L103" s="8" t="s">
        <v>47</v>
      </c>
      <c r="M103" s="8" t="s">
        <v>46</v>
      </c>
      <c r="N103" s="8" t="s">
        <v>48</v>
      </c>
      <c r="O103" s="8" t="s">
        <v>46</v>
      </c>
      <c r="P103" s="8" t="s">
        <v>45</v>
      </c>
      <c r="Q103" s="8" t="s">
        <v>46</v>
      </c>
      <c r="R103" s="8" t="s">
        <v>46</v>
      </c>
      <c r="S103" s="8" t="s">
        <v>47</v>
      </c>
      <c r="T103" s="8" t="s">
        <v>45</v>
      </c>
      <c r="U103" s="8" t="s">
        <v>46</v>
      </c>
      <c r="V103" s="8" t="s">
        <v>47</v>
      </c>
      <c r="W103" s="8" t="s">
        <v>48</v>
      </c>
      <c r="X103" s="8" t="s">
        <v>47</v>
      </c>
      <c r="Y103" s="8" t="s">
        <v>47</v>
      </c>
      <c r="Z103" s="8" t="s">
        <v>47</v>
      </c>
      <c r="AA103" s="8" t="s">
        <v>47</v>
      </c>
      <c r="AB103" s="8" t="s">
        <v>46</v>
      </c>
      <c r="AC103" s="8" t="s">
        <v>45</v>
      </c>
      <c r="AD103" s="8" t="s">
        <v>45</v>
      </c>
      <c r="AE103" s="8" t="s">
        <v>48</v>
      </c>
    </row>
    <row r="104" customFormat="false" ht="15" hidden="false" customHeight="false" outlineLevel="0" collapsed="false">
      <c r="A104" s="7" t="s">
        <v>150</v>
      </c>
      <c r="B104" s="8" t="s">
        <v>46</v>
      </c>
      <c r="C104" s="8" t="s">
        <v>47</v>
      </c>
      <c r="D104" s="8" t="s">
        <v>48</v>
      </c>
      <c r="E104" s="8" t="s">
        <v>47</v>
      </c>
      <c r="F104" s="8" t="s">
        <v>47</v>
      </c>
      <c r="G104" s="8" t="s">
        <v>45</v>
      </c>
      <c r="H104" s="8" t="s">
        <v>46</v>
      </c>
      <c r="I104" s="8" t="s">
        <v>46</v>
      </c>
      <c r="J104" s="8" t="s">
        <v>48</v>
      </c>
      <c r="K104" s="8" t="s">
        <v>47</v>
      </c>
      <c r="L104" s="8" t="s">
        <v>48</v>
      </c>
      <c r="M104" s="8" t="s">
        <v>46</v>
      </c>
      <c r="N104" s="8" t="s">
        <v>47</v>
      </c>
      <c r="O104" s="8" t="s">
        <v>45</v>
      </c>
      <c r="P104" s="8" t="s">
        <v>46</v>
      </c>
      <c r="Q104" s="8" t="s">
        <v>48</v>
      </c>
      <c r="R104" s="8" t="s">
        <v>48</v>
      </c>
      <c r="S104" s="8" t="s">
        <v>48</v>
      </c>
      <c r="T104" s="8" t="s">
        <v>45</v>
      </c>
      <c r="U104" s="8" t="s">
        <v>45</v>
      </c>
      <c r="V104" s="8" t="s">
        <v>46</v>
      </c>
      <c r="W104" s="8" t="s">
        <v>47</v>
      </c>
      <c r="X104" s="8" t="s">
        <v>46</v>
      </c>
      <c r="Y104" s="8" t="s">
        <v>45</v>
      </c>
      <c r="Z104" s="8" t="s">
        <v>45</v>
      </c>
      <c r="AA104" s="8" t="s">
        <v>46</v>
      </c>
      <c r="AB104" s="8" t="s">
        <v>46</v>
      </c>
      <c r="AC104" s="8" t="s">
        <v>45</v>
      </c>
      <c r="AD104" s="8" t="s">
        <v>46</v>
      </c>
      <c r="AE104" s="8" t="s">
        <v>46</v>
      </c>
    </row>
    <row r="105" customFormat="false" ht="15" hidden="false" customHeight="false" outlineLevel="0" collapsed="false">
      <c r="A105" s="7" t="s">
        <v>151</v>
      </c>
      <c r="B105" s="8" t="s">
        <v>45</v>
      </c>
      <c r="C105" s="8" t="s">
        <v>46</v>
      </c>
      <c r="D105" s="8" t="s">
        <v>47</v>
      </c>
      <c r="E105" s="8" t="s">
        <v>47</v>
      </c>
      <c r="F105" s="8" t="s">
        <v>46</v>
      </c>
      <c r="G105" s="8" t="s">
        <v>48</v>
      </c>
      <c r="H105" s="8" t="s">
        <v>46</v>
      </c>
      <c r="I105" s="8" t="s">
        <v>46</v>
      </c>
      <c r="J105" s="8" t="s">
        <v>48</v>
      </c>
      <c r="K105" s="8" t="s">
        <v>45</v>
      </c>
      <c r="L105" s="8" t="s">
        <v>48</v>
      </c>
      <c r="M105" s="8" t="s">
        <v>46</v>
      </c>
      <c r="N105" s="8" t="s">
        <v>47</v>
      </c>
      <c r="O105" s="8" t="s">
        <v>45</v>
      </c>
      <c r="P105" s="8" t="s">
        <v>46</v>
      </c>
      <c r="Q105" s="8" t="s">
        <v>47</v>
      </c>
      <c r="R105" s="8" t="s">
        <v>48</v>
      </c>
      <c r="S105" s="8" t="s">
        <v>47</v>
      </c>
      <c r="T105" s="8" t="s">
        <v>48</v>
      </c>
      <c r="U105" s="8" t="s">
        <v>45</v>
      </c>
      <c r="V105" s="8" t="s">
        <v>46</v>
      </c>
      <c r="W105" s="8" t="s">
        <v>48</v>
      </c>
      <c r="X105" s="8" t="s">
        <v>46</v>
      </c>
      <c r="Y105" s="8" t="s">
        <v>48</v>
      </c>
      <c r="Z105" s="8" t="s">
        <v>46</v>
      </c>
      <c r="AA105" s="8" t="s">
        <v>46</v>
      </c>
      <c r="AB105" s="8" t="s">
        <v>47</v>
      </c>
      <c r="AC105" s="8" t="s">
        <v>47</v>
      </c>
      <c r="AD105" s="8" t="s">
        <v>47</v>
      </c>
      <c r="AE105" s="8" t="s">
        <v>46</v>
      </c>
    </row>
    <row r="106" customFormat="false" ht="15" hidden="false" customHeight="false" outlineLevel="0" collapsed="false">
      <c r="A106" s="7" t="s">
        <v>152</v>
      </c>
      <c r="B106" s="8" t="s">
        <v>47</v>
      </c>
      <c r="C106" s="8" t="s">
        <v>47</v>
      </c>
      <c r="D106" s="8" t="s">
        <v>46</v>
      </c>
      <c r="E106" s="8" t="s">
        <v>47</v>
      </c>
      <c r="F106" s="8" t="s">
        <v>47</v>
      </c>
      <c r="G106" s="8" t="s">
        <v>47</v>
      </c>
      <c r="H106" s="8" t="s">
        <v>46</v>
      </c>
      <c r="I106" s="8" t="s">
        <v>46</v>
      </c>
      <c r="J106" s="8" t="s">
        <v>48</v>
      </c>
      <c r="K106" s="8" t="s">
        <v>47</v>
      </c>
      <c r="L106" s="8" t="s">
        <v>45</v>
      </c>
      <c r="M106" s="8" t="s">
        <v>46</v>
      </c>
      <c r="N106" s="8" t="s">
        <v>46</v>
      </c>
      <c r="O106" s="8" t="s">
        <v>45</v>
      </c>
      <c r="P106" s="8" t="s">
        <v>48</v>
      </c>
      <c r="Q106" s="8" t="s">
        <v>48</v>
      </c>
      <c r="R106" s="8" t="s">
        <v>48</v>
      </c>
      <c r="S106" s="8" t="s">
        <v>47</v>
      </c>
      <c r="T106" s="8" t="s">
        <v>48</v>
      </c>
      <c r="U106" s="8" t="s">
        <v>45</v>
      </c>
      <c r="V106" s="8" t="s">
        <v>48</v>
      </c>
      <c r="W106" s="8" t="s">
        <v>48</v>
      </c>
      <c r="X106" s="8" t="s">
        <v>47</v>
      </c>
      <c r="Y106" s="8" t="s">
        <v>47</v>
      </c>
      <c r="Z106" s="8" t="s">
        <v>45</v>
      </c>
      <c r="AA106" s="8" t="s">
        <v>48</v>
      </c>
      <c r="AB106" s="8" t="s">
        <v>47</v>
      </c>
      <c r="AC106" s="8" t="s">
        <v>46</v>
      </c>
      <c r="AD106" s="8" t="s">
        <v>47</v>
      </c>
      <c r="AE106" s="8" t="s">
        <v>48</v>
      </c>
    </row>
    <row r="107" customFormat="false" ht="15" hidden="false" customHeight="false" outlineLevel="0" collapsed="false">
      <c r="A107" s="7" t="s">
        <v>153</v>
      </c>
      <c r="B107" s="8" t="s">
        <v>45</v>
      </c>
      <c r="C107" s="8" t="s">
        <v>46</v>
      </c>
      <c r="D107" s="8" t="s">
        <v>45</v>
      </c>
      <c r="E107" s="8" t="s">
        <v>47</v>
      </c>
      <c r="F107" s="8" t="s">
        <v>47</v>
      </c>
      <c r="G107" s="8" t="s">
        <v>47</v>
      </c>
      <c r="H107" s="8" t="s">
        <v>46</v>
      </c>
      <c r="I107" s="8" t="s">
        <v>46</v>
      </c>
      <c r="J107" s="8" t="s">
        <v>48</v>
      </c>
      <c r="K107" s="8" t="s">
        <v>45</v>
      </c>
      <c r="L107" s="8" t="s">
        <v>48</v>
      </c>
      <c r="M107" s="8" t="s">
        <v>46</v>
      </c>
      <c r="N107" s="8" t="s">
        <v>47</v>
      </c>
      <c r="O107" s="8" t="s">
        <v>45</v>
      </c>
      <c r="P107" s="8" t="s">
        <v>48</v>
      </c>
      <c r="Q107" s="8" t="s">
        <v>48</v>
      </c>
      <c r="R107" s="8" t="s">
        <v>48</v>
      </c>
      <c r="S107" s="8" t="s">
        <v>47</v>
      </c>
      <c r="T107" s="8" t="s">
        <v>45</v>
      </c>
      <c r="U107" s="8" t="s">
        <v>45</v>
      </c>
      <c r="V107" s="8" t="s">
        <v>46</v>
      </c>
      <c r="W107" s="8" t="s">
        <v>46</v>
      </c>
      <c r="X107" s="8" t="s">
        <v>46</v>
      </c>
      <c r="Y107" s="8" t="s">
        <v>47</v>
      </c>
      <c r="Z107" s="8" t="s">
        <v>45</v>
      </c>
      <c r="AA107" s="8" t="s">
        <v>47</v>
      </c>
      <c r="AB107" s="8" t="s">
        <v>47</v>
      </c>
      <c r="AC107" s="8" t="s">
        <v>47</v>
      </c>
      <c r="AD107" s="8" t="s">
        <v>46</v>
      </c>
      <c r="AE107" s="8" t="s">
        <v>46</v>
      </c>
    </row>
    <row r="108" customFormat="false" ht="15" hidden="false" customHeight="false" outlineLevel="0" collapsed="false">
      <c r="A108" s="7" t="s">
        <v>154</v>
      </c>
      <c r="B108" s="8" t="s">
        <v>46</v>
      </c>
      <c r="C108" s="8" t="s">
        <v>48</v>
      </c>
      <c r="D108" s="8" t="s">
        <v>45</v>
      </c>
      <c r="E108" s="8" t="s">
        <v>47</v>
      </c>
      <c r="F108" s="8" t="s">
        <v>45</v>
      </c>
      <c r="G108" s="8" t="s">
        <v>47</v>
      </c>
      <c r="H108" s="8" t="s">
        <v>46</v>
      </c>
      <c r="I108" s="8" t="s">
        <v>46</v>
      </c>
      <c r="J108" s="8" t="s">
        <v>48</v>
      </c>
      <c r="K108" s="8" t="s">
        <v>45</v>
      </c>
      <c r="L108" s="8" t="s">
        <v>48</v>
      </c>
      <c r="M108" s="8" t="s">
        <v>46</v>
      </c>
      <c r="N108" s="8" t="s">
        <v>47</v>
      </c>
      <c r="O108" s="8" t="s">
        <v>48</v>
      </c>
      <c r="P108" s="8" t="s">
        <v>47</v>
      </c>
      <c r="Q108" s="8" t="s">
        <v>48</v>
      </c>
      <c r="R108" s="8" t="s">
        <v>48</v>
      </c>
      <c r="S108" s="8" t="s">
        <v>48</v>
      </c>
      <c r="T108" s="8" t="s">
        <v>45</v>
      </c>
      <c r="U108" s="8" t="s">
        <v>48</v>
      </c>
      <c r="V108" s="8" t="s">
        <v>48</v>
      </c>
      <c r="W108" s="8" t="s">
        <v>46</v>
      </c>
      <c r="X108" s="8" t="s">
        <v>46</v>
      </c>
      <c r="Y108" s="8" t="s">
        <v>47</v>
      </c>
      <c r="Z108" s="8" t="s">
        <v>46</v>
      </c>
      <c r="AA108" s="8" t="s">
        <v>48</v>
      </c>
      <c r="AB108" s="8" t="s">
        <v>47</v>
      </c>
      <c r="AC108" s="8" t="s">
        <v>45</v>
      </c>
      <c r="AD108" s="8" t="s">
        <v>46</v>
      </c>
      <c r="AE108" s="8" t="s">
        <v>48</v>
      </c>
    </row>
    <row r="109" customFormat="false" ht="15" hidden="false" customHeight="false" outlineLevel="0" collapsed="false">
      <c r="A109" s="7" t="s">
        <v>155</v>
      </c>
      <c r="B109" s="8" t="s">
        <v>47</v>
      </c>
      <c r="C109" s="8" t="s">
        <v>46</v>
      </c>
      <c r="D109" s="8" t="s">
        <v>47</v>
      </c>
      <c r="E109" s="8" t="s">
        <v>47</v>
      </c>
      <c r="F109" s="8" t="s">
        <v>45</v>
      </c>
      <c r="G109" s="8" t="s">
        <v>47</v>
      </c>
      <c r="H109" s="8" t="s">
        <v>46</v>
      </c>
      <c r="I109" s="8" t="s">
        <v>46</v>
      </c>
      <c r="J109" s="8" t="s">
        <v>48</v>
      </c>
      <c r="K109" s="8" t="s">
        <v>48</v>
      </c>
      <c r="L109" s="8" t="s">
        <v>48</v>
      </c>
      <c r="M109" s="8" t="s">
        <v>46</v>
      </c>
      <c r="N109" s="8" t="s">
        <v>48</v>
      </c>
      <c r="O109" s="8" t="s">
        <v>46</v>
      </c>
      <c r="P109" s="8" t="s">
        <v>47</v>
      </c>
      <c r="Q109" s="8" t="s">
        <v>48</v>
      </c>
      <c r="R109" s="8" t="s">
        <v>48</v>
      </c>
      <c r="S109" s="8" t="s">
        <v>46</v>
      </c>
      <c r="T109" s="8" t="s">
        <v>48</v>
      </c>
      <c r="U109" s="8" t="s">
        <v>48</v>
      </c>
      <c r="V109" s="8" t="s">
        <v>47</v>
      </c>
      <c r="W109" s="8" t="s">
        <v>46</v>
      </c>
      <c r="X109" s="8" t="s">
        <v>46</v>
      </c>
      <c r="Y109" s="8" t="s">
        <v>45</v>
      </c>
      <c r="Z109" s="8" t="s">
        <v>46</v>
      </c>
      <c r="AA109" s="8" t="s">
        <v>48</v>
      </c>
      <c r="AB109" s="8" t="s">
        <v>47</v>
      </c>
      <c r="AC109" s="8" t="s">
        <v>48</v>
      </c>
      <c r="AD109" s="8" t="s">
        <v>46</v>
      </c>
      <c r="AE109" s="8" t="s">
        <v>46</v>
      </c>
    </row>
    <row r="110" customFormat="false" ht="15" hidden="false" customHeight="false" outlineLevel="0" collapsed="false">
      <c r="A110" s="7" t="s">
        <v>156</v>
      </c>
      <c r="B110" s="8" t="s">
        <v>45</v>
      </c>
      <c r="C110" s="8" t="s">
        <v>46</v>
      </c>
      <c r="D110" s="8" t="s">
        <v>47</v>
      </c>
      <c r="E110" s="8" t="s">
        <v>47</v>
      </c>
      <c r="F110" s="8" t="s">
        <v>48</v>
      </c>
      <c r="G110" s="8" t="s">
        <v>47</v>
      </c>
      <c r="H110" s="8" t="s">
        <v>46</v>
      </c>
      <c r="I110" s="8" t="s">
        <v>46</v>
      </c>
      <c r="J110" s="8" t="s">
        <v>48</v>
      </c>
      <c r="K110" s="8" t="s">
        <v>47</v>
      </c>
      <c r="L110" s="8" t="s">
        <v>48</v>
      </c>
      <c r="M110" s="8" t="s">
        <v>46</v>
      </c>
      <c r="N110" s="8" t="s">
        <v>47</v>
      </c>
      <c r="O110" s="8" t="s">
        <v>45</v>
      </c>
      <c r="P110" s="8" t="s">
        <v>46</v>
      </c>
      <c r="Q110" s="8" t="s">
        <v>48</v>
      </c>
      <c r="R110" s="8" t="s">
        <v>48</v>
      </c>
      <c r="S110" s="8" t="s">
        <v>48</v>
      </c>
      <c r="T110" s="8" t="s">
        <v>46</v>
      </c>
      <c r="U110" s="8" t="s">
        <v>45</v>
      </c>
      <c r="V110" s="8" t="s">
        <v>46</v>
      </c>
      <c r="W110" s="8" t="s">
        <v>46</v>
      </c>
      <c r="X110" s="8" t="s">
        <v>46</v>
      </c>
      <c r="Y110" s="8" t="s">
        <v>47</v>
      </c>
      <c r="Z110" s="8" t="s">
        <v>47</v>
      </c>
      <c r="AA110" s="8" t="s">
        <v>45</v>
      </c>
      <c r="AB110" s="8" t="s">
        <v>45</v>
      </c>
      <c r="AC110" s="8" t="s">
        <v>47</v>
      </c>
      <c r="AD110" s="8" t="s">
        <v>46</v>
      </c>
      <c r="AE110" s="8" t="s">
        <v>46</v>
      </c>
    </row>
    <row r="111" customFormat="false" ht="15" hidden="false" customHeight="false" outlineLevel="0" collapsed="false">
      <c r="A111" s="7" t="s">
        <v>157</v>
      </c>
      <c r="B111" s="8" t="s">
        <v>45</v>
      </c>
      <c r="C111" s="8" t="s">
        <v>46</v>
      </c>
      <c r="D111" s="8" t="s">
        <v>45</v>
      </c>
      <c r="E111" s="8" t="s">
        <v>47</v>
      </c>
      <c r="F111" s="8" t="s">
        <v>47</v>
      </c>
      <c r="G111" s="8" t="s">
        <v>46</v>
      </c>
      <c r="H111" s="8" t="s">
        <v>46</v>
      </c>
      <c r="I111" s="8" t="s">
        <v>46</v>
      </c>
      <c r="J111" s="8" t="s">
        <v>48</v>
      </c>
      <c r="K111" s="8" t="s">
        <v>48</v>
      </c>
      <c r="L111" s="8" t="s">
        <v>47</v>
      </c>
      <c r="M111" s="8" t="s">
        <v>46</v>
      </c>
      <c r="N111" s="8" t="s">
        <v>46</v>
      </c>
      <c r="O111" s="8" t="s">
        <v>45</v>
      </c>
      <c r="P111" s="8" t="s">
        <v>48</v>
      </c>
      <c r="Q111" s="8" t="s">
        <v>48</v>
      </c>
      <c r="R111" s="8" t="s">
        <v>48</v>
      </c>
      <c r="S111" s="8" t="s">
        <v>48</v>
      </c>
      <c r="T111" s="8" t="s">
        <v>45</v>
      </c>
      <c r="U111" s="8" t="s">
        <v>45</v>
      </c>
      <c r="V111" s="8" t="s">
        <v>48</v>
      </c>
      <c r="W111" s="8" t="s">
        <v>46</v>
      </c>
      <c r="X111" s="8" t="s">
        <v>47</v>
      </c>
      <c r="Y111" s="8" t="s">
        <v>45</v>
      </c>
      <c r="Z111" s="8" t="s">
        <v>45</v>
      </c>
      <c r="AA111" s="8" t="s">
        <v>45</v>
      </c>
      <c r="AB111" s="8" t="s">
        <v>45</v>
      </c>
      <c r="AC111" s="8" t="s">
        <v>48</v>
      </c>
      <c r="AD111" s="8" t="s">
        <v>46</v>
      </c>
      <c r="AE111" s="8" t="s">
        <v>46</v>
      </c>
    </row>
    <row r="112" customFormat="false" ht="15" hidden="false" customHeight="false" outlineLevel="0" collapsed="false">
      <c r="A112" s="7" t="s">
        <v>158</v>
      </c>
      <c r="B112" s="8" t="s">
        <v>45</v>
      </c>
      <c r="C112" s="8" t="s">
        <v>46</v>
      </c>
      <c r="D112" s="8" t="s">
        <v>45</v>
      </c>
      <c r="E112" s="8" t="s">
        <v>47</v>
      </c>
      <c r="F112" s="8" t="s">
        <v>47</v>
      </c>
      <c r="G112" s="8" t="s">
        <v>47</v>
      </c>
      <c r="H112" s="8" t="s">
        <v>46</v>
      </c>
      <c r="I112" s="8" t="s">
        <v>46</v>
      </c>
      <c r="J112" s="8" t="s">
        <v>48</v>
      </c>
      <c r="K112" s="8" t="s">
        <v>45</v>
      </c>
      <c r="L112" s="8" t="s">
        <v>48</v>
      </c>
      <c r="M112" s="8" t="s">
        <v>46</v>
      </c>
      <c r="N112" s="8" t="s">
        <v>47</v>
      </c>
      <c r="O112" s="8" t="s">
        <v>45</v>
      </c>
      <c r="P112" s="8" t="s">
        <v>46</v>
      </c>
      <c r="Q112" s="8" t="s">
        <v>48</v>
      </c>
      <c r="R112" s="8" t="s">
        <v>48</v>
      </c>
      <c r="S112" s="8" t="s">
        <v>45</v>
      </c>
      <c r="T112" s="8" t="s">
        <v>45</v>
      </c>
      <c r="U112" s="8" t="s">
        <v>45</v>
      </c>
      <c r="V112" s="8" t="s">
        <v>46</v>
      </c>
      <c r="W112" s="8" t="s">
        <v>46</v>
      </c>
      <c r="X112" s="8" t="s">
        <v>46</v>
      </c>
      <c r="Y112" s="8" t="s">
        <v>48</v>
      </c>
      <c r="Z112" s="8" t="s">
        <v>46</v>
      </c>
      <c r="AA112" s="8" t="s">
        <v>47</v>
      </c>
      <c r="AB112" s="8" t="s">
        <v>46</v>
      </c>
      <c r="AC112" s="8" t="s">
        <v>47</v>
      </c>
      <c r="AD112" s="8" t="s">
        <v>46</v>
      </c>
      <c r="AE112" s="8" t="s">
        <v>46</v>
      </c>
    </row>
    <row r="113" customFormat="false" ht="15" hidden="false" customHeight="false" outlineLevel="0" collapsed="false">
      <c r="A113" s="7" t="s">
        <v>159</v>
      </c>
      <c r="B113" s="8" t="s">
        <v>48</v>
      </c>
      <c r="C113" s="8" t="s">
        <v>48</v>
      </c>
      <c r="D113" s="8" t="s">
        <v>46</v>
      </c>
      <c r="E113" s="8" t="s">
        <v>47</v>
      </c>
      <c r="F113" s="8" t="s">
        <v>48</v>
      </c>
      <c r="G113" s="8" t="s">
        <v>46</v>
      </c>
      <c r="H113" s="8" t="s">
        <v>46</v>
      </c>
      <c r="I113" s="8" t="s">
        <v>46</v>
      </c>
      <c r="J113" s="8" t="s">
        <v>48</v>
      </c>
      <c r="K113" s="8" t="s">
        <v>48</v>
      </c>
      <c r="L113" s="8" t="s">
        <v>46</v>
      </c>
      <c r="M113" s="8" t="s">
        <v>46</v>
      </c>
      <c r="N113" s="8" t="s">
        <v>46</v>
      </c>
      <c r="O113" s="8" t="s">
        <v>47</v>
      </c>
      <c r="P113" s="8" t="s">
        <v>45</v>
      </c>
      <c r="Q113" s="8" t="s">
        <v>48</v>
      </c>
      <c r="R113" s="8" t="s">
        <v>45</v>
      </c>
      <c r="S113" s="8" t="s">
        <v>45</v>
      </c>
      <c r="T113" s="8" t="s">
        <v>45</v>
      </c>
      <c r="U113" s="8" t="s">
        <v>48</v>
      </c>
      <c r="V113" s="8" t="s">
        <v>47</v>
      </c>
      <c r="W113" s="8" t="s">
        <v>46</v>
      </c>
      <c r="X113" s="8" t="s">
        <v>48</v>
      </c>
      <c r="Y113" s="8" t="s">
        <v>48</v>
      </c>
      <c r="Z113" s="8" t="s">
        <v>46</v>
      </c>
      <c r="AA113" s="8" t="s">
        <v>48</v>
      </c>
      <c r="AB113" s="8" t="s">
        <v>47</v>
      </c>
      <c r="AC113" s="8" t="s">
        <v>45</v>
      </c>
      <c r="AD113" s="8" t="s">
        <v>46</v>
      </c>
      <c r="AE113" s="8" t="s">
        <v>46</v>
      </c>
    </row>
    <row r="114" customFormat="false" ht="15" hidden="false" customHeight="false" outlineLevel="0" collapsed="false">
      <c r="A114" s="7" t="s">
        <v>160</v>
      </c>
      <c r="B114" s="8" t="s">
        <v>47</v>
      </c>
      <c r="C114" s="8" t="s">
        <v>47</v>
      </c>
      <c r="D114" s="8" t="s">
        <v>48</v>
      </c>
      <c r="E114" s="8" t="s">
        <v>46</v>
      </c>
      <c r="F114" s="8" t="s">
        <v>48</v>
      </c>
      <c r="G114" s="8" t="s">
        <v>47</v>
      </c>
      <c r="H114" s="8" t="s">
        <v>47</v>
      </c>
      <c r="I114" s="8" t="s">
        <v>47</v>
      </c>
      <c r="J114" s="8" t="s">
        <v>48</v>
      </c>
      <c r="K114" s="8" t="s">
        <v>45</v>
      </c>
      <c r="L114" s="8" t="s">
        <v>46</v>
      </c>
      <c r="M114" s="8" t="s">
        <v>46</v>
      </c>
      <c r="N114" s="8" t="s">
        <v>45</v>
      </c>
      <c r="O114" s="8" t="s">
        <v>45</v>
      </c>
      <c r="P114" s="8" t="s">
        <v>45</v>
      </c>
      <c r="Q114" s="8" t="s">
        <v>46</v>
      </c>
      <c r="R114" s="8" t="s">
        <v>46</v>
      </c>
      <c r="S114" s="8" t="s">
        <v>47</v>
      </c>
      <c r="T114" s="8" t="s">
        <v>46</v>
      </c>
      <c r="U114" s="8" t="s">
        <v>47</v>
      </c>
      <c r="V114" s="8" t="s">
        <v>45</v>
      </c>
      <c r="W114" s="8" t="s">
        <v>46</v>
      </c>
      <c r="X114" s="8" t="s">
        <v>47</v>
      </c>
      <c r="Y114" s="8" t="s">
        <v>46</v>
      </c>
      <c r="Z114" s="8" t="s">
        <v>45</v>
      </c>
      <c r="AA114" s="8" t="s">
        <v>47</v>
      </c>
      <c r="AB114" s="8" t="s">
        <v>45</v>
      </c>
      <c r="AC114" s="8" t="s">
        <v>46</v>
      </c>
      <c r="AD114" s="8" t="s">
        <v>46</v>
      </c>
      <c r="AE114" s="8" t="s">
        <v>48</v>
      </c>
    </row>
    <row r="115" customFormat="false" ht="15" hidden="false" customHeight="false" outlineLevel="0" collapsed="false">
      <c r="A115" s="7" t="s">
        <v>161</v>
      </c>
      <c r="B115" s="8" t="s">
        <v>45</v>
      </c>
      <c r="C115" s="8" t="s">
        <v>48</v>
      </c>
      <c r="D115" s="8" t="s">
        <v>45</v>
      </c>
      <c r="E115" s="8" t="s">
        <v>47</v>
      </c>
      <c r="F115" s="8" t="s">
        <v>47</v>
      </c>
      <c r="G115" s="8" t="s">
        <v>48</v>
      </c>
      <c r="H115" s="8" t="s">
        <v>46</v>
      </c>
      <c r="I115" s="8" t="s">
        <v>46</v>
      </c>
      <c r="J115" s="8" t="s">
        <v>48</v>
      </c>
      <c r="K115" s="8" t="s">
        <v>47</v>
      </c>
      <c r="L115" s="8" t="s">
        <v>48</v>
      </c>
      <c r="M115" s="8" t="s">
        <v>46</v>
      </c>
      <c r="N115" s="8" t="s">
        <v>47</v>
      </c>
      <c r="O115" s="8" t="s">
        <v>45</v>
      </c>
      <c r="P115" s="8" t="s">
        <v>46</v>
      </c>
      <c r="Q115" s="8" t="s">
        <v>48</v>
      </c>
      <c r="R115" s="8" t="s">
        <v>48</v>
      </c>
      <c r="S115" s="8" t="s">
        <v>48</v>
      </c>
      <c r="T115" s="8" t="s">
        <v>45</v>
      </c>
      <c r="U115" s="8" t="s">
        <v>47</v>
      </c>
      <c r="V115" s="8" t="s">
        <v>47</v>
      </c>
      <c r="W115" s="8" t="s">
        <v>46</v>
      </c>
      <c r="X115" s="8" t="s">
        <v>46</v>
      </c>
      <c r="Y115" s="8" t="s">
        <v>48</v>
      </c>
      <c r="Z115" s="8" t="s">
        <v>47</v>
      </c>
      <c r="AA115" s="8" t="s">
        <v>46</v>
      </c>
      <c r="AB115" s="8" t="s">
        <v>46</v>
      </c>
      <c r="AC115" s="8" t="s">
        <v>45</v>
      </c>
      <c r="AD115" s="8" t="s">
        <v>48</v>
      </c>
      <c r="AE115" s="8" t="s">
        <v>45</v>
      </c>
    </row>
    <row r="116" customFormat="false" ht="15" hidden="false" customHeight="false" outlineLevel="0" collapsed="false">
      <c r="A116" s="7" t="s">
        <v>162</v>
      </c>
      <c r="B116" s="8" t="s">
        <v>47</v>
      </c>
      <c r="C116" s="8" t="s">
        <v>47</v>
      </c>
      <c r="D116" s="8" t="s">
        <v>48</v>
      </c>
      <c r="E116" s="8" t="s">
        <v>45</v>
      </c>
      <c r="F116" s="8" t="s">
        <v>48</v>
      </c>
      <c r="G116" s="8" t="s">
        <v>47</v>
      </c>
      <c r="H116" s="8" t="s">
        <v>46</v>
      </c>
      <c r="I116" s="8" t="s">
        <v>45</v>
      </c>
      <c r="J116" s="8" t="s">
        <v>48</v>
      </c>
      <c r="K116" s="8" t="s">
        <v>46</v>
      </c>
      <c r="L116" s="8" t="s">
        <v>47</v>
      </c>
      <c r="M116" s="8" t="s">
        <v>46</v>
      </c>
      <c r="N116" s="8" t="s">
        <v>48</v>
      </c>
      <c r="O116" s="8" t="s">
        <v>45</v>
      </c>
      <c r="P116" s="8" t="s">
        <v>47</v>
      </c>
      <c r="Q116" s="8" t="s">
        <v>48</v>
      </c>
      <c r="R116" s="8" t="s">
        <v>48</v>
      </c>
      <c r="S116" s="8" t="s">
        <v>45</v>
      </c>
      <c r="T116" s="8" t="s">
        <v>47</v>
      </c>
      <c r="U116" s="8" t="s">
        <v>48</v>
      </c>
      <c r="V116" s="8" t="s">
        <v>46</v>
      </c>
      <c r="W116" s="8" t="s">
        <v>48</v>
      </c>
      <c r="X116" s="8" t="s">
        <v>47</v>
      </c>
      <c r="Y116" s="8" t="s">
        <v>48</v>
      </c>
      <c r="Z116" s="8" t="s">
        <v>47</v>
      </c>
      <c r="AA116" s="8" t="s">
        <v>46</v>
      </c>
      <c r="AB116" s="8" t="s">
        <v>47</v>
      </c>
      <c r="AC116" s="8" t="s">
        <v>45</v>
      </c>
      <c r="AD116" s="8" t="s">
        <v>47</v>
      </c>
      <c r="AE116" s="8" t="s">
        <v>48</v>
      </c>
    </row>
    <row r="117" customFormat="false" ht="15" hidden="false" customHeight="false" outlineLevel="0" collapsed="false">
      <c r="A117" s="7" t="s">
        <v>163</v>
      </c>
      <c r="B117" s="8" t="s">
        <v>45</v>
      </c>
      <c r="C117" s="8" t="s">
        <v>48</v>
      </c>
      <c r="D117" s="8" t="s">
        <v>46</v>
      </c>
      <c r="E117" s="8" t="s">
        <v>47</v>
      </c>
      <c r="F117" s="8" t="s">
        <v>46</v>
      </c>
      <c r="G117" s="8" t="s">
        <v>48</v>
      </c>
      <c r="H117" s="8" t="s">
        <v>47</v>
      </c>
      <c r="I117" s="8" t="s">
        <v>48</v>
      </c>
      <c r="J117" s="8" t="s">
        <v>48</v>
      </c>
      <c r="K117" s="8" t="s">
        <v>48</v>
      </c>
      <c r="L117" s="8" t="s">
        <v>48</v>
      </c>
      <c r="M117" s="8" t="s">
        <v>46</v>
      </c>
      <c r="N117" s="8" t="s">
        <v>45</v>
      </c>
      <c r="O117" s="8" t="s">
        <v>45</v>
      </c>
      <c r="P117" s="8" t="s">
        <v>46</v>
      </c>
      <c r="Q117" s="8" t="s">
        <v>48</v>
      </c>
      <c r="R117" s="8" t="s">
        <v>48</v>
      </c>
      <c r="S117" s="8" t="s">
        <v>46</v>
      </c>
      <c r="T117" s="8" t="s">
        <v>48</v>
      </c>
      <c r="U117" s="8" t="s">
        <v>45</v>
      </c>
      <c r="V117" s="8" t="s">
        <v>46</v>
      </c>
      <c r="W117" s="8" t="s">
        <v>47</v>
      </c>
      <c r="X117" s="8" t="s">
        <v>47</v>
      </c>
      <c r="Y117" s="8" t="s">
        <v>46</v>
      </c>
      <c r="Z117" s="8" t="s">
        <v>47</v>
      </c>
      <c r="AA117" s="8" t="s">
        <v>48</v>
      </c>
      <c r="AB117" s="8" t="s">
        <v>45</v>
      </c>
      <c r="AC117" s="8" t="s">
        <v>48</v>
      </c>
      <c r="AD117" s="8" t="s">
        <v>47</v>
      </c>
      <c r="AE117" s="8" t="s">
        <v>46</v>
      </c>
    </row>
    <row r="118" customFormat="false" ht="15" hidden="false" customHeight="false" outlineLevel="0" collapsed="false">
      <c r="A118" s="7" t="s">
        <v>164</v>
      </c>
      <c r="B118" s="8" t="s">
        <v>45</v>
      </c>
      <c r="C118" s="8" t="s">
        <v>46</v>
      </c>
      <c r="D118" s="8" t="s">
        <v>45</v>
      </c>
      <c r="E118" s="8" t="s">
        <v>47</v>
      </c>
      <c r="F118" s="8" t="s">
        <v>47</v>
      </c>
      <c r="G118" s="8" t="s">
        <v>47</v>
      </c>
      <c r="H118" s="8" t="s">
        <v>46</v>
      </c>
      <c r="I118" s="8" t="s">
        <v>46</v>
      </c>
      <c r="J118" s="8" t="s">
        <v>48</v>
      </c>
      <c r="K118" s="8" t="s">
        <v>45</v>
      </c>
      <c r="L118" s="8" t="s">
        <v>48</v>
      </c>
      <c r="M118" s="8" t="s">
        <v>46</v>
      </c>
      <c r="N118" s="8" t="s">
        <v>47</v>
      </c>
      <c r="O118" s="8" t="s">
        <v>45</v>
      </c>
      <c r="P118" s="8" t="s">
        <v>46</v>
      </c>
      <c r="Q118" s="8" t="s">
        <v>48</v>
      </c>
      <c r="R118" s="8" t="s">
        <v>48</v>
      </c>
      <c r="S118" s="8" t="s">
        <v>47</v>
      </c>
      <c r="T118" s="8" t="s">
        <v>45</v>
      </c>
      <c r="U118" s="8" t="s">
        <v>45</v>
      </c>
      <c r="V118" s="8" t="s">
        <v>46</v>
      </c>
      <c r="W118" s="8" t="s">
        <v>46</v>
      </c>
      <c r="X118" s="8" t="s">
        <v>48</v>
      </c>
      <c r="Y118" s="8" t="s">
        <v>47</v>
      </c>
      <c r="Z118" s="8" t="s">
        <v>46</v>
      </c>
      <c r="AA118" s="8" t="s">
        <v>47</v>
      </c>
      <c r="AB118" s="8" t="s">
        <v>46</v>
      </c>
      <c r="AC118" s="8" t="s">
        <v>47</v>
      </c>
      <c r="AD118" s="8" t="s">
        <v>46</v>
      </c>
      <c r="AE118" s="8" t="s">
        <v>46</v>
      </c>
    </row>
    <row r="119" customFormat="false" ht="15" hidden="false" customHeight="false" outlineLevel="0" collapsed="false">
      <c r="A119" s="7" t="s">
        <v>165</v>
      </c>
      <c r="B119" s="8" t="s">
        <v>47</v>
      </c>
      <c r="C119" s="8" t="s">
        <v>47</v>
      </c>
      <c r="D119" s="8" t="s">
        <v>46</v>
      </c>
      <c r="E119" s="8" t="s">
        <v>47</v>
      </c>
      <c r="F119" s="8" t="s">
        <v>48</v>
      </c>
      <c r="G119" s="8" t="s">
        <v>45</v>
      </c>
      <c r="H119" s="8" t="s">
        <v>46</v>
      </c>
      <c r="I119" s="8" t="s">
        <v>47</v>
      </c>
      <c r="J119" s="8" t="s">
        <v>48</v>
      </c>
      <c r="K119" s="8" t="s">
        <v>45</v>
      </c>
      <c r="L119" s="8" t="s">
        <v>46</v>
      </c>
      <c r="M119" s="8" t="s">
        <v>46</v>
      </c>
      <c r="N119" s="8" t="s">
        <v>45</v>
      </c>
      <c r="O119" s="8" t="s">
        <v>47</v>
      </c>
      <c r="P119" s="8" t="s">
        <v>46</v>
      </c>
      <c r="Q119" s="8" t="s">
        <v>48</v>
      </c>
      <c r="R119" s="8" t="s">
        <v>45</v>
      </c>
      <c r="S119" s="8" t="s">
        <v>47</v>
      </c>
      <c r="T119" s="8" t="s">
        <v>46</v>
      </c>
      <c r="U119" s="8" t="s">
        <v>45</v>
      </c>
      <c r="V119" s="8" t="s">
        <v>47</v>
      </c>
      <c r="W119" s="8" t="s">
        <v>45</v>
      </c>
      <c r="X119" s="8" t="s">
        <v>48</v>
      </c>
      <c r="Y119" s="8" t="s">
        <v>48</v>
      </c>
      <c r="Z119" s="8" t="s">
        <v>45</v>
      </c>
      <c r="AA119" s="8" t="s">
        <v>46</v>
      </c>
      <c r="AB119" s="8" t="s">
        <v>47</v>
      </c>
      <c r="AC119" s="8" t="s">
        <v>48</v>
      </c>
      <c r="AD119" s="8" t="s">
        <v>47</v>
      </c>
      <c r="AE119" s="8" t="s">
        <v>47</v>
      </c>
    </row>
    <row r="120" customFormat="false" ht="15" hidden="false" customHeight="false" outlineLevel="0" collapsed="false">
      <c r="A120" s="7" t="s">
        <v>166</v>
      </c>
      <c r="B120" s="8" t="s">
        <v>45</v>
      </c>
      <c r="C120" s="8" t="s">
        <v>46</v>
      </c>
      <c r="D120" s="8" t="s">
        <v>46</v>
      </c>
      <c r="E120" s="8" t="s">
        <v>47</v>
      </c>
      <c r="F120" s="8" t="s">
        <v>48</v>
      </c>
      <c r="G120" s="8" t="s">
        <v>47</v>
      </c>
      <c r="H120" s="8" t="s">
        <v>46</v>
      </c>
      <c r="I120" s="8" t="s">
        <v>46</v>
      </c>
      <c r="J120" s="8" t="s">
        <v>48</v>
      </c>
      <c r="K120" s="8" t="s">
        <v>45</v>
      </c>
      <c r="L120" s="8" t="s">
        <v>48</v>
      </c>
      <c r="M120" s="8" t="s">
        <v>46</v>
      </c>
      <c r="N120" s="8" t="s">
        <v>47</v>
      </c>
      <c r="O120" s="8" t="s">
        <v>45</v>
      </c>
      <c r="P120" s="8" t="s">
        <v>48</v>
      </c>
      <c r="Q120" s="8" t="s">
        <v>48</v>
      </c>
      <c r="R120" s="8" t="s">
        <v>48</v>
      </c>
      <c r="S120" s="8" t="s">
        <v>48</v>
      </c>
      <c r="T120" s="8" t="s">
        <v>45</v>
      </c>
      <c r="U120" s="8" t="s">
        <v>45</v>
      </c>
      <c r="V120" s="8" t="s">
        <v>46</v>
      </c>
      <c r="W120" s="8" t="s">
        <v>46</v>
      </c>
      <c r="X120" s="8" t="s">
        <v>46</v>
      </c>
      <c r="Y120" s="8" t="s">
        <v>47</v>
      </c>
      <c r="Z120" s="8" t="s">
        <v>46</v>
      </c>
      <c r="AA120" s="8" t="s">
        <v>48</v>
      </c>
      <c r="AB120" s="8" t="s">
        <v>48</v>
      </c>
      <c r="AC120" s="8" t="s">
        <v>47</v>
      </c>
      <c r="AD120" s="8" t="s">
        <v>45</v>
      </c>
      <c r="AE120" s="8" t="s">
        <v>46</v>
      </c>
    </row>
    <row r="121" customFormat="false" ht="15" hidden="false" customHeight="false" outlineLevel="0" collapsed="false">
      <c r="A121" s="7" t="s">
        <v>167</v>
      </c>
      <c r="B121" s="8" t="s">
        <v>48</v>
      </c>
      <c r="C121" s="8" t="s">
        <v>48</v>
      </c>
      <c r="D121" s="8" t="s">
        <v>45</v>
      </c>
      <c r="E121" s="8" t="s">
        <v>47</v>
      </c>
      <c r="F121" s="8" t="s">
        <v>47</v>
      </c>
      <c r="G121" s="8" t="s">
        <v>45</v>
      </c>
      <c r="H121" s="8" t="s">
        <v>46</v>
      </c>
      <c r="I121" s="8" t="s">
        <v>46</v>
      </c>
      <c r="J121" s="8" t="s">
        <v>48</v>
      </c>
      <c r="K121" s="8" t="s">
        <v>45</v>
      </c>
      <c r="L121" s="8" t="s">
        <v>48</v>
      </c>
      <c r="M121" s="8" t="s">
        <v>46</v>
      </c>
      <c r="N121" s="8" t="s">
        <v>47</v>
      </c>
      <c r="O121" s="8" t="s">
        <v>45</v>
      </c>
      <c r="P121" s="8" t="s">
        <v>46</v>
      </c>
      <c r="Q121" s="8" t="s">
        <v>48</v>
      </c>
      <c r="R121" s="8" t="s">
        <v>48</v>
      </c>
      <c r="S121" s="8" t="s">
        <v>46</v>
      </c>
      <c r="T121" s="8" t="s">
        <v>45</v>
      </c>
      <c r="U121" s="8" t="s">
        <v>45</v>
      </c>
      <c r="V121" s="8" t="s">
        <v>47</v>
      </c>
      <c r="W121" s="8" t="s">
        <v>46</v>
      </c>
      <c r="X121" s="8" t="s">
        <v>46</v>
      </c>
      <c r="Y121" s="8" t="s">
        <v>47</v>
      </c>
      <c r="Z121" s="8" t="s">
        <v>46</v>
      </c>
      <c r="AA121" s="8" t="s">
        <v>45</v>
      </c>
      <c r="AB121" s="8" t="s">
        <v>45</v>
      </c>
      <c r="AC121" s="8" t="s">
        <v>46</v>
      </c>
      <c r="AD121" s="8" t="s">
        <v>47</v>
      </c>
      <c r="AE121" s="8" t="s">
        <v>46</v>
      </c>
    </row>
    <row r="122" customFormat="false" ht="15" hidden="false" customHeight="false" outlineLevel="0" collapsed="false">
      <c r="A122" s="7" t="s">
        <v>168</v>
      </c>
      <c r="B122" s="8" t="s">
        <v>46</v>
      </c>
      <c r="C122" s="8" t="s">
        <v>46</v>
      </c>
      <c r="D122" s="8" t="s">
        <v>46</v>
      </c>
      <c r="E122" s="8" t="s">
        <v>47</v>
      </c>
      <c r="F122" s="8" t="s">
        <v>47</v>
      </c>
      <c r="G122" s="8" t="s">
        <v>48</v>
      </c>
      <c r="H122" s="8" t="s">
        <v>46</v>
      </c>
      <c r="I122" s="8" t="s">
        <v>46</v>
      </c>
      <c r="J122" s="8" t="s">
        <v>48</v>
      </c>
      <c r="K122" s="8" t="s">
        <v>45</v>
      </c>
      <c r="L122" s="8" t="s">
        <v>48</v>
      </c>
      <c r="M122" s="8" t="s">
        <v>46</v>
      </c>
      <c r="N122" s="8" t="s">
        <v>46</v>
      </c>
      <c r="O122" s="8" t="s">
        <v>45</v>
      </c>
      <c r="P122" s="8" t="s">
        <v>46</v>
      </c>
      <c r="Q122" s="8" t="s">
        <v>48</v>
      </c>
      <c r="R122" s="8" t="s">
        <v>48</v>
      </c>
      <c r="S122" s="8" t="s">
        <v>48</v>
      </c>
      <c r="T122" s="8" t="s">
        <v>45</v>
      </c>
      <c r="U122" s="8" t="s">
        <v>48</v>
      </c>
      <c r="V122" s="8" t="s">
        <v>46</v>
      </c>
      <c r="W122" s="8" t="s">
        <v>46</v>
      </c>
      <c r="X122" s="8" t="s">
        <v>46</v>
      </c>
      <c r="Y122" s="8" t="s">
        <v>47</v>
      </c>
      <c r="Z122" s="8" t="s">
        <v>46</v>
      </c>
      <c r="AA122" s="8" t="s">
        <v>46</v>
      </c>
      <c r="AB122" s="8" t="s">
        <v>46</v>
      </c>
      <c r="AC122" s="8" t="s">
        <v>47</v>
      </c>
      <c r="AD122" s="8" t="s">
        <v>46</v>
      </c>
      <c r="AE122" s="8" t="s">
        <v>46</v>
      </c>
    </row>
    <row r="123" customFormat="false" ht="15" hidden="false" customHeight="false" outlineLevel="0" collapsed="false">
      <c r="A123" s="7" t="s">
        <v>169</v>
      </c>
      <c r="B123" s="8" t="s">
        <v>45</v>
      </c>
      <c r="C123" s="8" t="s">
        <v>46</v>
      </c>
      <c r="D123" s="8" t="s">
        <v>45</v>
      </c>
      <c r="E123" s="8" t="s">
        <v>47</v>
      </c>
      <c r="F123" s="8" t="s">
        <v>47</v>
      </c>
      <c r="G123" s="8" t="s">
        <v>47</v>
      </c>
      <c r="H123" s="8" t="s">
        <v>46</v>
      </c>
      <c r="I123" s="8" t="s">
        <v>46</v>
      </c>
      <c r="J123" s="8" t="s">
        <v>48</v>
      </c>
      <c r="K123" s="8" t="s">
        <v>45</v>
      </c>
      <c r="L123" s="8" t="s">
        <v>48</v>
      </c>
      <c r="M123" s="8" t="s">
        <v>46</v>
      </c>
      <c r="N123" s="8" t="s">
        <v>48</v>
      </c>
      <c r="O123" s="8" t="s">
        <v>45</v>
      </c>
      <c r="P123" s="8" t="s">
        <v>46</v>
      </c>
      <c r="Q123" s="8" t="s">
        <v>48</v>
      </c>
      <c r="R123" s="8" t="s">
        <v>48</v>
      </c>
      <c r="S123" s="8" t="s">
        <v>46</v>
      </c>
      <c r="T123" s="8" t="s">
        <v>45</v>
      </c>
      <c r="U123" s="8" t="s">
        <v>45</v>
      </c>
      <c r="V123" s="8" t="s">
        <v>45</v>
      </c>
      <c r="W123" s="8" t="s">
        <v>46</v>
      </c>
      <c r="X123" s="8" t="s">
        <v>46</v>
      </c>
      <c r="Y123" s="8" t="s">
        <v>47</v>
      </c>
      <c r="Z123" s="8" t="s">
        <v>46</v>
      </c>
      <c r="AA123" s="8" t="s">
        <v>47</v>
      </c>
      <c r="AB123" s="8" t="s">
        <v>47</v>
      </c>
      <c r="AC123" s="8" t="s">
        <v>47</v>
      </c>
      <c r="AD123" s="8" t="s">
        <v>46</v>
      </c>
      <c r="AE123" s="8" t="s">
        <v>46</v>
      </c>
    </row>
    <row r="124" customFormat="false" ht="15" hidden="false" customHeight="false" outlineLevel="0" collapsed="false">
      <c r="A124" s="7" t="s">
        <v>170</v>
      </c>
      <c r="B124" s="8" t="s">
        <v>47</v>
      </c>
      <c r="C124" s="8" t="s">
        <v>45</v>
      </c>
      <c r="D124" s="8" t="s">
        <v>47</v>
      </c>
      <c r="E124" s="8" t="s">
        <v>46</v>
      </c>
      <c r="F124" s="8" t="s">
        <v>46</v>
      </c>
      <c r="G124" s="8" t="s">
        <v>47</v>
      </c>
      <c r="H124" s="8" t="s">
        <v>47</v>
      </c>
      <c r="I124" s="8" t="s">
        <v>45</v>
      </c>
      <c r="J124" s="8" t="s">
        <v>48</v>
      </c>
      <c r="K124" s="8" t="s">
        <v>47</v>
      </c>
      <c r="L124" s="8" t="s">
        <v>48</v>
      </c>
      <c r="M124" s="8" t="s">
        <v>46</v>
      </c>
      <c r="N124" s="8" t="s">
        <v>45</v>
      </c>
      <c r="O124" s="8" t="s">
        <v>45</v>
      </c>
      <c r="P124" s="8" t="s">
        <v>47</v>
      </c>
      <c r="Q124" s="8" t="s">
        <v>48</v>
      </c>
      <c r="R124" s="8" t="s">
        <v>48</v>
      </c>
      <c r="S124" s="8" t="s">
        <v>46</v>
      </c>
      <c r="T124" s="8" t="s">
        <v>48</v>
      </c>
      <c r="U124" s="8" t="s">
        <v>48</v>
      </c>
      <c r="V124" s="8" t="s">
        <v>48</v>
      </c>
      <c r="W124" s="8" t="s">
        <v>45</v>
      </c>
      <c r="X124" s="8" t="s">
        <v>47</v>
      </c>
      <c r="Y124" s="8" t="s">
        <v>47</v>
      </c>
      <c r="Z124" s="8" t="s">
        <v>47</v>
      </c>
      <c r="AA124" s="8" t="s">
        <v>47</v>
      </c>
      <c r="AB124" s="8" t="s">
        <v>47</v>
      </c>
      <c r="AC124" s="8" t="s">
        <v>46</v>
      </c>
      <c r="AD124" s="8" t="s">
        <v>48</v>
      </c>
      <c r="AE124" s="8" t="s">
        <v>48</v>
      </c>
    </row>
    <row r="125" customFormat="false" ht="15" hidden="false" customHeight="false" outlineLevel="0" collapsed="false">
      <c r="A125" s="7" t="s">
        <v>171</v>
      </c>
      <c r="B125" s="8" t="s">
        <v>45</v>
      </c>
      <c r="C125" s="8" t="s">
        <v>45</v>
      </c>
      <c r="D125" s="8" t="s">
        <v>48</v>
      </c>
      <c r="E125" s="8" t="s">
        <v>47</v>
      </c>
      <c r="F125" s="8" t="s">
        <v>46</v>
      </c>
      <c r="G125" s="8" t="s">
        <v>48</v>
      </c>
      <c r="H125" s="8" t="s">
        <v>46</v>
      </c>
      <c r="I125" s="8" t="s">
        <v>48</v>
      </c>
      <c r="J125" s="8" t="s">
        <v>45</v>
      </c>
      <c r="K125" s="8" t="s">
        <v>45</v>
      </c>
      <c r="L125" s="8" t="s">
        <v>46</v>
      </c>
      <c r="M125" s="8" t="s">
        <v>46</v>
      </c>
      <c r="N125" s="8" t="s">
        <v>45</v>
      </c>
      <c r="O125" s="8" t="s">
        <v>45</v>
      </c>
      <c r="P125" s="8" t="s">
        <v>46</v>
      </c>
      <c r="Q125" s="8" t="s">
        <v>48</v>
      </c>
      <c r="R125" s="8" t="s">
        <v>47</v>
      </c>
      <c r="S125" s="8" t="s">
        <v>48</v>
      </c>
      <c r="T125" s="8" t="s">
        <v>45</v>
      </c>
      <c r="U125" s="8" t="s">
        <v>48</v>
      </c>
      <c r="V125" s="8" t="s">
        <v>47</v>
      </c>
      <c r="W125" s="8" t="s">
        <v>46</v>
      </c>
      <c r="X125" s="8" t="s">
        <v>48</v>
      </c>
      <c r="Y125" s="8" t="s">
        <v>46</v>
      </c>
      <c r="Z125" s="8" t="s">
        <v>46</v>
      </c>
      <c r="AA125" s="8" t="s">
        <v>48</v>
      </c>
      <c r="AB125" s="8" t="s">
        <v>45</v>
      </c>
      <c r="AC125" s="8" t="s">
        <v>48</v>
      </c>
      <c r="AD125" s="8" t="s">
        <v>48</v>
      </c>
      <c r="AE125" s="8" t="s">
        <v>48</v>
      </c>
    </row>
    <row r="126" customFormat="false" ht="15" hidden="false" customHeight="false" outlineLevel="0" collapsed="false">
      <c r="A126" s="7" t="s">
        <v>172</v>
      </c>
      <c r="B126" s="8" t="s">
        <v>46</v>
      </c>
      <c r="C126" s="8" t="s">
        <v>45</v>
      </c>
      <c r="D126" s="8" t="s">
        <v>46</v>
      </c>
      <c r="E126" s="8" t="s">
        <v>47</v>
      </c>
      <c r="F126" s="8" t="s">
        <v>45</v>
      </c>
      <c r="G126" s="8" t="s">
        <v>47</v>
      </c>
      <c r="H126" s="8" t="s">
        <v>46</v>
      </c>
      <c r="I126" s="8" t="s">
        <v>46</v>
      </c>
      <c r="J126" s="8" t="s">
        <v>48</v>
      </c>
      <c r="K126" s="8" t="s">
        <v>45</v>
      </c>
      <c r="L126" s="8" t="s">
        <v>48</v>
      </c>
      <c r="M126" s="8" t="s">
        <v>46</v>
      </c>
      <c r="N126" s="8" t="s">
        <v>45</v>
      </c>
      <c r="O126" s="8" t="s">
        <v>45</v>
      </c>
      <c r="P126" s="8" t="s">
        <v>48</v>
      </c>
      <c r="Q126" s="8" t="s">
        <v>48</v>
      </c>
      <c r="R126" s="8" t="s">
        <v>48</v>
      </c>
      <c r="S126" s="8" t="s">
        <v>47</v>
      </c>
      <c r="T126" s="8" t="s">
        <v>45</v>
      </c>
      <c r="U126" s="8" t="s">
        <v>45</v>
      </c>
      <c r="V126" s="8" t="s">
        <v>46</v>
      </c>
      <c r="W126" s="8" t="s">
        <v>46</v>
      </c>
      <c r="X126" s="8" t="s">
        <v>46</v>
      </c>
      <c r="Y126" s="8" t="s">
        <v>47</v>
      </c>
      <c r="Z126" s="8" t="s">
        <v>46</v>
      </c>
      <c r="AA126" s="8" t="s">
        <v>48</v>
      </c>
      <c r="AB126" s="8" t="s">
        <v>48</v>
      </c>
      <c r="AC126" s="8" t="s">
        <v>47</v>
      </c>
      <c r="AD126" s="8" t="s">
        <v>46</v>
      </c>
      <c r="AE126" s="8" t="s">
        <v>46</v>
      </c>
    </row>
    <row r="127" customFormat="false" ht="15" hidden="false" customHeight="false" outlineLevel="0" collapsed="false">
      <c r="A127" s="7" t="s">
        <v>173</v>
      </c>
      <c r="B127" s="8" t="s">
        <v>47</v>
      </c>
      <c r="C127" s="8" t="s">
        <v>46</v>
      </c>
      <c r="D127" s="8" t="s">
        <v>48</v>
      </c>
      <c r="E127" s="8" t="s">
        <v>47</v>
      </c>
      <c r="F127" s="8" t="s">
        <v>48</v>
      </c>
      <c r="G127" s="8" t="s">
        <v>45</v>
      </c>
      <c r="H127" s="8" t="s">
        <v>46</v>
      </c>
      <c r="I127" s="8" t="s">
        <v>46</v>
      </c>
      <c r="J127" s="8" t="s">
        <v>48</v>
      </c>
      <c r="K127" s="8" t="s">
        <v>45</v>
      </c>
      <c r="L127" s="8" t="s">
        <v>46</v>
      </c>
      <c r="M127" s="8" t="s">
        <v>46</v>
      </c>
      <c r="N127" s="8" t="s">
        <v>47</v>
      </c>
      <c r="O127" s="8" t="s">
        <v>45</v>
      </c>
      <c r="P127" s="8" t="s">
        <v>46</v>
      </c>
      <c r="Q127" s="8" t="s">
        <v>48</v>
      </c>
      <c r="R127" s="8" t="s">
        <v>48</v>
      </c>
      <c r="S127" s="8" t="s">
        <v>46</v>
      </c>
      <c r="T127" s="8" t="s">
        <v>45</v>
      </c>
      <c r="U127" s="8" t="s">
        <v>45</v>
      </c>
      <c r="V127" s="8" t="s">
        <v>46</v>
      </c>
      <c r="W127" s="8" t="s">
        <v>46</v>
      </c>
      <c r="X127" s="8" t="s">
        <v>46</v>
      </c>
      <c r="Y127" s="8" t="s">
        <v>47</v>
      </c>
      <c r="Z127" s="8" t="s">
        <v>46</v>
      </c>
      <c r="AA127" s="8" t="s">
        <v>48</v>
      </c>
      <c r="AB127" s="8" t="s">
        <v>47</v>
      </c>
      <c r="AC127" s="8" t="s">
        <v>46</v>
      </c>
      <c r="AD127" s="8" t="s">
        <v>46</v>
      </c>
      <c r="AE127" s="8" t="s">
        <v>46</v>
      </c>
    </row>
    <row r="128" customFormat="false" ht="15" hidden="false" customHeight="false" outlineLevel="0" collapsed="false">
      <c r="A128" s="7" t="s">
        <v>174</v>
      </c>
      <c r="B128" s="8" t="s">
        <v>45</v>
      </c>
      <c r="C128" s="8" t="s">
        <v>46</v>
      </c>
      <c r="D128" s="8" t="s">
        <v>48</v>
      </c>
      <c r="E128" s="8" t="s">
        <v>47</v>
      </c>
      <c r="F128" s="8" t="s">
        <v>46</v>
      </c>
      <c r="G128" s="8" t="s">
        <v>47</v>
      </c>
      <c r="H128" s="8" t="s">
        <v>46</v>
      </c>
      <c r="I128" s="8" t="s">
        <v>46</v>
      </c>
      <c r="J128" s="8" t="s">
        <v>48</v>
      </c>
      <c r="K128" s="8" t="s">
        <v>45</v>
      </c>
      <c r="L128" s="8" t="s">
        <v>48</v>
      </c>
      <c r="M128" s="8" t="s">
        <v>46</v>
      </c>
      <c r="N128" s="8" t="s">
        <v>47</v>
      </c>
      <c r="O128" s="8" t="s">
        <v>45</v>
      </c>
      <c r="P128" s="8" t="s">
        <v>45</v>
      </c>
      <c r="Q128" s="8" t="s">
        <v>48</v>
      </c>
      <c r="R128" s="8" t="s">
        <v>48</v>
      </c>
      <c r="S128" s="8" t="s">
        <v>46</v>
      </c>
      <c r="T128" s="8" t="s">
        <v>45</v>
      </c>
      <c r="U128" s="8" t="s">
        <v>45</v>
      </c>
      <c r="V128" s="8" t="s">
        <v>46</v>
      </c>
      <c r="W128" s="8" t="s">
        <v>45</v>
      </c>
      <c r="X128" s="8" t="s">
        <v>46</v>
      </c>
      <c r="Y128" s="8" t="s">
        <v>47</v>
      </c>
      <c r="Z128" s="8" t="s">
        <v>46</v>
      </c>
      <c r="AA128" s="8" t="s">
        <v>48</v>
      </c>
      <c r="AB128" s="8" t="s">
        <v>46</v>
      </c>
      <c r="AC128" s="8" t="s">
        <v>47</v>
      </c>
      <c r="AD128" s="8" t="s">
        <v>46</v>
      </c>
      <c r="AE128" s="8" t="s">
        <v>46</v>
      </c>
    </row>
    <row r="129" customFormat="false" ht="15" hidden="false" customHeight="false" outlineLevel="0" collapsed="false">
      <c r="A129" s="7" t="s">
        <v>175</v>
      </c>
      <c r="B129" s="8" t="s">
        <v>46</v>
      </c>
      <c r="C129" s="8" t="s">
        <v>47</v>
      </c>
      <c r="D129" s="8" t="s">
        <v>48</v>
      </c>
      <c r="E129" s="8" t="s">
        <v>47</v>
      </c>
      <c r="F129" s="8" t="s">
        <v>47</v>
      </c>
      <c r="G129" s="8" t="s">
        <v>47</v>
      </c>
      <c r="H129" s="8" t="s">
        <v>46</v>
      </c>
      <c r="I129" s="8" t="s">
        <v>46</v>
      </c>
      <c r="J129" s="8" t="s">
        <v>48</v>
      </c>
      <c r="K129" s="8" t="s">
        <v>47</v>
      </c>
      <c r="L129" s="8" t="s">
        <v>48</v>
      </c>
      <c r="M129" s="8" t="s">
        <v>46</v>
      </c>
      <c r="N129" s="8" t="s">
        <v>48</v>
      </c>
      <c r="O129" s="8" t="s">
        <v>45</v>
      </c>
      <c r="P129" s="8" t="s">
        <v>46</v>
      </c>
      <c r="Q129" s="8" t="s">
        <v>48</v>
      </c>
      <c r="R129" s="8" t="s">
        <v>48</v>
      </c>
      <c r="S129" s="8" t="s">
        <v>46</v>
      </c>
      <c r="T129" s="8" t="s">
        <v>48</v>
      </c>
      <c r="U129" s="8" t="s">
        <v>48</v>
      </c>
      <c r="V129" s="8" t="s">
        <v>46</v>
      </c>
      <c r="W129" s="8" t="s">
        <v>46</v>
      </c>
      <c r="X129" s="8" t="s">
        <v>48</v>
      </c>
      <c r="Y129" s="8" t="s">
        <v>48</v>
      </c>
      <c r="Z129" s="8" t="s">
        <v>46</v>
      </c>
      <c r="AA129" s="8" t="s">
        <v>48</v>
      </c>
      <c r="AB129" s="8" t="s">
        <v>47</v>
      </c>
      <c r="AC129" s="8" t="s">
        <v>48</v>
      </c>
      <c r="AD129" s="8" t="s">
        <v>46</v>
      </c>
      <c r="AE129" s="8" t="s">
        <v>46</v>
      </c>
    </row>
    <row r="130" customFormat="false" ht="15" hidden="false" customHeight="false" outlineLevel="0" collapsed="false">
      <c r="A130" s="7" t="s">
        <v>176</v>
      </c>
      <c r="B130" s="8" t="s">
        <v>48</v>
      </c>
      <c r="C130" s="8" t="s">
        <v>46</v>
      </c>
      <c r="D130" s="8" t="s">
        <v>45</v>
      </c>
      <c r="E130" s="8" t="s">
        <v>47</v>
      </c>
      <c r="F130" s="8" t="s">
        <v>47</v>
      </c>
      <c r="G130" s="8" t="s">
        <v>47</v>
      </c>
      <c r="H130" s="8" t="s">
        <v>46</v>
      </c>
      <c r="I130" s="8" t="s">
        <v>46</v>
      </c>
      <c r="J130" s="8" t="s">
        <v>48</v>
      </c>
      <c r="K130" s="8" t="s">
        <v>45</v>
      </c>
      <c r="L130" s="8" t="s">
        <v>48</v>
      </c>
      <c r="M130" s="8" t="s">
        <v>46</v>
      </c>
      <c r="N130" s="8" t="s">
        <v>47</v>
      </c>
      <c r="O130" s="8" t="s">
        <v>45</v>
      </c>
      <c r="P130" s="8" t="s">
        <v>46</v>
      </c>
      <c r="Q130" s="8" t="s">
        <v>48</v>
      </c>
      <c r="R130" s="8" t="s">
        <v>48</v>
      </c>
      <c r="S130" s="8" t="s">
        <v>46</v>
      </c>
      <c r="T130" s="8" t="s">
        <v>45</v>
      </c>
      <c r="U130" s="8" t="s">
        <v>45</v>
      </c>
      <c r="V130" s="8" t="s">
        <v>46</v>
      </c>
      <c r="W130" s="8" t="s">
        <v>46</v>
      </c>
      <c r="X130" s="8" t="s">
        <v>46</v>
      </c>
      <c r="Y130" s="8" t="s">
        <v>47</v>
      </c>
      <c r="Z130" s="8" t="s">
        <v>46</v>
      </c>
      <c r="AA130" s="8" t="s">
        <v>47</v>
      </c>
      <c r="AB130" s="8" t="s">
        <v>47</v>
      </c>
      <c r="AC130" s="8" t="s">
        <v>47</v>
      </c>
      <c r="AD130" s="8" t="s">
        <v>46</v>
      </c>
      <c r="AE130" s="8" t="s">
        <v>46</v>
      </c>
    </row>
    <row r="131" customFormat="false" ht="15" hidden="false" customHeight="false" outlineLevel="0" collapsed="false">
      <c r="A131" s="7" t="s">
        <v>177</v>
      </c>
      <c r="B131" s="8" t="s">
        <v>46</v>
      </c>
      <c r="C131" s="8" t="s">
        <v>48</v>
      </c>
      <c r="D131" s="8" t="s">
        <v>47</v>
      </c>
      <c r="E131" s="8" t="s">
        <v>47</v>
      </c>
      <c r="F131" s="8" t="s">
        <v>47</v>
      </c>
      <c r="G131" s="8" t="s">
        <v>46</v>
      </c>
      <c r="H131" s="8" t="s">
        <v>47</v>
      </c>
      <c r="I131" s="8" t="s">
        <v>48</v>
      </c>
      <c r="J131" s="8" t="s">
        <v>48</v>
      </c>
      <c r="K131" s="8" t="s">
        <v>46</v>
      </c>
      <c r="L131" s="8" t="s">
        <v>48</v>
      </c>
      <c r="M131" s="8" t="s">
        <v>46</v>
      </c>
      <c r="N131" s="8" t="s">
        <v>48</v>
      </c>
      <c r="O131" s="8" t="s">
        <v>48</v>
      </c>
      <c r="P131" s="8" t="s">
        <v>46</v>
      </c>
      <c r="Q131" s="8" t="s">
        <v>48</v>
      </c>
      <c r="R131" s="8" t="s">
        <v>48</v>
      </c>
      <c r="S131" s="8" t="s">
        <v>45</v>
      </c>
      <c r="T131" s="8" t="s">
        <v>45</v>
      </c>
      <c r="U131" s="8" t="s">
        <v>47</v>
      </c>
      <c r="V131" s="8" t="s">
        <v>46</v>
      </c>
      <c r="W131" s="8" t="s">
        <v>48</v>
      </c>
      <c r="X131" s="8" t="s">
        <v>46</v>
      </c>
      <c r="Y131" s="8" t="s">
        <v>46</v>
      </c>
      <c r="Z131" s="8" t="s">
        <v>46</v>
      </c>
      <c r="AA131" s="8" t="s">
        <v>48</v>
      </c>
      <c r="AB131" s="8" t="s">
        <v>48</v>
      </c>
      <c r="AC131" s="8" t="s">
        <v>45</v>
      </c>
      <c r="AD131" s="8" t="s">
        <v>46</v>
      </c>
      <c r="AE131" s="8" t="s">
        <v>48</v>
      </c>
    </row>
    <row r="132" customFormat="false" ht="15" hidden="false" customHeight="false" outlineLevel="0" collapsed="false">
      <c r="A132" s="7" t="s">
        <v>178</v>
      </c>
      <c r="B132" s="8" t="s">
        <v>48</v>
      </c>
      <c r="C132" s="8" t="s">
        <v>45</v>
      </c>
      <c r="D132" s="8" t="s">
        <v>47</v>
      </c>
      <c r="E132" s="8" t="s">
        <v>47</v>
      </c>
      <c r="F132" s="8" t="s">
        <v>48</v>
      </c>
      <c r="G132" s="8" t="s">
        <v>47</v>
      </c>
      <c r="H132" s="8" t="s">
        <v>47</v>
      </c>
      <c r="I132" s="8" t="s">
        <v>48</v>
      </c>
      <c r="J132" s="8" t="s">
        <v>47</v>
      </c>
      <c r="K132" s="8" t="s">
        <v>45</v>
      </c>
      <c r="L132" s="8" t="s">
        <v>47</v>
      </c>
      <c r="M132" s="8" t="s">
        <v>46</v>
      </c>
      <c r="N132" s="8" t="s">
        <v>46</v>
      </c>
      <c r="O132" s="8" t="s">
        <v>48</v>
      </c>
      <c r="P132" s="8" t="s">
        <v>46</v>
      </c>
      <c r="Q132" s="8" t="s">
        <v>46</v>
      </c>
      <c r="R132" s="8" t="s">
        <v>48</v>
      </c>
      <c r="S132" s="8" t="s">
        <v>45</v>
      </c>
      <c r="T132" s="8" t="s">
        <v>46</v>
      </c>
      <c r="U132" s="8" t="s">
        <v>48</v>
      </c>
      <c r="V132" s="8" t="s">
        <v>45</v>
      </c>
      <c r="W132" s="8" t="s">
        <v>45</v>
      </c>
      <c r="X132" s="8" t="s">
        <v>47</v>
      </c>
      <c r="Y132" s="8" t="s">
        <v>48</v>
      </c>
      <c r="Z132" s="8" t="s">
        <v>45</v>
      </c>
      <c r="AA132" s="8" t="s">
        <v>46</v>
      </c>
      <c r="AB132" s="8" t="s">
        <v>47</v>
      </c>
      <c r="AC132" s="8" t="s">
        <v>47</v>
      </c>
      <c r="AD132" s="8" t="s">
        <v>47</v>
      </c>
      <c r="AE132" s="8" t="s">
        <v>47</v>
      </c>
    </row>
    <row r="133" customFormat="false" ht="15" hidden="false" customHeight="false" outlineLevel="0" collapsed="false">
      <c r="A133" s="7" t="s">
        <v>179</v>
      </c>
      <c r="B133" s="8" t="s">
        <v>46</v>
      </c>
      <c r="C133" s="8" t="s">
        <v>47</v>
      </c>
      <c r="D133" s="8" t="s">
        <v>46</v>
      </c>
      <c r="E133" s="8" t="s">
        <v>48</v>
      </c>
      <c r="F133" s="8" t="s">
        <v>48</v>
      </c>
      <c r="G133" s="8" t="s">
        <v>46</v>
      </c>
      <c r="H133" s="8" t="s">
        <v>47</v>
      </c>
      <c r="I133" s="8" t="s">
        <v>46</v>
      </c>
      <c r="J133" s="8" t="s">
        <v>48</v>
      </c>
      <c r="K133" s="8" t="s">
        <v>48</v>
      </c>
      <c r="L133" s="8" t="s">
        <v>48</v>
      </c>
      <c r="M133" s="8" t="s">
        <v>46</v>
      </c>
      <c r="N133" s="8" t="s">
        <v>46</v>
      </c>
      <c r="O133" s="8" t="s">
        <v>47</v>
      </c>
      <c r="P133" s="8" t="s">
        <v>45</v>
      </c>
      <c r="Q133" s="8" t="s">
        <v>45</v>
      </c>
      <c r="R133" s="8" t="s">
        <v>47</v>
      </c>
      <c r="S133" s="8" t="s">
        <v>45</v>
      </c>
      <c r="T133" s="8" t="s">
        <v>48</v>
      </c>
      <c r="U133" s="8" t="s">
        <v>46</v>
      </c>
      <c r="V133" s="8" t="s">
        <v>46</v>
      </c>
      <c r="W133" s="8" t="s">
        <v>45</v>
      </c>
      <c r="X133" s="8" t="s">
        <v>47</v>
      </c>
      <c r="Y133" s="8" t="s">
        <v>47</v>
      </c>
      <c r="Z133" s="8" t="s">
        <v>46</v>
      </c>
      <c r="AA133" s="8" t="s">
        <v>46</v>
      </c>
      <c r="AB133" s="8" t="s">
        <v>47</v>
      </c>
      <c r="AC133" s="8" t="s">
        <v>46</v>
      </c>
      <c r="AD133" s="8" t="s">
        <v>46</v>
      </c>
      <c r="AE133" s="8" t="s">
        <v>46</v>
      </c>
    </row>
    <row r="134" customFormat="false" ht="15" hidden="false" customHeight="false" outlineLevel="0" collapsed="false">
      <c r="A134" s="7" t="s">
        <v>180</v>
      </c>
      <c r="B134" s="8" t="s">
        <v>45</v>
      </c>
      <c r="C134" s="8" t="s">
        <v>48</v>
      </c>
      <c r="D134" s="8" t="s">
        <v>45</v>
      </c>
      <c r="E134" s="8" t="s">
        <v>46</v>
      </c>
      <c r="F134" s="8" t="s">
        <v>47</v>
      </c>
      <c r="G134" s="8" t="s">
        <v>47</v>
      </c>
      <c r="H134" s="8" t="s">
        <v>47</v>
      </c>
      <c r="I134" s="8" t="s">
        <v>46</v>
      </c>
      <c r="J134" s="8" t="s">
        <v>48</v>
      </c>
      <c r="K134" s="8" t="s">
        <v>45</v>
      </c>
      <c r="L134" s="8" t="s">
        <v>47</v>
      </c>
      <c r="M134" s="8" t="s">
        <v>46</v>
      </c>
      <c r="N134" s="8" t="s">
        <v>48</v>
      </c>
      <c r="O134" s="8" t="s">
        <v>45</v>
      </c>
      <c r="P134" s="8" t="s">
        <v>46</v>
      </c>
      <c r="Q134" s="8" t="s">
        <v>48</v>
      </c>
      <c r="R134" s="8" t="s">
        <v>48</v>
      </c>
      <c r="S134" s="8" t="s">
        <v>46</v>
      </c>
      <c r="T134" s="8" t="s">
        <v>45</v>
      </c>
      <c r="U134" s="8" t="s">
        <v>48</v>
      </c>
      <c r="V134" s="8" t="s">
        <v>46</v>
      </c>
      <c r="W134" s="8" t="s">
        <v>46</v>
      </c>
      <c r="X134" s="8" t="s">
        <v>47</v>
      </c>
      <c r="Y134" s="8" t="s">
        <v>45</v>
      </c>
      <c r="Z134" s="8" t="s">
        <v>47</v>
      </c>
      <c r="AA134" s="8" t="s">
        <v>46</v>
      </c>
      <c r="AB134" s="8" t="s">
        <v>47</v>
      </c>
      <c r="AC134" s="8" t="s">
        <v>48</v>
      </c>
      <c r="AD134" s="8" t="s">
        <v>48</v>
      </c>
      <c r="AE134" s="8" t="s">
        <v>45</v>
      </c>
    </row>
    <row r="135" customFormat="false" ht="15" hidden="false" customHeight="false" outlineLevel="0" collapsed="false">
      <c r="A135" s="7" t="s">
        <v>181</v>
      </c>
      <c r="B135" s="8" t="s">
        <v>45</v>
      </c>
      <c r="C135" s="8" t="s">
        <v>46</v>
      </c>
      <c r="D135" s="8" t="s">
        <v>46</v>
      </c>
      <c r="E135" s="8" t="s">
        <v>47</v>
      </c>
      <c r="F135" s="8" t="s">
        <v>47</v>
      </c>
      <c r="G135" s="8" t="s">
        <v>45</v>
      </c>
      <c r="H135" s="8" t="s">
        <v>46</v>
      </c>
      <c r="I135" s="8" t="s">
        <v>46</v>
      </c>
      <c r="J135" s="8" t="s">
        <v>48</v>
      </c>
      <c r="K135" s="8" t="s">
        <v>45</v>
      </c>
      <c r="L135" s="8" t="s">
        <v>48</v>
      </c>
      <c r="M135" s="8" t="s">
        <v>46</v>
      </c>
      <c r="N135" s="8" t="s">
        <v>48</v>
      </c>
      <c r="O135" s="8" t="s">
        <v>47</v>
      </c>
      <c r="P135" s="8" t="s">
        <v>48</v>
      </c>
      <c r="Q135" s="8" t="s">
        <v>48</v>
      </c>
      <c r="R135" s="8" t="s">
        <v>48</v>
      </c>
      <c r="S135" s="8" t="s">
        <v>45</v>
      </c>
      <c r="T135" s="8" t="s">
        <v>45</v>
      </c>
      <c r="U135" s="8" t="s">
        <v>45</v>
      </c>
      <c r="V135" s="8" t="s">
        <v>48</v>
      </c>
      <c r="W135" s="8" t="s">
        <v>48</v>
      </c>
      <c r="X135" s="8" t="s">
        <v>46</v>
      </c>
      <c r="Y135" s="8" t="s">
        <v>47</v>
      </c>
      <c r="Z135" s="8" t="s">
        <v>46</v>
      </c>
      <c r="AA135" s="8" t="s">
        <v>46</v>
      </c>
      <c r="AB135" s="8" t="s">
        <v>47</v>
      </c>
      <c r="AC135" s="8" t="s">
        <v>47</v>
      </c>
      <c r="AD135" s="8" t="s">
        <v>46</v>
      </c>
      <c r="AE135" s="8" t="s">
        <v>46</v>
      </c>
    </row>
    <row r="136" customFormat="false" ht="15" hidden="false" customHeight="false" outlineLevel="0" collapsed="false">
      <c r="A136" s="7" t="s">
        <v>182</v>
      </c>
      <c r="B136" s="8" t="s">
        <v>45</v>
      </c>
      <c r="C136" s="8" t="s">
        <v>47</v>
      </c>
      <c r="D136" s="8" t="s">
        <v>46</v>
      </c>
      <c r="E136" s="8" t="s">
        <v>45</v>
      </c>
      <c r="F136" s="8" t="s">
        <v>47</v>
      </c>
      <c r="G136" s="8" t="s">
        <v>47</v>
      </c>
      <c r="H136" s="8" t="s">
        <v>47</v>
      </c>
      <c r="I136" s="8" t="s">
        <v>47</v>
      </c>
      <c r="J136" s="8" t="s">
        <v>48</v>
      </c>
      <c r="K136" s="8" t="s">
        <v>45</v>
      </c>
      <c r="L136" s="8" t="s">
        <v>48</v>
      </c>
      <c r="M136" s="8" t="s">
        <v>46</v>
      </c>
      <c r="N136" s="8" t="s">
        <v>45</v>
      </c>
      <c r="O136" s="8" t="s">
        <v>46</v>
      </c>
      <c r="P136" s="8" t="s">
        <v>48</v>
      </c>
      <c r="Q136" s="8" t="s">
        <v>48</v>
      </c>
      <c r="R136" s="8" t="s">
        <v>47</v>
      </c>
      <c r="S136" s="8" t="s">
        <v>47</v>
      </c>
      <c r="T136" s="8" t="s">
        <v>48</v>
      </c>
      <c r="U136" s="8" t="s">
        <v>48</v>
      </c>
      <c r="V136" s="8" t="s">
        <v>47</v>
      </c>
      <c r="W136" s="8" t="s">
        <v>45</v>
      </c>
      <c r="X136" s="8" t="s">
        <v>47</v>
      </c>
      <c r="Y136" s="8" t="s">
        <v>46</v>
      </c>
      <c r="Z136" s="8" t="s">
        <v>46</v>
      </c>
      <c r="AA136" s="8" t="s">
        <v>46</v>
      </c>
      <c r="AB136" s="8" t="s">
        <v>47</v>
      </c>
      <c r="AC136" s="8" t="s">
        <v>47</v>
      </c>
      <c r="AD136" s="8" t="s">
        <v>46</v>
      </c>
      <c r="AE136" s="8" t="s">
        <v>46</v>
      </c>
    </row>
    <row r="137" customFormat="false" ht="15" hidden="false" customHeight="false" outlineLevel="0" collapsed="false">
      <c r="A137" s="7" t="s">
        <v>183</v>
      </c>
      <c r="B137" s="8" t="s">
        <v>47</v>
      </c>
      <c r="C137" s="8" t="s">
        <v>45</v>
      </c>
      <c r="D137" s="8" t="s">
        <v>47</v>
      </c>
      <c r="E137" s="8" t="s">
        <v>47</v>
      </c>
      <c r="F137" s="8" t="s">
        <v>46</v>
      </c>
      <c r="G137" s="8" t="s">
        <v>46</v>
      </c>
      <c r="H137" s="8" t="s">
        <v>46</v>
      </c>
      <c r="I137" s="8" t="s">
        <v>46</v>
      </c>
      <c r="J137" s="8" t="s">
        <v>45</v>
      </c>
      <c r="K137" s="8" t="s">
        <v>47</v>
      </c>
      <c r="L137" s="8" t="s">
        <v>46</v>
      </c>
      <c r="M137" s="8" t="s">
        <v>46</v>
      </c>
      <c r="N137" s="8" t="s">
        <v>46</v>
      </c>
      <c r="O137" s="8" t="s">
        <v>46</v>
      </c>
      <c r="P137" s="8" t="s">
        <v>48</v>
      </c>
      <c r="Q137" s="8" t="s">
        <v>45</v>
      </c>
      <c r="R137" s="8" t="s">
        <v>48</v>
      </c>
      <c r="S137" s="8" t="s">
        <v>48</v>
      </c>
      <c r="T137" s="8" t="s">
        <v>45</v>
      </c>
      <c r="U137" s="8" t="s">
        <v>47</v>
      </c>
      <c r="V137" s="8" t="s">
        <v>47</v>
      </c>
      <c r="W137" s="8" t="s">
        <v>45</v>
      </c>
      <c r="X137" s="8" t="s">
        <v>48</v>
      </c>
      <c r="Y137" s="8" t="s">
        <v>48</v>
      </c>
      <c r="Z137" s="8" t="s">
        <v>47</v>
      </c>
      <c r="AA137" s="8" t="s">
        <v>48</v>
      </c>
      <c r="AB137" s="8" t="s">
        <v>47</v>
      </c>
      <c r="AC137" s="8" t="s">
        <v>46</v>
      </c>
      <c r="AD137" s="8" t="s">
        <v>48</v>
      </c>
      <c r="AE137" s="8" t="s">
        <v>47</v>
      </c>
    </row>
    <row r="138" customFormat="false" ht="15" hidden="false" customHeight="false" outlineLevel="0" collapsed="false">
      <c r="A138" s="7" t="s">
        <v>184</v>
      </c>
      <c r="B138" s="8" t="s">
        <v>45</v>
      </c>
      <c r="C138" s="8" t="s">
        <v>46</v>
      </c>
      <c r="D138" s="8" t="s">
        <v>45</v>
      </c>
      <c r="E138" s="8" t="s">
        <v>47</v>
      </c>
      <c r="F138" s="8" t="s">
        <v>47</v>
      </c>
      <c r="G138" s="8" t="s">
        <v>47</v>
      </c>
      <c r="H138" s="8" t="s">
        <v>46</v>
      </c>
      <c r="I138" s="8" t="s">
        <v>46</v>
      </c>
      <c r="J138" s="8" t="s">
        <v>48</v>
      </c>
      <c r="K138" s="8" t="s">
        <v>45</v>
      </c>
      <c r="L138" s="8" t="s">
        <v>48</v>
      </c>
      <c r="M138" s="8" t="s">
        <v>46</v>
      </c>
      <c r="N138" s="8" t="s">
        <v>47</v>
      </c>
      <c r="O138" s="8" t="s">
        <v>45</v>
      </c>
      <c r="P138" s="8" t="s">
        <v>48</v>
      </c>
      <c r="Q138" s="8" t="s">
        <v>48</v>
      </c>
      <c r="R138" s="8" t="s">
        <v>48</v>
      </c>
      <c r="S138" s="8" t="s">
        <v>48</v>
      </c>
      <c r="T138" s="8" t="s">
        <v>45</v>
      </c>
      <c r="U138" s="8" t="s">
        <v>45</v>
      </c>
      <c r="V138" s="8" t="s">
        <v>46</v>
      </c>
      <c r="W138" s="8" t="s">
        <v>46</v>
      </c>
      <c r="X138" s="8" t="s">
        <v>46</v>
      </c>
      <c r="Y138" s="8" t="s">
        <v>47</v>
      </c>
      <c r="Z138" s="8" t="s">
        <v>46</v>
      </c>
      <c r="AA138" s="8" t="s">
        <v>47</v>
      </c>
      <c r="AB138" s="8" t="s">
        <v>47</v>
      </c>
      <c r="AC138" s="8" t="s">
        <v>47</v>
      </c>
      <c r="AD138" s="8" t="s">
        <v>46</v>
      </c>
      <c r="AE138" s="8" t="s">
        <v>46</v>
      </c>
    </row>
    <row r="139" customFormat="false" ht="15" hidden="false" customHeight="false" outlineLevel="0" collapsed="false">
      <c r="A139" s="7" t="s">
        <v>185</v>
      </c>
      <c r="B139" s="8" t="s">
        <v>46</v>
      </c>
      <c r="C139" s="8" t="s">
        <v>46</v>
      </c>
      <c r="D139" s="8" t="s">
        <v>45</v>
      </c>
      <c r="E139" s="8" t="s">
        <v>47</v>
      </c>
      <c r="F139" s="8" t="s">
        <v>46</v>
      </c>
      <c r="G139" s="8" t="s">
        <v>47</v>
      </c>
      <c r="H139" s="8" t="s">
        <v>46</v>
      </c>
      <c r="I139" s="8" t="s">
        <v>47</v>
      </c>
      <c r="J139" s="8" t="s">
        <v>48</v>
      </c>
      <c r="K139" s="8" t="s">
        <v>45</v>
      </c>
      <c r="L139" s="8" t="s">
        <v>48</v>
      </c>
      <c r="M139" s="8" t="s">
        <v>46</v>
      </c>
      <c r="N139" s="8" t="s">
        <v>47</v>
      </c>
      <c r="O139" s="8" t="s">
        <v>45</v>
      </c>
      <c r="P139" s="8" t="s">
        <v>46</v>
      </c>
      <c r="Q139" s="8" t="s">
        <v>48</v>
      </c>
      <c r="R139" s="8" t="s">
        <v>48</v>
      </c>
      <c r="S139" s="8" t="s">
        <v>48</v>
      </c>
      <c r="T139" s="8" t="s">
        <v>45</v>
      </c>
      <c r="U139" s="8" t="s">
        <v>45</v>
      </c>
      <c r="V139" s="8" t="s">
        <v>46</v>
      </c>
      <c r="W139" s="8" t="s">
        <v>46</v>
      </c>
      <c r="X139" s="8" t="s">
        <v>46</v>
      </c>
      <c r="Y139" s="8" t="s">
        <v>47</v>
      </c>
      <c r="Z139" s="8" t="s">
        <v>46</v>
      </c>
      <c r="AA139" s="8" t="s">
        <v>47</v>
      </c>
      <c r="AB139" s="8" t="s">
        <v>47</v>
      </c>
      <c r="AC139" s="8" t="s">
        <v>47</v>
      </c>
      <c r="AD139" s="8" t="s">
        <v>46</v>
      </c>
      <c r="AE139" s="8" t="s">
        <v>46</v>
      </c>
    </row>
    <row r="140" customFormat="false" ht="15" hidden="false" customHeight="false" outlineLevel="0" collapsed="false">
      <c r="A140" s="7" t="s">
        <v>186</v>
      </c>
      <c r="B140" s="8" t="s">
        <v>45</v>
      </c>
      <c r="C140" s="8" t="s">
        <v>46</v>
      </c>
      <c r="D140" s="8" t="s">
        <v>45</v>
      </c>
      <c r="E140" s="8" t="s">
        <v>47</v>
      </c>
      <c r="F140" s="8" t="s">
        <v>47</v>
      </c>
      <c r="G140" s="8" t="s">
        <v>47</v>
      </c>
      <c r="H140" s="8" t="s">
        <v>46</v>
      </c>
      <c r="I140" s="8" t="s">
        <v>46</v>
      </c>
      <c r="J140" s="8" t="s">
        <v>48</v>
      </c>
      <c r="K140" s="8" t="s">
        <v>45</v>
      </c>
      <c r="L140" s="8" t="s">
        <v>47</v>
      </c>
      <c r="M140" s="8" t="s">
        <v>46</v>
      </c>
      <c r="N140" s="8" t="s">
        <v>47</v>
      </c>
      <c r="O140" s="8" t="s">
        <v>45</v>
      </c>
      <c r="P140" s="8" t="s">
        <v>46</v>
      </c>
      <c r="Q140" s="8" t="s">
        <v>48</v>
      </c>
      <c r="R140" s="8" t="s">
        <v>48</v>
      </c>
      <c r="S140" s="8" t="s">
        <v>47</v>
      </c>
      <c r="T140" s="8" t="s">
        <v>45</v>
      </c>
      <c r="U140" s="8" t="s">
        <v>45</v>
      </c>
      <c r="V140" s="8" t="s">
        <v>46</v>
      </c>
      <c r="W140" s="8" t="s">
        <v>46</v>
      </c>
      <c r="X140" s="8" t="s">
        <v>46</v>
      </c>
      <c r="Y140" s="8" t="s">
        <v>47</v>
      </c>
      <c r="Z140" s="8" t="s">
        <v>46</v>
      </c>
      <c r="AA140" s="8" t="s">
        <v>47</v>
      </c>
      <c r="AB140" s="8" t="s">
        <v>48</v>
      </c>
      <c r="AC140" s="8" t="s">
        <v>47</v>
      </c>
      <c r="AD140" s="8" t="s">
        <v>46</v>
      </c>
      <c r="AE140" s="8" t="s">
        <v>46</v>
      </c>
    </row>
    <row r="141" customFormat="false" ht="15" hidden="false" customHeight="false" outlineLevel="0" collapsed="false">
      <c r="A141" s="7" t="s">
        <v>187</v>
      </c>
      <c r="B141" s="8" t="s">
        <v>47</v>
      </c>
      <c r="C141" s="8" t="s">
        <v>48</v>
      </c>
      <c r="D141" s="8" t="s">
        <v>45</v>
      </c>
      <c r="E141" s="8" t="s">
        <v>47</v>
      </c>
      <c r="F141" s="8" t="s">
        <v>48</v>
      </c>
      <c r="G141" s="8" t="s">
        <v>45</v>
      </c>
      <c r="H141" s="8" t="s">
        <v>47</v>
      </c>
      <c r="I141" s="8" t="s">
        <v>46</v>
      </c>
      <c r="J141" s="8" t="s">
        <v>46</v>
      </c>
      <c r="K141" s="8" t="s">
        <v>48</v>
      </c>
      <c r="L141" s="8" t="s">
        <v>48</v>
      </c>
      <c r="M141" s="8" t="s">
        <v>47</v>
      </c>
      <c r="N141" s="8" t="s">
        <v>46</v>
      </c>
      <c r="O141" s="8" t="s">
        <v>47</v>
      </c>
      <c r="P141" s="8" t="s">
        <v>47</v>
      </c>
      <c r="Q141" s="8" t="s">
        <v>46</v>
      </c>
      <c r="R141" s="8" t="s">
        <v>47</v>
      </c>
      <c r="S141" s="8" t="s">
        <v>46</v>
      </c>
      <c r="T141" s="8" t="s">
        <v>46</v>
      </c>
      <c r="U141" s="8" t="s">
        <v>47</v>
      </c>
      <c r="V141" s="8" t="s">
        <v>46</v>
      </c>
      <c r="W141" s="8" t="s">
        <v>48</v>
      </c>
      <c r="X141" s="8" t="s">
        <v>48</v>
      </c>
      <c r="Y141" s="8" t="s">
        <v>46</v>
      </c>
      <c r="Z141" s="8" t="s">
        <v>45</v>
      </c>
      <c r="AA141" s="8" t="s">
        <v>48</v>
      </c>
      <c r="AB141" s="8" t="s">
        <v>47</v>
      </c>
      <c r="AC141" s="8" t="s">
        <v>47</v>
      </c>
      <c r="AD141" s="8" t="s">
        <v>48</v>
      </c>
      <c r="AE141" s="8" t="s">
        <v>47</v>
      </c>
    </row>
    <row r="142" customFormat="false" ht="15" hidden="false" customHeight="false" outlineLevel="0" collapsed="false">
      <c r="A142" s="7" t="s">
        <v>188</v>
      </c>
      <c r="B142" s="8" t="s">
        <v>45</v>
      </c>
      <c r="C142" s="8" t="s">
        <v>45</v>
      </c>
      <c r="D142" s="8" t="s">
        <v>46</v>
      </c>
      <c r="E142" s="8" t="s">
        <v>45</v>
      </c>
      <c r="F142" s="8" t="s">
        <v>48</v>
      </c>
      <c r="G142" s="8" t="s">
        <v>45</v>
      </c>
      <c r="H142" s="8" t="s">
        <v>46</v>
      </c>
      <c r="I142" s="8" t="s">
        <v>46</v>
      </c>
      <c r="J142" s="8" t="s">
        <v>46</v>
      </c>
      <c r="K142" s="8" t="s">
        <v>48</v>
      </c>
      <c r="L142" s="8" t="s">
        <v>45</v>
      </c>
      <c r="M142" s="8" t="s">
        <v>46</v>
      </c>
      <c r="N142" s="8" t="s">
        <v>46</v>
      </c>
      <c r="O142" s="8" t="s">
        <v>45</v>
      </c>
      <c r="P142" s="8" t="s">
        <v>45</v>
      </c>
      <c r="Q142" s="8" t="s">
        <v>45</v>
      </c>
      <c r="R142" s="8" t="s">
        <v>47</v>
      </c>
      <c r="S142" s="8" t="s">
        <v>48</v>
      </c>
      <c r="T142" s="8" t="s">
        <v>48</v>
      </c>
      <c r="U142" s="8" t="s">
        <v>48</v>
      </c>
      <c r="V142" s="8" t="s">
        <v>47</v>
      </c>
      <c r="W142" s="8" t="s">
        <v>46</v>
      </c>
      <c r="X142" s="8" t="s">
        <v>46</v>
      </c>
      <c r="Y142" s="8" t="s">
        <v>47</v>
      </c>
      <c r="Z142" s="8" t="s">
        <v>45</v>
      </c>
      <c r="AA142" s="8" t="s">
        <v>46</v>
      </c>
      <c r="AB142" s="8" t="s">
        <v>48</v>
      </c>
      <c r="AC142" s="8" t="s">
        <v>46</v>
      </c>
      <c r="AD142" s="8" t="s">
        <v>47</v>
      </c>
      <c r="AE142" s="8" t="s">
        <v>47</v>
      </c>
    </row>
    <row r="143" customFormat="false" ht="15" hidden="false" customHeight="false" outlineLevel="0" collapsed="false">
      <c r="A143" s="7" t="s">
        <v>189</v>
      </c>
      <c r="B143" s="8" t="s">
        <v>45</v>
      </c>
      <c r="C143" s="8" t="s">
        <v>48</v>
      </c>
      <c r="D143" s="8" t="s">
        <v>45</v>
      </c>
      <c r="E143" s="8" t="s">
        <v>47</v>
      </c>
      <c r="F143" s="8" t="s">
        <v>47</v>
      </c>
      <c r="G143" s="8" t="s">
        <v>47</v>
      </c>
      <c r="H143" s="8" t="s">
        <v>46</v>
      </c>
      <c r="I143" s="8" t="s">
        <v>46</v>
      </c>
      <c r="J143" s="8" t="s">
        <v>48</v>
      </c>
      <c r="K143" s="8" t="s">
        <v>45</v>
      </c>
      <c r="L143" s="8" t="s">
        <v>48</v>
      </c>
      <c r="M143" s="8" t="s">
        <v>46</v>
      </c>
      <c r="N143" s="8" t="s">
        <v>47</v>
      </c>
      <c r="O143" s="8" t="s">
        <v>45</v>
      </c>
      <c r="P143" s="8" t="s">
        <v>48</v>
      </c>
      <c r="Q143" s="8" t="s">
        <v>48</v>
      </c>
      <c r="R143" s="8" t="s">
        <v>48</v>
      </c>
      <c r="S143" s="8" t="s">
        <v>45</v>
      </c>
      <c r="T143" s="8" t="s">
        <v>46</v>
      </c>
      <c r="U143" s="8" t="s">
        <v>45</v>
      </c>
      <c r="V143" s="8" t="s">
        <v>46</v>
      </c>
      <c r="W143" s="8" t="s">
        <v>46</v>
      </c>
      <c r="X143" s="8" t="s">
        <v>46</v>
      </c>
      <c r="Y143" s="8" t="s">
        <v>47</v>
      </c>
      <c r="Z143" s="8" t="s">
        <v>46</v>
      </c>
      <c r="AA143" s="8" t="s">
        <v>48</v>
      </c>
      <c r="AB143" s="8" t="s">
        <v>46</v>
      </c>
      <c r="AC143" s="8" t="s">
        <v>47</v>
      </c>
      <c r="AD143" s="8" t="s">
        <v>46</v>
      </c>
      <c r="AE143" s="8" t="s">
        <v>46</v>
      </c>
    </row>
    <row r="144" customFormat="false" ht="15" hidden="false" customHeight="false" outlineLevel="0" collapsed="false">
      <c r="A144" s="7" t="s">
        <v>190</v>
      </c>
      <c r="B144" s="8" t="s">
        <v>46</v>
      </c>
      <c r="C144" s="8" t="s">
        <v>48</v>
      </c>
      <c r="D144" s="8" t="s">
        <v>48</v>
      </c>
      <c r="E144" s="8" t="s">
        <v>45</v>
      </c>
      <c r="F144" s="8" t="s">
        <v>47</v>
      </c>
      <c r="G144" s="8" t="s">
        <v>46</v>
      </c>
      <c r="H144" s="8" t="s">
        <v>48</v>
      </c>
      <c r="I144" s="8" t="s">
        <v>47</v>
      </c>
      <c r="J144" s="8" t="s">
        <v>46</v>
      </c>
      <c r="K144" s="8" t="s">
        <v>46</v>
      </c>
      <c r="L144" s="8" t="s">
        <v>48</v>
      </c>
      <c r="M144" s="8" t="s">
        <v>46</v>
      </c>
      <c r="N144" s="8" t="s">
        <v>48</v>
      </c>
      <c r="O144" s="8" t="s">
        <v>46</v>
      </c>
      <c r="P144" s="8" t="s">
        <v>48</v>
      </c>
      <c r="Q144" s="8" t="s">
        <v>48</v>
      </c>
      <c r="R144" s="8" t="s">
        <v>48</v>
      </c>
      <c r="S144" s="8" t="s">
        <v>48</v>
      </c>
      <c r="T144" s="8" t="s">
        <v>46</v>
      </c>
      <c r="U144" s="8" t="s">
        <v>45</v>
      </c>
      <c r="V144" s="8" t="s">
        <v>48</v>
      </c>
      <c r="W144" s="8" t="s">
        <v>45</v>
      </c>
      <c r="X144" s="8" t="s">
        <v>46</v>
      </c>
      <c r="Y144" s="8" t="s">
        <v>45</v>
      </c>
      <c r="Z144" s="8" t="s">
        <v>48</v>
      </c>
      <c r="AA144" s="8" t="s">
        <v>48</v>
      </c>
      <c r="AB144" s="8" t="s">
        <v>45</v>
      </c>
      <c r="AC144" s="8" t="s">
        <v>46</v>
      </c>
      <c r="AD144" s="8" t="s">
        <v>46</v>
      </c>
      <c r="AE144" s="8" t="s">
        <v>45</v>
      </c>
    </row>
    <row r="145" customFormat="false" ht="15" hidden="false" customHeight="false" outlineLevel="0" collapsed="false">
      <c r="A145" s="7" t="s">
        <v>191</v>
      </c>
      <c r="B145" s="8" t="s">
        <v>48</v>
      </c>
      <c r="C145" s="8" t="s">
        <v>47</v>
      </c>
      <c r="D145" s="8" t="s">
        <v>46</v>
      </c>
      <c r="E145" s="8" t="s">
        <v>47</v>
      </c>
      <c r="F145" s="8" t="s">
        <v>48</v>
      </c>
      <c r="G145" s="8" t="s">
        <v>45</v>
      </c>
      <c r="H145" s="8" t="s">
        <v>46</v>
      </c>
      <c r="I145" s="8" t="s">
        <v>46</v>
      </c>
      <c r="J145" s="8" t="s">
        <v>48</v>
      </c>
      <c r="K145" s="8" t="s">
        <v>47</v>
      </c>
      <c r="L145" s="8" t="s">
        <v>48</v>
      </c>
      <c r="M145" s="8" t="s">
        <v>46</v>
      </c>
      <c r="N145" s="8" t="s">
        <v>47</v>
      </c>
      <c r="O145" s="8" t="s">
        <v>45</v>
      </c>
      <c r="P145" s="8" t="s">
        <v>46</v>
      </c>
      <c r="Q145" s="8" t="s">
        <v>48</v>
      </c>
      <c r="R145" s="8" t="s">
        <v>48</v>
      </c>
      <c r="S145" s="8" t="s">
        <v>48</v>
      </c>
      <c r="T145" s="8" t="s">
        <v>45</v>
      </c>
      <c r="U145" s="8" t="s">
        <v>45</v>
      </c>
      <c r="V145" s="8" t="s">
        <v>45</v>
      </c>
      <c r="W145" s="8" t="s">
        <v>47</v>
      </c>
      <c r="X145" s="8" t="s">
        <v>46</v>
      </c>
      <c r="Y145" s="8" t="s">
        <v>45</v>
      </c>
      <c r="Z145" s="8" t="s">
        <v>46</v>
      </c>
      <c r="AA145" s="8" t="s">
        <v>48</v>
      </c>
      <c r="AB145" s="8" t="s">
        <v>47</v>
      </c>
      <c r="AC145" s="8" t="s">
        <v>45</v>
      </c>
      <c r="AD145" s="8" t="s">
        <v>47</v>
      </c>
      <c r="AE145" s="8" t="s">
        <v>45</v>
      </c>
    </row>
    <row r="146" customFormat="false" ht="15" hidden="false" customHeight="false" outlineLevel="0" collapsed="false">
      <c r="A146" s="7" t="s">
        <v>192</v>
      </c>
      <c r="B146" s="8" t="s">
        <v>46</v>
      </c>
      <c r="C146" s="8" t="s">
        <v>46</v>
      </c>
      <c r="D146" s="8" t="s">
        <v>48</v>
      </c>
      <c r="E146" s="8" t="s">
        <v>47</v>
      </c>
      <c r="F146" s="8" t="s">
        <v>48</v>
      </c>
      <c r="G146" s="8" t="s">
        <v>47</v>
      </c>
      <c r="H146" s="8" t="s">
        <v>46</v>
      </c>
      <c r="I146" s="8" t="s">
        <v>46</v>
      </c>
      <c r="J146" s="8" t="s">
        <v>48</v>
      </c>
      <c r="K146" s="8" t="s">
        <v>45</v>
      </c>
      <c r="L146" s="8" t="s">
        <v>46</v>
      </c>
      <c r="M146" s="8" t="s">
        <v>46</v>
      </c>
      <c r="N146" s="8" t="s">
        <v>46</v>
      </c>
      <c r="O146" s="8" t="s">
        <v>45</v>
      </c>
      <c r="P146" s="8" t="s">
        <v>46</v>
      </c>
      <c r="Q146" s="8" t="s">
        <v>48</v>
      </c>
      <c r="R146" s="8" t="s">
        <v>48</v>
      </c>
      <c r="S146" s="8" t="s">
        <v>47</v>
      </c>
      <c r="T146" s="8" t="s">
        <v>48</v>
      </c>
      <c r="U146" s="8" t="s">
        <v>45</v>
      </c>
      <c r="V146" s="8" t="s">
        <v>48</v>
      </c>
      <c r="W146" s="8" t="s">
        <v>48</v>
      </c>
      <c r="X146" s="8" t="s">
        <v>46</v>
      </c>
      <c r="Y146" s="8" t="s">
        <v>47</v>
      </c>
      <c r="Z146" s="8" t="s">
        <v>46</v>
      </c>
      <c r="AA146" s="8" t="s">
        <v>47</v>
      </c>
      <c r="AB146" s="8" t="s">
        <v>48</v>
      </c>
      <c r="AC146" s="8" t="s">
        <v>45</v>
      </c>
      <c r="AD146" s="8" t="s">
        <v>46</v>
      </c>
      <c r="AE146" s="8" t="s">
        <v>46</v>
      </c>
    </row>
    <row r="147" customFormat="false" ht="15" hidden="false" customHeight="false" outlineLevel="0" collapsed="false">
      <c r="A147" s="7" t="s">
        <v>193</v>
      </c>
      <c r="B147" s="8" t="s">
        <v>46</v>
      </c>
      <c r="C147" s="8" t="s">
        <v>45</v>
      </c>
      <c r="D147" s="8" t="s">
        <v>45</v>
      </c>
      <c r="E147" s="8" t="s">
        <v>46</v>
      </c>
      <c r="F147" s="8" t="s">
        <v>47</v>
      </c>
      <c r="G147" s="8" t="s">
        <v>47</v>
      </c>
      <c r="H147" s="8" t="s">
        <v>46</v>
      </c>
      <c r="I147" s="8" t="s">
        <v>46</v>
      </c>
      <c r="J147" s="8" t="s">
        <v>48</v>
      </c>
      <c r="K147" s="8" t="s">
        <v>46</v>
      </c>
      <c r="L147" s="8" t="s">
        <v>45</v>
      </c>
      <c r="M147" s="8" t="s">
        <v>45</v>
      </c>
      <c r="N147" s="8" t="s">
        <v>48</v>
      </c>
      <c r="O147" s="8" t="s">
        <v>46</v>
      </c>
      <c r="P147" s="8" t="s">
        <v>45</v>
      </c>
      <c r="Q147" s="8" t="s">
        <v>48</v>
      </c>
      <c r="R147" s="8" t="s">
        <v>48</v>
      </c>
      <c r="S147" s="8" t="s">
        <v>46</v>
      </c>
      <c r="T147" s="8" t="s">
        <v>45</v>
      </c>
      <c r="U147" s="8" t="s">
        <v>46</v>
      </c>
      <c r="V147" s="8" t="s">
        <v>45</v>
      </c>
      <c r="W147" s="8" t="s">
        <v>48</v>
      </c>
      <c r="X147" s="8" t="s">
        <v>46</v>
      </c>
      <c r="Y147" s="8" t="s">
        <v>46</v>
      </c>
      <c r="Z147" s="8" t="s">
        <v>48</v>
      </c>
      <c r="AA147" s="8" t="s">
        <v>48</v>
      </c>
      <c r="AB147" s="8" t="s">
        <v>48</v>
      </c>
      <c r="AC147" s="8" t="s">
        <v>48</v>
      </c>
      <c r="AD147" s="8" t="s">
        <v>45</v>
      </c>
      <c r="AE147" s="8" t="s">
        <v>47</v>
      </c>
    </row>
    <row r="148" customFormat="false" ht="15" hidden="false" customHeight="false" outlineLevel="0" collapsed="false">
      <c r="A148" s="7" t="s">
        <v>194</v>
      </c>
      <c r="B148" s="8" t="s">
        <v>45</v>
      </c>
      <c r="C148" s="8" t="s">
        <v>46</v>
      </c>
      <c r="D148" s="8" t="s">
        <v>45</v>
      </c>
      <c r="E148" s="8" t="s">
        <v>47</v>
      </c>
      <c r="F148" s="8" t="s">
        <v>47</v>
      </c>
      <c r="G148" s="8" t="s">
        <v>47</v>
      </c>
      <c r="H148" s="8" t="s">
        <v>46</v>
      </c>
      <c r="I148" s="8" t="s">
        <v>46</v>
      </c>
      <c r="J148" s="8" t="s">
        <v>48</v>
      </c>
      <c r="K148" s="8" t="s">
        <v>45</v>
      </c>
      <c r="L148" s="8" t="s">
        <v>48</v>
      </c>
      <c r="M148" s="8" t="s">
        <v>46</v>
      </c>
      <c r="N148" s="8" t="s">
        <v>47</v>
      </c>
      <c r="O148" s="8" t="s">
        <v>45</v>
      </c>
      <c r="P148" s="8" t="s">
        <v>48</v>
      </c>
      <c r="Q148" s="8" t="s">
        <v>48</v>
      </c>
      <c r="R148" s="8" t="s">
        <v>48</v>
      </c>
      <c r="S148" s="8" t="s">
        <v>48</v>
      </c>
      <c r="T148" s="8" t="s">
        <v>45</v>
      </c>
      <c r="U148" s="8" t="s">
        <v>45</v>
      </c>
      <c r="V148" s="8" t="s">
        <v>46</v>
      </c>
      <c r="W148" s="8" t="s">
        <v>46</v>
      </c>
      <c r="X148" s="8" t="s">
        <v>46</v>
      </c>
      <c r="Y148" s="8" t="s">
        <v>47</v>
      </c>
      <c r="Z148" s="8" t="s">
        <v>46</v>
      </c>
      <c r="AA148" s="8" t="s">
        <v>47</v>
      </c>
      <c r="AB148" s="8" t="s">
        <v>46</v>
      </c>
      <c r="AC148" s="8" t="s">
        <v>47</v>
      </c>
      <c r="AD148" s="8" t="s">
        <v>46</v>
      </c>
      <c r="AE148" s="8" t="s">
        <v>46</v>
      </c>
    </row>
    <row r="149" customFormat="false" ht="15" hidden="false" customHeight="false" outlineLevel="0" collapsed="false">
      <c r="A149" s="7" t="s">
        <v>195</v>
      </c>
      <c r="B149" s="8" t="s">
        <v>45</v>
      </c>
      <c r="C149" s="8" t="s">
        <v>46</v>
      </c>
      <c r="D149" s="8" t="s">
        <v>45</v>
      </c>
      <c r="E149" s="8" t="s">
        <v>47</v>
      </c>
      <c r="F149" s="8" t="s">
        <v>47</v>
      </c>
      <c r="G149" s="8" t="s">
        <v>47</v>
      </c>
      <c r="H149" s="8" t="s">
        <v>46</v>
      </c>
      <c r="I149" s="8" t="s">
        <v>46</v>
      </c>
      <c r="J149" s="8" t="s">
        <v>48</v>
      </c>
      <c r="K149" s="8" t="s">
        <v>45</v>
      </c>
      <c r="L149" s="8" t="s">
        <v>48</v>
      </c>
      <c r="M149" s="8" t="s">
        <v>46</v>
      </c>
      <c r="N149" s="8" t="s">
        <v>47</v>
      </c>
      <c r="O149" s="8" t="s">
        <v>45</v>
      </c>
      <c r="P149" s="8" t="s">
        <v>48</v>
      </c>
      <c r="Q149" s="8" t="s">
        <v>48</v>
      </c>
      <c r="R149" s="8" t="s">
        <v>48</v>
      </c>
      <c r="S149" s="8" t="s">
        <v>45</v>
      </c>
      <c r="T149" s="8" t="s">
        <v>45</v>
      </c>
      <c r="U149" s="8" t="s">
        <v>45</v>
      </c>
      <c r="V149" s="8" t="s">
        <v>46</v>
      </c>
      <c r="W149" s="8" t="s">
        <v>46</v>
      </c>
      <c r="X149" s="8" t="s">
        <v>46</v>
      </c>
      <c r="Y149" s="8" t="s">
        <v>47</v>
      </c>
      <c r="Z149" s="8" t="s">
        <v>46</v>
      </c>
      <c r="AA149" s="8" t="s">
        <v>47</v>
      </c>
      <c r="AB149" s="8" t="s">
        <v>46</v>
      </c>
      <c r="AC149" s="8" t="s">
        <v>47</v>
      </c>
      <c r="AD149" s="8" t="s">
        <v>46</v>
      </c>
      <c r="AE149" s="8" t="s">
        <v>46</v>
      </c>
    </row>
    <row r="150" customFormat="false" ht="15" hidden="false" customHeight="false" outlineLevel="0" collapsed="false">
      <c r="A150" s="7" t="s">
        <v>196</v>
      </c>
      <c r="B150" s="8" t="s">
        <v>47</v>
      </c>
      <c r="C150" s="8" t="s">
        <v>46</v>
      </c>
      <c r="D150" s="8" t="s">
        <v>47</v>
      </c>
      <c r="E150" s="8" t="s">
        <v>47</v>
      </c>
      <c r="F150" s="8" t="s">
        <v>48</v>
      </c>
      <c r="G150" s="8" t="s">
        <v>47</v>
      </c>
      <c r="H150" s="8" t="s">
        <v>46</v>
      </c>
      <c r="I150" s="8" t="s">
        <v>46</v>
      </c>
      <c r="J150" s="8" t="s">
        <v>48</v>
      </c>
      <c r="K150" s="8" t="s">
        <v>45</v>
      </c>
      <c r="L150" s="8" t="s">
        <v>48</v>
      </c>
      <c r="M150" s="8" t="s">
        <v>46</v>
      </c>
      <c r="N150" s="8" t="s">
        <v>47</v>
      </c>
      <c r="O150" s="8" t="s">
        <v>45</v>
      </c>
      <c r="P150" s="8" t="s">
        <v>46</v>
      </c>
      <c r="Q150" s="8" t="s">
        <v>48</v>
      </c>
      <c r="R150" s="8" t="s">
        <v>48</v>
      </c>
      <c r="S150" s="8" t="s">
        <v>45</v>
      </c>
      <c r="T150" s="8" t="s">
        <v>45</v>
      </c>
      <c r="U150" s="8" t="s">
        <v>48</v>
      </c>
      <c r="V150" s="8" t="s">
        <v>46</v>
      </c>
      <c r="W150" s="8" t="s">
        <v>46</v>
      </c>
      <c r="X150" s="8" t="s">
        <v>47</v>
      </c>
      <c r="Y150" s="8" t="s">
        <v>47</v>
      </c>
      <c r="Z150" s="8" t="s">
        <v>47</v>
      </c>
      <c r="AA150" s="8" t="s">
        <v>46</v>
      </c>
      <c r="AB150" s="8" t="s">
        <v>46</v>
      </c>
      <c r="AC150" s="8" t="s">
        <v>47</v>
      </c>
      <c r="AD150" s="8" t="s">
        <v>47</v>
      </c>
      <c r="AE150" s="8" t="s">
        <v>46</v>
      </c>
    </row>
    <row r="151" customFormat="false" ht="15" hidden="false" customHeight="false" outlineLevel="0" collapsed="false">
      <c r="A151" s="7" t="s">
        <v>197</v>
      </c>
      <c r="B151" s="8" t="s">
        <v>47</v>
      </c>
      <c r="C151" s="8" t="s">
        <v>46</v>
      </c>
      <c r="D151" s="8" t="s">
        <v>46</v>
      </c>
      <c r="E151" s="8" t="s">
        <v>47</v>
      </c>
      <c r="F151" s="8" t="s">
        <v>48</v>
      </c>
      <c r="G151" s="8" t="s">
        <v>47</v>
      </c>
      <c r="H151" s="8" t="s">
        <v>46</v>
      </c>
      <c r="I151" s="8" t="s">
        <v>47</v>
      </c>
      <c r="J151" s="8" t="s">
        <v>48</v>
      </c>
      <c r="K151" s="8" t="s">
        <v>47</v>
      </c>
      <c r="L151" s="8" t="s">
        <v>48</v>
      </c>
      <c r="M151" s="8" t="s">
        <v>46</v>
      </c>
      <c r="N151" s="8" t="s">
        <v>45</v>
      </c>
      <c r="O151" s="8" t="s">
        <v>48</v>
      </c>
      <c r="P151" s="8" t="s">
        <v>46</v>
      </c>
      <c r="Q151" s="8" t="s">
        <v>48</v>
      </c>
      <c r="R151" s="8" t="s">
        <v>48</v>
      </c>
      <c r="S151" s="8" t="s">
        <v>48</v>
      </c>
      <c r="T151" s="8" t="s">
        <v>46</v>
      </c>
      <c r="U151" s="8" t="s">
        <v>45</v>
      </c>
      <c r="V151" s="8" t="s">
        <v>48</v>
      </c>
      <c r="W151" s="8" t="s">
        <v>46</v>
      </c>
      <c r="X151" s="8" t="s">
        <v>47</v>
      </c>
      <c r="Y151" s="8" t="s">
        <v>47</v>
      </c>
      <c r="Z151" s="8" t="s">
        <v>46</v>
      </c>
      <c r="AA151" s="8" t="s">
        <v>48</v>
      </c>
      <c r="AB151" s="8" t="s">
        <v>47</v>
      </c>
      <c r="AC151" s="8" t="s">
        <v>47</v>
      </c>
      <c r="AD151" s="8" t="s">
        <v>46</v>
      </c>
      <c r="AE151" s="8" t="s">
        <v>46</v>
      </c>
    </row>
    <row r="152" customFormat="false" ht="15" hidden="false" customHeight="false" outlineLevel="0" collapsed="false">
      <c r="A152" s="7" t="s">
        <v>198</v>
      </c>
      <c r="B152" s="8" t="s">
        <v>45</v>
      </c>
      <c r="C152" s="8" t="s">
        <v>47</v>
      </c>
      <c r="D152" s="8" t="s">
        <v>47</v>
      </c>
      <c r="E152" s="8" t="s">
        <v>47</v>
      </c>
      <c r="F152" s="8" t="s">
        <v>47</v>
      </c>
      <c r="G152" s="8" t="s">
        <v>48</v>
      </c>
      <c r="H152" s="8" t="s">
        <v>47</v>
      </c>
      <c r="I152" s="8" t="s">
        <v>46</v>
      </c>
      <c r="J152" s="8" t="s">
        <v>48</v>
      </c>
      <c r="K152" s="8" t="s">
        <v>45</v>
      </c>
      <c r="L152" s="8" t="s">
        <v>48</v>
      </c>
      <c r="M152" s="8" t="s">
        <v>46</v>
      </c>
      <c r="N152" s="8" t="s">
        <v>47</v>
      </c>
      <c r="O152" s="8" t="s">
        <v>45</v>
      </c>
      <c r="P152" s="8" t="s">
        <v>46</v>
      </c>
      <c r="Q152" s="8" t="s">
        <v>48</v>
      </c>
      <c r="R152" s="8" t="s">
        <v>48</v>
      </c>
      <c r="S152" s="8" t="s">
        <v>46</v>
      </c>
      <c r="T152" s="8" t="s">
        <v>46</v>
      </c>
      <c r="U152" s="8" t="s">
        <v>45</v>
      </c>
      <c r="V152" s="8" t="s">
        <v>46</v>
      </c>
      <c r="W152" s="8" t="s">
        <v>48</v>
      </c>
      <c r="X152" s="8" t="s">
        <v>47</v>
      </c>
      <c r="Y152" s="8" t="s">
        <v>48</v>
      </c>
      <c r="Z152" s="8" t="s">
        <v>46</v>
      </c>
      <c r="AA152" s="8" t="s">
        <v>45</v>
      </c>
      <c r="AB152" s="8" t="s">
        <v>48</v>
      </c>
      <c r="AC152" s="8" t="s">
        <v>47</v>
      </c>
      <c r="AD152" s="8" t="s">
        <v>46</v>
      </c>
      <c r="AE152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199</v>
      </c>
    </row>
    <row r="2" customFormat="false" ht="15" hidden="false" customHeight="false" outlineLevel="0" collapsed="false">
      <c r="A2" s="5" t="s">
        <v>200</v>
      </c>
      <c r="B2" s="9" t="n">
        <v>1</v>
      </c>
      <c r="C2" s="9" t="n">
        <v>1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f aca="false">SUM(B2:AE2)</f>
        <v>30</v>
      </c>
    </row>
    <row r="3" customFormat="false" ht="15" hidden="false" customHeight="false" outlineLevel="0" collapsed="false">
      <c r="A3" s="0" t="str">
        <f aca="false">Responses!A3</f>
        <v>S001</v>
      </c>
      <c r="B3" s="9" t="n">
        <f aca="false">IF(Responses!B3=Responses!B$2,1,0)</f>
        <v>0</v>
      </c>
      <c r="C3" s="9" t="n">
        <f aca="false">IF(Responses!C3=Responses!C$2,1,0)</f>
        <v>0</v>
      </c>
      <c r="D3" s="9" t="n">
        <f aca="false">IF(Responses!D3=Responses!D$2,1,0)</f>
        <v>0</v>
      </c>
      <c r="E3" s="9" t="n">
        <f aca="false">IF(Responses!E3=Responses!E$2,1,0)</f>
        <v>0</v>
      </c>
      <c r="F3" s="9" t="n">
        <f aca="false">IF(Responses!F3=Responses!F$2,1,0)</f>
        <v>0</v>
      </c>
      <c r="G3" s="9" t="n">
        <f aca="false">IF(Responses!G3=Responses!G$2,1,0)</f>
        <v>1</v>
      </c>
      <c r="H3" s="9" t="n">
        <f aca="false">IF(Responses!H3=Responses!H$2,1,0)</f>
        <v>1</v>
      </c>
      <c r="I3" s="9" t="n">
        <f aca="false">IF(Responses!I3=Responses!I$2,1,0)</f>
        <v>0</v>
      </c>
      <c r="J3" s="9" t="n">
        <f aca="false">IF(Responses!J3=Responses!J$2,1,0)</f>
        <v>0</v>
      </c>
      <c r="K3" s="9" t="n">
        <f aca="false">IF(Responses!K3=Responses!K$2,1,0)</f>
        <v>1</v>
      </c>
      <c r="L3" s="9" t="n">
        <f aca="false">IF(Responses!L3=Responses!L$2,1,0)</f>
        <v>1</v>
      </c>
      <c r="M3" s="9" t="n">
        <f aca="false">IF(Responses!M3=Responses!M$2,1,0)</f>
        <v>1</v>
      </c>
      <c r="N3" s="9" t="n">
        <f aca="false">IF(Responses!N3=Responses!N$2,1,0)</f>
        <v>0</v>
      </c>
      <c r="O3" s="9" t="n">
        <f aca="false">IF(Responses!O3=Responses!O$2,1,0)</f>
        <v>0</v>
      </c>
      <c r="P3" s="9" t="n">
        <f aca="false">IF(Responses!P3=Responses!P$2,1,0)</f>
        <v>0</v>
      </c>
      <c r="Q3" s="9" t="n">
        <f aca="false">IF(Responses!Q3=Responses!Q$2,1,0)</f>
        <v>0</v>
      </c>
      <c r="R3" s="9" t="n">
        <f aca="false">IF(Responses!R3=Responses!R$2,1,0)</f>
        <v>1</v>
      </c>
      <c r="S3" s="9" t="n">
        <f aca="false">IF(Responses!S3=Responses!S$2,1,0)</f>
        <v>0</v>
      </c>
      <c r="T3" s="9" t="n">
        <f aca="false">IF(Responses!T3=Responses!T$2,1,0)</f>
        <v>1</v>
      </c>
      <c r="U3" s="9" t="n">
        <f aca="false">IF(Responses!U3=Responses!U$2,1,0)</f>
        <v>0</v>
      </c>
      <c r="V3" s="9" t="n">
        <f aca="false">IF(Responses!V3=Responses!V$2,1,0)</f>
        <v>0</v>
      </c>
      <c r="W3" s="9" t="n">
        <f aca="false">IF(Responses!W3=Responses!W$2,1,0)</f>
        <v>0</v>
      </c>
      <c r="X3" s="9" t="n">
        <f aca="false">IF(Responses!X3=Responses!X$2,1,0)</f>
        <v>0</v>
      </c>
      <c r="Y3" s="9" t="n">
        <f aca="false">IF(Responses!Y3=Responses!Y$2,1,0)</f>
        <v>0</v>
      </c>
      <c r="Z3" s="9" t="n">
        <f aca="false">IF(Responses!Z3=Responses!Z$2,1,0)</f>
        <v>0</v>
      </c>
      <c r="AA3" s="9" t="n">
        <f aca="false">IF(Responses!AA3=Responses!AA$2,1,0)</f>
        <v>0</v>
      </c>
      <c r="AB3" s="9" t="n">
        <f aca="false">IF(Responses!AB3=Responses!AB$2,1,0)</f>
        <v>0</v>
      </c>
      <c r="AC3" s="9" t="n">
        <f aca="false">IF(Responses!AC3=Responses!AC$2,1,0)</f>
        <v>1</v>
      </c>
      <c r="AD3" s="9" t="n">
        <f aca="false">IF(Responses!AD3=Responses!AD$2,1,0)</f>
        <v>0</v>
      </c>
      <c r="AE3" s="9" t="n">
        <f aca="false">IF(Responses!AE3=Responses!AE$2,1,0)</f>
        <v>1</v>
      </c>
      <c r="AF3" s="9" t="n">
        <f aca="false">SUM(B3:AE3)</f>
        <v>9</v>
      </c>
    </row>
    <row r="4" customFormat="false" ht="15" hidden="false" customHeight="false" outlineLevel="0" collapsed="false">
      <c r="A4" s="0" t="str">
        <f aca="false">Responses!A4</f>
        <v>S002</v>
      </c>
      <c r="B4" s="9" t="n">
        <f aca="false">IF(Responses!B4=Responses!B$2,1,0)</f>
        <v>1</v>
      </c>
      <c r="C4" s="9" t="n">
        <f aca="false">IF(Responses!C4=Responses!C$2,1,0)</f>
        <v>1</v>
      </c>
      <c r="D4" s="9" t="n">
        <f aca="false">IF(Responses!D4=Responses!D$2,1,0)</f>
        <v>1</v>
      </c>
      <c r="E4" s="9" t="n">
        <f aca="false">IF(Responses!E4=Responses!E$2,1,0)</f>
        <v>0</v>
      </c>
      <c r="F4" s="9" t="n">
        <f aca="false">IF(Responses!F4=Responses!F$2,1,0)</f>
        <v>0</v>
      </c>
      <c r="G4" s="9" t="n">
        <f aca="false">IF(Responses!G4=Responses!G$2,1,0)</f>
        <v>0</v>
      </c>
      <c r="H4" s="9" t="n">
        <f aca="false">IF(Responses!H4=Responses!H$2,1,0)</f>
        <v>0</v>
      </c>
      <c r="I4" s="9" t="n">
        <f aca="false">IF(Responses!I4=Responses!I$2,1,0)</f>
        <v>1</v>
      </c>
      <c r="J4" s="9" t="n">
        <f aca="false">IF(Responses!J4=Responses!J$2,1,0)</f>
        <v>1</v>
      </c>
      <c r="K4" s="9" t="n">
        <f aca="false">IF(Responses!K4=Responses!K$2,1,0)</f>
        <v>1</v>
      </c>
      <c r="L4" s="9" t="n">
        <f aca="false">IF(Responses!L4=Responses!L$2,1,0)</f>
        <v>1</v>
      </c>
      <c r="M4" s="9" t="n">
        <f aca="false">IF(Responses!M4=Responses!M$2,1,0)</f>
        <v>1</v>
      </c>
      <c r="N4" s="9" t="n">
        <f aca="false">IF(Responses!N4=Responses!N$2,1,0)</f>
        <v>0</v>
      </c>
      <c r="O4" s="9" t="n">
        <f aca="false">IF(Responses!O4=Responses!O$2,1,0)</f>
        <v>0</v>
      </c>
      <c r="P4" s="9" t="n">
        <f aca="false">IF(Responses!P4=Responses!P$2,1,0)</f>
        <v>0</v>
      </c>
      <c r="Q4" s="9" t="n">
        <f aca="false">IF(Responses!Q4=Responses!Q$2,1,0)</f>
        <v>1</v>
      </c>
      <c r="R4" s="9" t="n">
        <f aca="false">IF(Responses!R4=Responses!R$2,1,0)</f>
        <v>1</v>
      </c>
      <c r="S4" s="9" t="n">
        <f aca="false">IF(Responses!S4=Responses!S$2,1,0)</f>
        <v>1</v>
      </c>
      <c r="T4" s="9" t="n">
        <f aca="false">IF(Responses!T4=Responses!T$2,1,0)</f>
        <v>0</v>
      </c>
      <c r="U4" s="9" t="n">
        <f aca="false">IF(Responses!U4=Responses!U$2,1,0)</f>
        <v>1</v>
      </c>
      <c r="V4" s="9" t="n">
        <f aca="false">IF(Responses!V4=Responses!V$2,1,0)</f>
        <v>1</v>
      </c>
      <c r="W4" s="9" t="n">
        <f aca="false">IF(Responses!W4=Responses!W$2,1,0)</f>
        <v>1</v>
      </c>
      <c r="X4" s="9" t="n">
        <f aca="false">IF(Responses!X4=Responses!X$2,1,0)</f>
        <v>1</v>
      </c>
      <c r="Y4" s="9" t="n">
        <f aca="false">IF(Responses!Y4=Responses!Y$2,1,0)</f>
        <v>0</v>
      </c>
      <c r="Z4" s="9" t="n">
        <f aca="false">IF(Responses!Z4=Responses!Z$2,1,0)</f>
        <v>0</v>
      </c>
      <c r="AA4" s="9" t="n">
        <f aca="false">IF(Responses!AA4=Responses!AA$2,1,0)</f>
        <v>0</v>
      </c>
      <c r="AB4" s="9" t="n">
        <f aca="false">IF(Responses!AB4=Responses!AB$2,1,0)</f>
        <v>1</v>
      </c>
      <c r="AC4" s="9" t="n">
        <f aca="false">IF(Responses!AC4=Responses!AC$2,1,0)</f>
        <v>1</v>
      </c>
      <c r="AD4" s="9" t="n">
        <f aca="false">IF(Responses!AD4=Responses!AD$2,1,0)</f>
        <v>1</v>
      </c>
      <c r="AE4" s="9" t="n">
        <f aca="false">IF(Responses!AE4=Responses!AE$2,1,0)</f>
        <v>0</v>
      </c>
      <c r="AF4" s="9" t="n">
        <f aca="false">SUM(B4:AE4)</f>
        <v>18</v>
      </c>
    </row>
    <row r="5" customFormat="false" ht="15" hidden="false" customHeight="false" outlineLevel="0" collapsed="false">
      <c r="A5" s="0" t="str">
        <f aca="false">Responses!A5</f>
        <v>S003</v>
      </c>
      <c r="B5" s="9" t="n">
        <f aca="false">IF(Responses!B5=Responses!B$2,1,0)</f>
        <v>0</v>
      </c>
      <c r="C5" s="9" t="n">
        <f aca="false">IF(Responses!C5=Responses!C$2,1,0)</f>
        <v>0</v>
      </c>
      <c r="D5" s="9" t="n">
        <f aca="false">IF(Responses!D5=Responses!D$2,1,0)</f>
        <v>0</v>
      </c>
      <c r="E5" s="9" t="n">
        <f aca="false">IF(Responses!E5=Responses!E$2,1,0)</f>
        <v>1</v>
      </c>
      <c r="F5" s="9" t="n">
        <f aca="false">IF(Responses!F5=Responses!F$2,1,0)</f>
        <v>0</v>
      </c>
      <c r="G5" s="9" t="n">
        <f aca="false">IF(Responses!G5=Responses!G$2,1,0)</f>
        <v>0</v>
      </c>
      <c r="H5" s="9" t="n">
        <f aca="false">IF(Responses!H5=Responses!H$2,1,0)</f>
        <v>1</v>
      </c>
      <c r="I5" s="9" t="n">
        <f aca="false">IF(Responses!I5=Responses!I$2,1,0)</f>
        <v>0</v>
      </c>
      <c r="J5" s="9" t="n">
        <f aca="false">IF(Responses!J5=Responses!J$2,1,0)</f>
        <v>1</v>
      </c>
      <c r="K5" s="9" t="n">
        <f aca="false">IF(Responses!K5=Responses!K$2,1,0)</f>
        <v>1</v>
      </c>
      <c r="L5" s="9" t="n">
        <f aca="false">IF(Responses!L5=Responses!L$2,1,0)</f>
        <v>1</v>
      </c>
      <c r="M5" s="9" t="n">
        <f aca="false">IF(Responses!M5=Responses!M$2,1,0)</f>
        <v>1</v>
      </c>
      <c r="N5" s="9" t="n">
        <f aca="false">IF(Responses!N5=Responses!N$2,1,0)</f>
        <v>0</v>
      </c>
      <c r="O5" s="9" t="n">
        <f aca="false">IF(Responses!O5=Responses!O$2,1,0)</f>
        <v>1</v>
      </c>
      <c r="P5" s="9" t="n">
        <f aca="false">IF(Responses!P5=Responses!P$2,1,0)</f>
        <v>0</v>
      </c>
      <c r="Q5" s="9" t="n">
        <f aca="false">IF(Responses!Q5=Responses!Q$2,1,0)</f>
        <v>1</v>
      </c>
      <c r="R5" s="9" t="n">
        <f aca="false">IF(Responses!R5=Responses!R$2,1,0)</f>
        <v>0</v>
      </c>
      <c r="S5" s="9" t="n">
        <f aca="false">IF(Responses!S5=Responses!S$2,1,0)</f>
        <v>0</v>
      </c>
      <c r="T5" s="9" t="n">
        <f aca="false">IF(Responses!T5=Responses!T$2,1,0)</f>
        <v>0</v>
      </c>
      <c r="U5" s="9" t="n">
        <f aca="false">IF(Responses!U5=Responses!U$2,1,0)</f>
        <v>0</v>
      </c>
      <c r="V5" s="9" t="n">
        <f aca="false">IF(Responses!V5=Responses!V$2,1,0)</f>
        <v>0</v>
      </c>
      <c r="W5" s="9" t="n">
        <f aca="false">IF(Responses!W5=Responses!W$2,1,0)</f>
        <v>0</v>
      </c>
      <c r="X5" s="9" t="n">
        <f aca="false">IF(Responses!X5=Responses!X$2,1,0)</f>
        <v>0</v>
      </c>
      <c r="Y5" s="9" t="n">
        <f aca="false">IF(Responses!Y5=Responses!Y$2,1,0)</f>
        <v>0</v>
      </c>
      <c r="Z5" s="9" t="n">
        <f aca="false">IF(Responses!Z5=Responses!Z$2,1,0)</f>
        <v>1</v>
      </c>
      <c r="AA5" s="9" t="n">
        <f aca="false">IF(Responses!AA5=Responses!AA$2,1,0)</f>
        <v>0</v>
      </c>
      <c r="AB5" s="9" t="n">
        <f aca="false">IF(Responses!AB5=Responses!AB$2,1,0)</f>
        <v>0</v>
      </c>
      <c r="AC5" s="9" t="n">
        <f aca="false">IF(Responses!AC5=Responses!AC$2,1,0)</f>
        <v>0</v>
      </c>
      <c r="AD5" s="9" t="n">
        <f aca="false">IF(Responses!AD5=Responses!AD$2,1,0)</f>
        <v>0</v>
      </c>
      <c r="AE5" s="9" t="n">
        <f aca="false">IF(Responses!AE5=Responses!AE$2,1,0)</f>
        <v>1</v>
      </c>
      <c r="AF5" s="9" t="n">
        <f aca="false">SUM(B5:AE5)</f>
        <v>10</v>
      </c>
    </row>
    <row r="6" customFormat="false" ht="15" hidden="false" customHeight="false" outlineLevel="0" collapsed="false">
      <c r="A6" s="0" t="str">
        <f aca="false">Responses!A6</f>
        <v>S004</v>
      </c>
      <c r="B6" s="9" t="n">
        <f aca="false">IF(Responses!B6=Responses!B$2,1,0)</f>
        <v>1</v>
      </c>
      <c r="C6" s="9" t="n">
        <f aca="false">IF(Responses!C6=Responses!C$2,1,0)</f>
        <v>1</v>
      </c>
      <c r="D6" s="9" t="n">
        <f aca="false">IF(Responses!D6=Responses!D$2,1,0)</f>
        <v>0</v>
      </c>
      <c r="E6" s="9" t="n">
        <f aca="false">IF(Responses!E6=Responses!E$2,1,0)</f>
        <v>1</v>
      </c>
      <c r="F6" s="9" t="n">
        <f aca="false">IF(Responses!F6=Responses!F$2,1,0)</f>
        <v>1</v>
      </c>
      <c r="G6" s="9" t="n">
        <f aca="false">IF(Responses!G6=Responses!G$2,1,0)</f>
        <v>1</v>
      </c>
      <c r="H6" s="9" t="n">
        <f aca="false">IF(Responses!H6=Responses!H$2,1,0)</f>
        <v>0</v>
      </c>
      <c r="I6" s="9" t="n">
        <f aca="false">IF(Responses!I6=Responses!I$2,1,0)</f>
        <v>1</v>
      </c>
      <c r="J6" s="9" t="n">
        <f aca="false">IF(Responses!J6=Responses!J$2,1,0)</f>
        <v>1</v>
      </c>
      <c r="K6" s="9" t="n">
        <f aca="false">IF(Responses!K6=Responses!K$2,1,0)</f>
        <v>1</v>
      </c>
      <c r="L6" s="9" t="n">
        <f aca="false">IF(Responses!L6=Responses!L$2,1,0)</f>
        <v>1</v>
      </c>
      <c r="M6" s="9" t="n">
        <f aca="false">IF(Responses!M6=Responses!M$2,1,0)</f>
        <v>1</v>
      </c>
      <c r="N6" s="9" t="n">
        <f aca="false">IF(Responses!N6=Responses!N$2,1,0)</f>
        <v>1</v>
      </c>
      <c r="O6" s="9" t="n">
        <f aca="false">IF(Responses!O6=Responses!O$2,1,0)</f>
        <v>1</v>
      </c>
      <c r="P6" s="9" t="n">
        <f aca="false">IF(Responses!P6=Responses!P$2,1,0)</f>
        <v>0</v>
      </c>
      <c r="Q6" s="9" t="n">
        <f aca="false">IF(Responses!Q6=Responses!Q$2,1,0)</f>
        <v>1</v>
      </c>
      <c r="R6" s="9" t="n">
        <f aca="false">IF(Responses!R6=Responses!R$2,1,0)</f>
        <v>1</v>
      </c>
      <c r="S6" s="9" t="n">
        <f aca="false">IF(Responses!S6=Responses!S$2,1,0)</f>
        <v>1</v>
      </c>
      <c r="T6" s="9" t="n">
        <f aca="false">IF(Responses!T6=Responses!T$2,1,0)</f>
        <v>1</v>
      </c>
      <c r="U6" s="9" t="n">
        <f aca="false">IF(Responses!U6=Responses!U$2,1,0)</f>
        <v>1</v>
      </c>
      <c r="V6" s="9" t="n">
        <f aca="false">IF(Responses!V6=Responses!V$2,1,0)</f>
        <v>1</v>
      </c>
      <c r="W6" s="9" t="n">
        <f aca="false">IF(Responses!W6=Responses!W$2,1,0)</f>
        <v>1</v>
      </c>
      <c r="X6" s="9" t="n">
        <f aca="false">IF(Responses!X6=Responses!X$2,1,0)</f>
        <v>1</v>
      </c>
      <c r="Y6" s="9" t="n">
        <f aca="false">IF(Responses!Y6=Responses!Y$2,1,0)</f>
        <v>1</v>
      </c>
      <c r="Z6" s="9" t="n">
        <f aca="false">IF(Responses!Z6=Responses!Z$2,1,0)</f>
        <v>1</v>
      </c>
      <c r="AA6" s="9" t="n">
        <f aca="false">IF(Responses!AA6=Responses!AA$2,1,0)</f>
        <v>0</v>
      </c>
      <c r="AB6" s="9" t="n">
        <f aca="false">IF(Responses!AB6=Responses!AB$2,1,0)</f>
        <v>0</v>
      </c>
      <c r="AC6" s="9" t="n">
        <f aca="false">IF(Responses!AC6=Responses!AC$2,1,0)</f>
        <v>1</v>
      </c>
      <c r="AD6" s="9" t="n">
        <f aca="false">IF(Responses!AD6=Responses!AD$2,1,0)</f>
        <v>1</v>
      </c>
      <c r="AE6" s="9" t="n">
        <f aca="false">IF(Responses!AE6=Responses!AE$2,1,0)</f>
        <v>1</v>
      </c>
      <c r="AF6" s="9" t="n">
        <f aca="false">SUM(B6:AE6)</f>
        <v>25</v>
      </c>
    </row>
    <row r="7" customFormat="false" ht="15" hidden="false" customHeight="false" outlineLevel="0" collapsed="false">
      <c r="A7" s="0" t="str">
        <f aca="false">Responses!A7</f>
        <v>S005</v>
      </c>
      <c r="B7" s="9" t="n">
        <f aca="false">IF(Responses!B7=Responses!B$2,1,0)</f>
        <v>0</v>
      </c>
      <c r="C7" s="9" t="n">
        <f aca="false">IF(Responses!C7=Responses!C$2,1,0)</f>
        <v>0</v>
      </c>
      <c r="D7" s="9" t="n">
        <f aca="false">IF(Responses!D7=Responses!D$2,1,0)</f>
        <v>0</v>
      </c>
      <c r="E7" s="9" t="n">
        <f aca="false">IF(Responses!E7=Responses!E$2,1,0)</f>
        <v>1</v>
      </c>
      <c r="F7" s="9" t="n">
        <f aca="false">IF(Responses!F7=Responses!F$2,1,0)</f>
        <v>1</v>
      </c>
      <c r="G7" s="9" t="n">
        <f aca="false">IF(Responses!G7=Responses!G$2,1,0)</f>
        <v>1</v>
      </c>
      <c r="H7" s="9" t="n">
        <f aca="false">IF(Responses!H7=Responses!H$2,1,0)</f>
        <v>0</v>
      </c>
      <c r="I7" s="9" t="n">
        <f aca="false">IF(Responses!I7=Responses!I$2,1,0)</f>
        <v>1</v>
      </c>
      <c r="J7" s="9" t="n">
        <f aca="false">IF(Responses!J7=Responses!J$2,1,0)</f>
        <v>1</v>
      </c>
      <c r="K7" s="9" t="n">
        <f aca="false">IF(Responses!K7=Responses!K$2,1,0)</f>
        <v>0</v>
      </c>
      <c r="L7" s="9" t="n">
        <f aca="false">IF(Responses!L7=Responses!L$2,1,0)</f>
        <v>1</v>
      </c>
      <c r="M7" s="9" t="n">
        <f aca="false">IF(Responses!M7=Responses!M$2,1,0)</f>
        <v>1</v>
      </c>
      <c r="N7" s="9" t="n">
        <f aca="false">IF(Responses!N7=Responses!N$2,1,0)</f>
        <v>1</v>
      </c>
      <c r="O7" s="9" t="n">
        <f aca="false">IF(Responses!O7=Responses!O$2,1,0)</f>
        <v>0</v>
      </c>
      <c r="P7" s="9" t="n">
        <f aca="false">IF(Responses!P7=Responses!P$2,1,0)</f>
        <v>0</v>
      </c>
      <c r="Q7" s="9" t="n">
        <f aca="false">IF(Responses!Q7=Responses!Q$2,1,0)</f>
        <v>1</v>
      </c>
      <c r="R7" s="9" t="n">
        <f aca="false">IF(Responses!R7=Responses!R$2,1,0)</f>
        <v>1</v>
      </c>
      <c r="S7" s="9" t="n">
        <f aca="false">IF(Responses!S7=Responses!S$2,1,0)</f>
        <v>0</v>
      </c>
      <c r="T7" s="9" t="n">
        <f aca="false">IF(Responses!T7=Responses!T$2,1,0)</f>
        <v>1</v>
      </c>
      <c r="U7" s="9" t="n">
        <f aca="false">IF(Responses!U7=Responses!U$2,1,0)</f>
        <v>1</v>
      </c>
      <c r="V7" s="9" t="n">
        <f aca="false">IF(Responses!V7=Responses!V$2,1,0)</f>
        <v>1</v>
      </c>
      <c r="W7" s="9" t="n">
        <f aca="false">IF(Responses!W7=Responses!W$2,1,0)</f>
        <v>1</v>
      </c>
      <c r="X7" s="9" t="n">
        <f aca="false">IF(Responses!X7=Responses!X$2,1,0)</f>
        <v>1</v>
      </c>
      <c r="Y7" s="9" t="n">
        <f aca="false">IF(Responses!Y7=Responses!Y$2,1,0)</f>
        <v>1</v>
      </c>
      <c r="Z7" s="9" t="n">
        <f aca="false">IF(Responses!Z7=Responses!Z$2,1,0)</f>
        <v>1</v>
      </c>
      <c r="AA7" s="9" t="n">
        <f aca="false">IF(Responses!AA7=Responses!AA$2,1,0)</f>
        <v>0</v>
      </c>
      <c r="AB7" s="9" t="n">
        <f aca="false">IF(Responses!AB7=Responses!AB$2,1,0)</f>
        <v>1</v>
      </c>
      <c r="AC7" s="9" t="n">
        <f aca="false">IF(Responses!AC7=Responses!AC$2,1,0)</f>
        <v>1</v>
      </c>
      <c r="AD7" s="9" t="n">
        <f aca="false">IF(Responses!AD7=Responses!AD$2,1,0)</f>
        <v>0</v>
      </c>
      <c r="AE7" s="9" t="n">
        <f aca="false">IF(Responses!AE7=Responses!AE$2,1,0)</f>
        <v>1</v>
      </c>
      <c r="AF7" s="9" t="n">
        <f aca="false">SUM(B7:AE7)</f>
        <v>20</v>
      </c>
    </row>
    <row r="8" customFormat="false" ht="15" hidden="false" customHeight="false" outlineLevel="0" collapsed="false">
      <c r="A8" s="0" t="str">
        <f aca="false">Responses!A8</f>
        <v>S006</v>
      </c>
      <c r="B8" s="9" t="n">
        <f aca="false">IF(Responses!B8=Responses!B$2,1,0)</f>
        <v>0</v>
      </c>
      <c r="C8" s="9" t="n">
        <f aca="false">IF(Responses!C8=Responses!C$2,1,0)</f>
        <v>0</v>
      </c>
      <c r="D8" s="9" t="n">
        <f aca="false">IF(Responses!D8=Responses!D$2,1,0)</f>
        <v>0</v>
      </c>
      <c r="E8" s="9" t="n">
        <f aca="false">IF(Responses!E8=Responses!E$2,1,0)</f>
        <v>1</v>
      </c>
      <c r="F8" s="9" t="n">
        <f aca="false">IF(Responses!F8=Responses!F$2,1,0)</f>
        <v>0</v>
      </c>
      <c r="G8" s="9" t="n">
        <f aca="false">IF(Responses!G8=Responses!G$2,1,0)</f>
        <v>0</v>
      </c>
      <c r="H8" s="9" t="n">
        <f aca="false">IF(Responses!H8=Responses!H$2,1,0)</f>
        <v>0</v>
      </c>
      <c r="I8" s="9" t="n">
        <f aca="false">IF(Responses!I8=Responses!I$2,1,0)</f>
        <v>0</v>
      </c>
      <c r="J8" s="9" t="n">
        <f aca="false">IF(Responses!J8=Responses!J$2,1,0)</f>
        <v>1</v>
      </c>
      <c r="K8" s="9" t="n">
        <f aca="false">IF(Responses!K8=Responses!K$2,1,0)</f>
        <v>0</v>
      </c>
      <c r="L8" s="9" t="n">
        <f aca="false">IF(Responses!L8=Responses!L$2,1,0)</f>
        <v>0</v>
      </c>
      <c r="M8" s="9" t="n">
        <f aca="false">IF(Responses!M8=Responses!M$2,1,0)</f>
        <v>1</v>
      </c>
      <c r="N8" s="9" t="n">
        <f aca="false">IF(Responses!N8=Responses!N$2,1,0)</f>
        <v>0</v>
      </c>
      <c r="O8" s="9" t="n">
        <f aca="false">IF(Responses!O8=Responses!O$2,1,0)</f>
        <v>1</v>
      </c>
      <c r="P8" s="9" t="n">
        <f aca="false">IF(Responses!P8=Responses!P$2,1,0)</f>
        <v>0</v>
      </c>
      <c r="Q8" s="9" t="n">
        <f aca="false">IF(Responses!Q8=Responses!Q$2,1,0)</f>
        <v>0</v>
      </c>
      <c r="R8" s="9" t="n">
        <f aca="false">IF(Responses!R8=Responses!R$2,1,0)</f>
        <v>1</v>
      </c>
      <c r="S8" s="9" t="n">
        <f aca="false">IF(Responses!S8=Responses!S$2,1,0)</f>
        <v>0</v>
      </c>
      <c r="T8" s="9" t="n">
        <f aca="false">IF(Responses!T8=Responses!T$2,1,0)</f>
        <v>0</v>
      </c>
      <c r="U8" s="9" t="n">
        <f aca="false">IF(Responses!U8=Responses!U$2,1,0)</f>
        <v>0</v>
      </c>
      <c r="V8" s="9" t="n">
        <f aca="false">IF(Responses!V8=Responses!V$2,1,0)</f>
        <v>1</v>
      </c>
      <c r="W8" s="9" t="n">
        <f aca="false">IF(Responses!W8=Responses!W$2,1,0)</f>
        <v>0</v>
      </c>
      <c r="X8" s="9" t="n">
        <f aca="false">IF(Responses!X8=Responses!X$2,1,0)</f>
        <v>1</v>
      </c>
      <c r="Y8" s="9" t="n">
        <f aca="false">IF(Responses!Y8=Responses!Y$2,1,0)</f>
        <v>0</v>
      </c>
      <c r="Z8" s="9" t="n">
        <f aca="false">IF(Responses!Z8=Responses!Z$2,1,0)</f>
        <v>1</v>
      </c>
      <c r="AA8" s="9" t="n">
        <f aca="false">IF(Responses!AA8=Responses!AA$2,1,0)</f>
        <v>0</v>
      </c>
      <c r="AB8" s="9" t="n">
        <f aca="false">IF(Responses!AB8=Responses!AB$2,1,0)</f>
        <v>0</v>
      </c>
      <c r="AC8" s="9" t="n">
        <f aca="false">IF(Responses!AC8=Responses!AC$2,1,0)</f>
        <v>0</v>
      </c>
      <c r="AD8" s="9" t="n">
        <f aca="false">IF(Responses!AD8=Responses!AD$2,1,0)</f>
        <v>1</v>
      </c>
      <c r="AE8" s="9" t="n">
        <f aca="false">IF(Responses!AE8=Responses!AE$2,1,0)</f>
        <v>1</v>
      </c>
      <c r="AF8" s="9" t="n">
        <f aca="false">SUM(B8:AE8)</f>
        <v>10</v>
      </c>
    </row>
    <row r="9" customFormat="false" ht="15" hidden="false" customHeight="false" outlineLevel="0" collapsed="false">
      <c r="A9" s="0" t="str">
        <f aca="false">Responses!A9</f>
        <v>S007</v>
      </c>
      <c r="B9" s="9" t="n">
        <f aca="false">IF(Responses!B9=Responses!B$2,1,0)</f>
        <v>0</v>
      </c>
      <c r="C9" s="9" t="n">
        <f aca="false">IF(Responses!C9=Responses!C$2,1,0)</f>
        <v>0</v>
      </c>
      <c r="D9" s="9" t="n">
        <f aca="false">IF(Responses!D9=Responses!D$2,1,0)</f>
        <v>0</v>
      </c>
      <c r="E9" s="9" t="n">
        <f aca="false">IF(Responses!E9=Responses!E$2,1,0)</f>
        <v>1</v>
      </c>
      <c r="F9" s="9" t="n">
        <f aca="false">IF(Responses!F9=Responses!F$2,1,0)</f>
        <v>0</v>
      </c>
      <c r="G9" s="9" t="n">
        <f aca="false">IF(Responses!G9=Responses!G$2,1,0)</f>
        <v>0</v>
      </c>
      <c r="H9" s="9" t="n">
        <f aca="false">IF(Responses!H9=Responses!H$2,1,0)</f>
        <v>1</v>
      </c>
      <c r="I9" s="9" t="n">
        <f aca="false">IF(Responses!I9=Responses!I$2,1,0)</f>
        <v>1</v>
      </c>
      <c r="J9" s="9" t="n">
        <f aca="false">IF(Responses!J9=Responses!J$2,1,0)</f>
        <v>1</v>
      </c>
      <c r="K9" s="9" t="n">
        <f aca="false">IF(Responses!K9=Responses!K$2,1,0)</f>
        <v>0</v>
      </c>
      <c r="L9" s="9" t="n">
        <f aca="false">IF(Responses!L9=Responses!L$2,1,0)</f>
        <v>1</v>
      </c>
      <c r="M9" s="9" t="n">
        <f aca="false">IF(Responses!M9=Responses!M$2,1,0)</f>
        <v>1</v>
      </c>
      <c r="N9" s="9" t="n">
        <f aca="false">IF(Responses!N9=Responses!N$2,1,0)</f>
        <v>1</v>
      </c>
      <c r="O9" s="9" t="n">
        <f aca="false">IF(Responses!O9=Responses!O$2,1,0)</f>
        <v>1</v>
      </c>
      <c r="P9" s="9" t="n">
        <f aca="false">IF(Responses!P9=Responses!P$2,1,0)</f>
        <v>1</v>
      </c>
      <c r="Q9" s="9" t="n">
        <f aca="false">IF(Responses!Q9=Responses!Q$2,1,0)</f>
        <v>1</v>
      </c>
      <c r="R9" s="9" t="n">
        <f aca="false">IF(Responses!R9=Responses!R$2,1,0)</f>
        <v>1</v>
      </c>
      <c r="S9" s="9" t="n">
        <f aca="false">IF(Responses!S9=Responses!S$2,1,0)</f>
        <v>0</v>
      </c>
      <c r="T9" s="9" t="n">
        <f aca="false">IF(Responses!T9=Responses!T$2,1,0)</f>
        <v>0</v>
      </c>
      <c r="U9" s="9" t="n">
        <f aca="false">IF(Responses!U9=Responses!U$2,1,0)</f>
        <v>0</v>
      </c>
      <c r="V9" s="9" t="n">
        <f aca="false">IF(Responses!V9=Responses!V$2,1,0)</f>
        <v>0</v>
      </c>
      <c r="W9" s="9" t="n">
        <f aca="false">IF(Responses!W9=Responses!W$2,1,0)</f>
        <v>0</v>
      </c>
      <c r="X9" s="9" t="n">
        <f aca="false">IF(Responses!X9=Responses!X$2,1,0)</f>
        <v>1</v>
      </c>
      <c r="Y9" s="9" t="n">
        <f aca="false">IF(Responses!Y9=Responses!Y$2,1,0)</f>
        <v>0</v>
      </c>
      <c r="Z9" s="9" t="n">
        <f aca="false">IF(Responses!Z9=Responses!Z$2,1,0)</f>
        <v>0</v>
      </c>
      <c r="AA9" s="9" t="n">
        <f aca="false">IF(Responses!AA9=Responses!AA$2,1,0)</f>
        <v>1</v>
      </c>
      <c r="AB9" s="9" t="n">
        <f aca="false">IF(Responses!AB9=Responses!AB$2,1,0)</f>
        <v>1</v>
      </c>
      <c r="AC9" s="9" t="n">
        <f aca="false">IF(Responses!AC9=Responses!AC$2,1,0)</f>
        <v>1</v>
      </c>
      <c r="AD9" s="9" t="n">
        <f aca="false">IF(Responses!AD9=Responses!AD$2,1,0)</f>
        <v>0</v>
      </c>
      <c r="AE9" s="9" t="n">
        <f aca="false">IF(Responses!AE9=Responses!AE$2,1,0)</f>
        <v>1</v>
      </c>
      <c r="AF9" s="9" t="n">
        <f aca="false">SUM(B9:AE9)</f>
        <v>16</v>
      </c>
    </row>
    <row r="10" customFormat="false" ht="15" hidden="false" customHeight="false" outlineLevel="0" collapsed="false">
      <c r="A10" s="0" t="str">
        <f aca="false">Responses!A10</f>
        <v>S008</v>
      </c>
      <c r="B10" s="9" t="n">
        <f aca="false">IF(Responses!B10=Responses!B$2,1,0)</f>
        <v>0</v>
      </c>
      <c r="C10" s="9" t="n">
        <f aca="false">IF(Responses!C10=Responses!C$2,1,0)</f>
        <v>1</v>
      </c>
      <c r="D10" s="9" t="n">
        <f aca="false">IF(Responses!D10=Responses!D$2,1,0)</f>
        <v>1</v>
      </c>
      <c r="E10" s="9" t="n">
        <f aca="false">IF(Responses!E10=Responses!E$2,1,0)</f>
        <v>1</v>
      </c>
      <c r="F10" s="9" t="n">
        <f aca="false">IF(Responses!F10=Responses!F$2,1,0)</f>
        <v>0</v>
      </c>
      <c r="G10" s="9" t="n">
        <f aca="false">IF(Responses!G10=Responses!G$2,1,0)</f>
        <v>0</v>
      </c>
      <c r="H10" s="9" t="n">
        <f aca="false">IF(Responses!H10=Responses!H$2,1,0)</f>
        <v>0</v>
      </c>
      <c r="I10" s="9" t="n">
        <f aca="false">IF(Responses!I10=Responses!I$2,1,0)</f>
        <v>1</v>
      </c>
      <c r="J10" s="9" t="n">
        <f aca="false">IF(Responses!J10=Responses!J$2,1,0)</f>
        <v>1</v>
      </c>
      <c r="K10" s="9" t="n">
        <f aca="false">IF(Responses!K10=Responses!K$2,1,0)</f>
        <v>0</v>
      </c>
      <c r="L10" s="9" t="n">
        <f aca="false">IF(Responses!L10=Responses!L$2,1,0)</f>
        <v>0</v>
      </c>
      <c r="M10" s="9" t="n">
        <f aca="false">IF(Responses!M10=Responses!M$2,1,0)</f>
        <v>1</v>
      </c>
      <c r="N10" s="9" t="n">
        <f aca="false">IF(Responses!N10=Responses!N$2,1,0)</f>
        <v>0</v>
      </c>
      <c r="O10" s="9" t="n">
        <f aca="false">IF(Responses!O10=Responses!O$2,1,0)</f>
        <v>1</v>
      </c>
      <c r="P10" s="9" t="n">
        <f aca="false">IF(Responses!P10=Responses!P$2,1,0)</f>
        <v>1</v>
      </c>
      <c r="Q10" s="9" t="n">
        <f aca="false">IF(Responses!Q10=Responses!Q$2,1,0)</f>
        <v>1</v>
      </c>
      <c r="R10" s="9" t="n">
        <f aca="false">IF(Responses!R10=Responses!R$2,1,0)</f>
        <v>0</v>
      </c>
      <c r="S10" s="9" t="n">
        <f aca="false">IF(Responses!S10=Responses!S$2,1,0)</f>
        <v>0</v>
      </c>
      <c r="T10" s="9" t="n">
        <f aca="false">IF(Responses!T10=Responses!T$2,1,0)</f>
        <v>0</v>
      </c>
      <c r="U10" s="9" t="n">
        <f aca="false">IF(Responses!U10=Responses!U$2,1,0)</f>
        <v>1</v>
      </c>
      <c r="V10" s="9" t="n">
        <f aca="false">IF(Responses!V10=Responses!V$2,1,0)</f>
        <v>1</v>
      </c>
      <c r="W10" s="9" t="n">
        <f aca="false">IF(Responses!W10=Responses!W$2,1,0)</f>
        <v>1</v>
      </c>
      <c r="X10" s="9" t="n">
        <f aca="false">IF(Responses!X10=Responses!X$2,1,0)</f>
        <v>1</v>
      </c>
      <c r="Y10" s="9" t="n">
        <f aca="false">IF(Responses!Y10=Responses!Y$2,1,0)</f>
        <v>0</v>
      </c>
      <c r="Z10" s="9" t="n">
        <f aca="false">IF(Responses!Z10=Responses!Z$2,1,0)</f>
        <v>1</v>
      </c>
      <c r="AA10" s="9" t="n">
        <f aca="false">IF(Responses!AA10=Responses!AA$2,1,0)</f>
        <v>1</v>
      </c>
      <c r="AB10" s="9" t="n">
        <f aca="false">IF(Responses!AB10=Responses!AB$2,1,0)</f>
        <v>0</v>
      </c>
      <c r="AC10" s="9" t="n">
        <f aca="false">IF(Responses!AC10=Responses!AC$2,1,0)</f>
        <v>1</v>
      </c>
      <c r="AD10" s="9" t="n">
        <f aca="false">IF(Responses!AD10=Responses!AD$2,1,0)</f>
        <v>0</v>
      </c>
      <c r="AE10" s="9" t="n">
        <f aca="false">IF(Responses!AE10=Responses!AE$2,1,0)</f>
        <v>1</v>
      </c>
      <c r="AF10" s="9" t="n">
        <f aca="false">SUM(B10:AE10)</f>
        <v>17</v>
      </c>
    </row>
    <row r="11" customFormat="false" ht="15" hidden="false" customHeight="false" outlineLevel="0" collapsed="false">
      <c r="A11" s="0" t="str">
        <f aca="false">Responses!A11</f>
        <v>S009</v>
      </c>
      <c r="B11" s="9" t="n">
        <f aca="false">IF(Responses!B11=Responses!B$2,1,0)</f>
        <v>1</v>
      </c>
      <c r="C11" s="9" t="n">
        <f aca="false">IF(Responses!C11=Responses!C$2,1,0)</f>
        <v>0</v>
      </c>
      <c r="D11" s="9" t="n">
        <f aca="false">IF(Responses!D11=Responses!D$2,1,0)</f>
        <v>0</v>
      </c>
      <c r="E11" s="9" t="n">
        <f aca="false">IF(Responses!E11=Responses!E$2,1,0)</f>
        <v>1</v>
      </c>
      <c r="F11" s="9" t="n">
        <f aca="false">IF(Responses!F11=Responses!F$2,1,0)</f>
        <v>0</v>
      </c>
      <c r="G11" s="9" t="n">
        <f aca="false">IF(Responses!G11=Responses!G$2,1,0)</f>
        <v>0</v>
      </c>
      <c r="H11" s="9" t="n">
        <f aca="false">IF(Responses!H11=Responses!H$2,1,0)</f>
        <v>0</v>
      </c>
      <c r="I11" s="9" t="n">
        <f aca="false">IF(Responses!I11=Responses!I$2,1,0)</f>
        <v>0</v>
      </c>
      <c r="J11" s="9" t="n">
        <f aca="false">IF(Responses!J11=Responses!J$2,1,0)</f>
        <v>1</v>
      </c>
      <c r="K11" s="9" t="n">
        <f aca="false">IF(Responses!K11=Responses!K$2,1,0)</f>
        <v>0</v>
      </c>
      <c r="L11" s="9" t="n">
        <f aca="false">IF(Responses!L11=Responses!L$2,1,0)</f>
        <v>0</v>
      </c>
      <c r="M11" s="9" t="n">
        <f aca="false">IF(Responses!M11=Responses!M$2,1,0)</f>
        <v>1</v>
      </c>
      <c r="N11" s="9" t="n">
        <f aca="false">IF(Responses!N11=Responses!N$2,1,0)</f>
        <v>0</v>
      </c>
      <c r="O11" s="9" t="n">
        <f aca="false">IF(Responses!O11=Responses!O$2,1,0)</f>
        <v>0</v>
      </c>
      <c r="P11" s="9" t="n">
        <f aca="false">IF(Responses!P11=Responses!P$2,1,0)</f>
        <v>0</v>
      </c>
      <c r="Q11" s="9" t="n">
        <f aca="false">IF(Responses!Q11=Responses!Q$2,1,0)</f>
        <v>1</v>
      </c>
      <c r="R11" s="9" t="n">
        <f aca="false">IF(Responses!R11=Responses!R$2,1,0)</f>
        <v>1</v>
      </c>
      <c r="S11" s="9" t="n">
        <f aca="false">IF(Responses!S11=Responses!S$2,1,0)</f>
        <v>0</v>
      </c>
      <c r="T11" s="9" t="n">
        <f aca="false">IF(Responses!T11=Responses!T$2,1,0)</f>
        <v>0</v>
      </c>
      <c r="U11" s="9" t="n">
        <f aca="false">IF(Responses!U11=Responses!U$2,1,0)</f>
        <v>0</v>
      </c>
      <c r="V11" s="9" t="n">
        <f aca="false">IF(Responses!V11=Responses!V$2,1,0)</f>
        <v>1</v>
      </c>
      <c r="W11" s="9" t="n">
        <f aca="false">IF(Responses!W11=Responses!W$2,1,0)</f>
        <v>0</v>
      </c>
      <c r="X11" s="9" t="n">
        <f aca="false">IF(Responses!X11=Responses!X$2,1,0)</f>
        <v>1</v>
      </c>
      <c r="Y11" s="9" t="n">
        <f aca="false">IF(Responses!Y11=Responses!Y$2,1,0)</f>
        <v>0</v>
      </c>
      <c r="Z11" s="9" t="n">
        <f aca="false">IF(Responses!Z11=Responses!Z$2,1,0)</f>
        <v>0</v>
      </c>
      <c r="AA11" s="9" t="n">
        <f aca="false">IF(Responses!AA11=Responses!AA$2,1,0)</f>
        <v>0</v>
      </c>
      <c r="AB11" s="9" t="n">
        <f aca="false">IF(Responses!AB11=Responses!AB$2,1,0)</f>
        <v>1</v>
      </c>
      <c r="AC11" s="9" t="n">
        <f aca="false">IF(Responses!AC11=Responses!AC$2,1,0)</f>
        <v>0</v>
      </c>
      <c r="AD11" s="9" t="n">
        <f aca="false">IF(Responses!AD11=Responses!AD$2,1,0)</f>
        <v>0</v>
      </c>
      <c r="AE11" s="9" t="n">
        <f aca="false">IF(Responses!AE11=Responses!AE$2,1,0)</f>
        <v>0</v>
      </c>
      <c r="AF11" s="9" t="n">
        <f aca="false">SUM(B11:AE11)</f>
        <v>9</v>
      </c>
    </row>
    <row r="12" customFormat="false" ht="15" hidden="false" customHeight="false" outlineLevel="0" collapsed="false">
      <c r="A12" s="0" t="str">
        <f aca="false">Responses!A12</f>
        <v>S010</v>
      </c>
      <c r="B12" s="9" t="n">
        <f aca="false">IF(Responses!B12=Responses!B$2,1,0)</f>
        <v>0</v>
      </c>
      <c r="C12" s="9" t="n">
        <f aca="false">IF(Responses!C12=Responses!C$2,1,0)</f>
        <v>1</v>
      </c>
      <c r="D12" s="9" t="n">
        <f aca="false">IF(Responses!D12=Responses!D$2,1,0)</f>
        <v>0</v>
      </c>
      <c r="E12" s="9" t="n">
        <f aca="false">IF(Responses!E12=Responses!E$2,1,0)</f>
        <v>1</v>
      </c>
      <c r="F12" s="9" t="n">
        <f aca="false">IF(Responses!F12=Responses!F$2,1,0)</f>
        <v>1</v>
      </c>
      <c r="G12" s="9" t="n">
        <f aca="false">IF(Responses!G12=Responses!G$2,1,0)</f>
        <v>0</v>
      </c>
      <c r="H12" s="9" t="n">
        <f aca="false">IF(Responses!H12=Responses!H$2,1,0)</f>
        <v>0</v>
      </c>
      <c r="I12" s="9" t="n">
        <f aca="false">IF(Responses!I12=Responses!I$2,1,0)</f>
        <v>0</v>
      </c>
      <c r="J12" s="9" t="n">
        <f aca="false">IF(Responses!J12=Responses!J$2,1,0)</f>
        <v>1</v>
      </c>
      <c r="K12" s="9" t="n">
        <f aca="false">IF(Responses!K12=Responses!K$2,1,0)</f>
        <v>1</v>
      </c>
      <c r="L12" s="9" t="n">
        <f aca="false">IF(Responses!L12=Responses!L$2,1,0)</f>
        <v>0</v>
      </c>
      <c r="M12" s="9" t="n">
        <f aca="false">IF(Responses!M12=Responses!M$2,1,0)</f>
        <v>1</v>
      </c>
      <c r="N12" s="9" t="n">
        <f aca="false">IF(Responses!N12=Responses!N$2,1,0)</f>
        <v>0</v>
      </c>
      <c r="O12" s="9" t="n">
        <f aca="false">IF(Responses!O12=Responses!O$2,1,0)</f>
        <v>1</v>
      </c>
      <c r="P12" s="9" t="n">
        <f aca="false">IF(Responses!P12=Responses!P$2,1,0)</f>
        <v>0</v>
      </c>
      <c r="Q12" s="9" t="n">
        <f aca="false">IF(Responses!Q12=Responses!Q$2,1,0)</f>
        <v>1</v>
      </c>
      <c r="R12" s="9" t="n">
        <f aca="false">IF(Responses!R12=Responses!R$2,1,0)</f>
        <v>1</v>
      </c>
      <c r="S12" s="9" t="n">
        <f aca="false">IF(Responses!S12=Responses!S$2,1,0)</f>
        <v>1</v>
      </c>
      <c r="T12" s="9" t="n">
        <f aca="false">IF(Responses!T12=Responses!T$2,1,0)</f>
        <v>1</v>
      </c>
      <c r="U12" s="9" t="n">
        <f aca="false">IF(Responses!U12=Responses!U$2,1,0)</f>
        <v>0</v>
      </c>
      <c r="V12" s="9" t="n">
        <f aca="false">IF(Responses!V12=Responses!V$2,1,0)</f>
        <v>1</v>
      </c>
      <c r="W12" s="9" t="n">
        <f aca="false">IF(Responses!W12=Responses!W$2,1,0)</f>
        <v>0</v>
      </c>
      <c r="X12" s="9" t="n">
        <f aca="false">IF(Responses!X12=Responses!X$2,1,0)</f>
        <v>0</v>
      </c>
      <c r="Y12" s="9" t="n">
        <f aca="false">IF(Responses!Y12=Responses!Y$2,1,0)</f>
        <v>0</v>
      </c>
      <c r="Z12" s="9" t="n">
        <f aca="false">IF(Responses!Z12=Responses!Z$2,1,0)</f>
        <v>1</v>
      </c>
      <c r="AA12" s="9" t="n">
        <f aca="false">IF(Responses!AA12=Responses!AA$2,1,0)</f>
        <v>1</v>
      </c>
      <c r="AB12" s="9" t="n">
        <f aca="false">IF(Responses!AB12=Responses!AB$2,1,0)</f>
        <v>1</v>
      </c>
      <c r="AC12" s="9" t="n">
        <f aca="false">IF(Responses!AC12=Responses!AC$2,1,0)</f>
        <v>0</v>
      </c>
      <c r="AD12" s="9" t="n">
        <f aca="false">IF(Responses!AD12=Responses!AD$2,1,0)</f>
        <v>0</v>
      </c>
      <c r="AE12" s="9" t="n">
        <f aca="false">IF(Responses!AE12=Responses!AE$2,1,0)</f>
        <v>0</v>
      </c>
      <c r="AF12" s="9" t="n">
        <f aca="false">SUM(B12:AE12)</f>
        <v>15</v>
      </c>
    </row>
    <row r="13" customFormat="false" ht="15" hidden="false" customHeight="false" outlineLevel="0" collapsed="false">
      <c r="A13" s="0" t="str">
        <f aca="false">Responses!A13</f>
        <v>S011</v>
      </c>
      <c r="B13" s="9" t="n">
        <f aca="false">IF(Responses!B13=Responses!B$2,1,0)</f>
        <v>0</v>
      </c>
      <c r="C13" s="9" t="n">
        <f aca="false">IF(Responses!C13=Responses!C$2,1,0)</f>
        <v>0</v>
      </c>
      <c r="D13" s="9" t="n">
        <f aca="false">IF(Responses!D13=Responses!D$2,1,0)</f>
        <v>1</v>
      </c>
      <c r="E13" s="9" t="n">
        <f aca="false">IF(Responses!E13=Responses!E$2,1,0)</f>
        <v>1</v>
      </c>
      <c r="F13" s="9" t="n">
        <f aca="false">IF(Responses!F13=Responses!F$2,1,0)</f>
        <v>1</v>
      </c>
      <c r="G13" s="9" t="n">
        <f aca="false">IF(Responses!G13=Responses!G$2,1,0)</f>
        <v>1</v>
      </c>
      <c r="H13" s="9" t="n">
        <f aca="false">IF(Responses!H13=Responses!H$2,1,0)</f>
        <v>0</v>
      </c>
      <c r="I13" s="9" t="n">
        <f aca="false">IF(Responses!I13=Responses!I$2,1,0)</f>
        <v>1</v>
      </c>
      <c r="J13" s="9" t="n">
        <f aca="false">IF(Responses!J13=Responses!J$2,1,0)</f>
        <v>1</v>
      </c>
      <c r="K13" s="9" t="n">
        <f aca="false">IF(Responses!K13=Responses!K$2,1,0)</f>
        <v>0</v>
      </c>
      <c r="L13" s="9" t="n">
        <f aca="false">IF(Responses!L13=Responses!L$2,1,0)</f>
        <v>1</v>
      </c>
      <c r="M13" s="9" t="n">
        <f aca="false">IF(Responses!M13=Responses!M$2,1,0)</f>
        <v>1</v>
      </c>
      <c r="N13" s="9" t="n">
        <f aca="false">IF(Responses!N13=Responses!N$2,1,0)</f>
        <v>0</v>
      </c>
      <c r="O13" s="9" t="n">
        <f aca="false">IF(Responses!O13=Responses!O$2,1,0)</f>
        <v>1</v>
      </c>
      <c r="P13" s="9" t="n">
        <f aca="false">IF(Responses!P13=Responses!P$2,1,0)</f>
        <v>1</v>
      </c>
      <c r="Q13" s="9" t="n">
        <f aca="false">IF(Responses!Q13=Responses!Q$2,1,0)</f>
        <v>1</v>
      </c>
      <c r="R13" s="9" t="n">
        <f aca="false">IF(Responses!R13=Responses!R$2,1,0)</f>
        <v>1</v>
      </c>
      <c r="S13" s="9" t="n">
        <f aca="false">IF(Responses!S13=Responses!S$2,1,0)</f>
        <v>0</v>
      </c>
      <c r="T13" s="9" t="n">
        <f aca="false">IF(Responses!T13=Responses!T$2,1,0)</f>
        <v>1</v>
      </c>
      <c r="U13" s="9" t="n">
        <f aca="false">IF(Responses!U13=Responses!U$2,1,0)</f>
        <v>1</v>
      </c>
      <c r="V13" s="9" t="n">
        <f aca="false">IF(Responses!V13=Responses!V$2,1,0)</f>
        <v>1</v>
      </c>
      <c r="W13" s="9" t="n">
        <f aca="false">IF(Responses!W13=Responses!W$2,1,0)</f>
        <v>1</v>
      </c>
      <c r="X13" s="9" t="n">
        <f aca="false">IF(Responses!X13=Responses!X$2,1,0)</f>
        <v>1</v>
      </c>
      <c r="Y13" s="9" t="n">
        <f aca="false">IF(Responses!Y13=Responses!Y$2,1,0)</f>
        <v>1</v>
      </c>
      <c r="Z13" s="9" t="n">
        <f aca="false">IF(Responses!Z13=Responses!Z$2,1,0)</f>
        <v>0</v>
      </c>
      <c r="AA13" s="9" t="n">
        <f aca="false">IF(Responses!AA13=Responses!AA$2,1,0)</f>
        <v>1</v>
      </c>
      <c r="AB13" s="9" t="n">
        <f aca="false">IF(Responses!AB13=Responses!AB$2,1,0)</f>
        <v>1</v>
      </c>
      <c r="AC13" s="9" t="n">
        <f aca="false">IF(Responses!AC13=Responses!AC$2,1,0)</f>
        <v>0</v>
      </c>
      <c r="AD13" s="9" t="n">
        <f aca="false">IF(Responses!AD13=Responses!AD$2,1,0)</f>
        <v>0</v>
      </c>
      <c r="AE13" s="9" t="n">
        <f aca="false">IF(Responses!AE13=Responses!AE$2,1,0)</f>
        <v>1</v>
      </c>
      <c r="AF13" s="9" t="n">
        <f aca="false">SUM(B13:AE13)</f>
        <v>21</v>
      </c>
    </row>
    <row r="14" customFormat="false" ht="15" hidden="false" customHeight="false" outlineLevel="0" collapsed="false">
      <c r="A14" s="0" t="str">
        <f aca="false">Responses!A14</f>
        <v>S012</v>
      </c>
      <c r="B14" s="9" t="n">
        <f aca="false">IF(Responses!B14=Responses!B$2,1,0)</f>
        <v>1</v>
      </c>
      <c r="C14" s="9" t="n">
        <f aca="false">IF(Responses!C14=Responses!C$2,1,0)</f>
        <v>1</v>
      </c>
      <c r="D14" s="9" t="n">
        <f aca="false">IF(Responses!D14=Responses!D$2,1,0)</f>
        <v>0</v>
      </c>
      <c r="E14" s="9" t="n">
        <f aca="false">IF(Responses!E14=Responses!E$2,1,0)</f>
        <v>1</v>
      </c>
      <c r="F14" s="9" t="n">
        <f aca="false">IF(Responses!F14=Responses!F$2,1,0)</f>
        <v>0</v>
      </c>
      <c r="G14" s="9" t="n">
        <f aca="false">IF(Responses!G14=Responses!G$2,1,0)</f>
        <v>1</v>
      </c>
      <c r="H14" s="9" t="n">
        <f aca="false">IF(Responses!H14=Responses!H$2,1,0)</f>
        <v>0</v>
      </c>
      <c r="I14" s="9" t="n">
        <f aca="false">IF(Responses!I14=Responses!I$2,1,0)</f>
        <v>1</v>
      </c>
      <c r="J14" s="9" t="n">
        <f aca="false">IF(Responses!J14=Responses!J$2,1,0)</f>
        <v>1</v>
      </c>
      <c r="K14" s="9" t="n">
        <f aca="false">IF(Responses!K14=Responses!K$2,1,0)</f>
        <v>1</v>
      </c>
      <c r="L14" s="9" t="n">
        <f aca="false">IF(Responses!L14=Responses!L$2,1,0)</f>
        <v>1</v>
      </c>
      <c r="M14" s="9" t="n">
        <f aca="false">IF(Responses!M14=Responses!M$2,1,0)</f>
        <v>1</v>
      </c>
      <c r="N14" s="9" t="n">
        <f aca="false">IF(Responses!N14=Responses!N$2,1,0)</f>
        <v>1</v>
      </c>
      <c r="O14" s="9" t="n">
        <f aca="false">IF(Responses!O14=Responses!O$2,1,0)</f>
        <v>1</v>
      </c>
      <c r="P14" s="9" t="n">
        <f aca="false">IF(Responses!P14=Responses!P$2,1,0)</f>
        <v>0</v>
      </c>
      <c r="Q14" s="9" t="n">
        <f aca="false">IF(Responses!Q14=Responses!Q$2,1,0)</f>
        <v>1</v>
      </c>
      <c r="R14" s="9" t="n">
        <f aca="false">IF(Responses!R14=Responses!R$2,1,0)</f>
        <v>1</v>
      </c>
      <c r="S14" s="9" t="n">
        <f aca="false">IF(Responses!S14=Responses!S$2,1,0)</f>
        <v>0</v>
      </c>
      <c r="T14" s="9" t="n">
        <f aca="false">IF(Responses!T14=Responses!T$2,1,0)</f>
        <v>1</v>
      </c>
      <c r="U14" s="9" t="n">
        <f aca="false">IF(Responses!U14=Responses!U$2,1,0)</f>
        <v>1</v>
      </c>
      <c r="V14" s="9" t="n">
        <f aca="false">IF(Responses!V14=Responses!V$2,1,0)</f>
        <v>0</v>
      </c>
      <c r="W14" s="9" t="n">
        <f aca="false">IF(Responses!W14=Responses!W$2,1,0)</f>
        <v>1</v>
      </c>
      <c r="X14" s="9" t="n">
        <f aca="false">IF(Responses!X14=Responses!X$2,1,0)</f>
        <v>1</v>
      </c>
      <c r="Y14" s="9" t="n">
        <f aca="false">IF(Responses!Y14=Responses!Y$2,1,0)</f>
        <v>1</v>
      </c>
      <c r="Z14" s="9" t="n">
        <f aca="false">IF(Responses!Z14=Responses!Z$2,1,0)</f>
        <v>1</v>
      </c>
      <c r="AA14" s="9" t="n">
        <f aca="false">IF(Responses!AA14=Responses!AA$2,1,0)</f>
        <v>1</v>
      </c>
      <c r="AB14" s="9" t="n">
        <f aca="false">IF(Responses!AB14=Responses!AB$2,1,0)</f>
        <v>1</v>
      </c>
      <c r="AC14" s="9" t="n">
        <f aca="false">IF(Responses!AC14=Responses!AC$2,1,0)</f>
        <v>1</v>
      </c>
      <c r="AD14" s="9" t="n">
        <f aca="false">IF(Responses!AD14=Responses!AD$2,1,0)</f>
        <v>0</v>
      </c>
      <c r="AE14" s="9" t="n">
        <f aca="false">IF(Responses!AE14=Responses!AE$2,1,0)</f>
        <v>1</v>
      </c>
      <c r="AF14" s="9" t="n">
        <f aca="false">SUM(B14:AE14)</f>
        <v>23</v>
      </c>
    </row>
    <row r="15" customFormat="false" ht="15" hidden="false" customHeight="false" outlineLevel="0" collapsed="false">
      <c r="A15" s="0" t="str">
        <f aca="false">Responses!A15</f>
        <v>S013</v>
      </c>
      <c r="B15" s="9" t="n">
        <f aca="false">IF(Responses!B15=Responses!B$2,1,0)</f>
        <v>1</v>
      </c>
      <c r="C15" s="9" t="n">
        <f aca="false">IF(Responses!C15=Responses!C$2,1,0)</f>
        <v>1</v>
      </c>
      <c r="D15" s="9" t="n">
        <f aca="false">IF(Responses!D15=Responses!D$2,1,0)</f>
        <v>0</v>
      </c>
      <c r="E15" s="9" t="n">
        <f aca="false">IF(Responses!E15=Responses!E$2,1,0)</f>
        <v>0</v>
      </c>
      <c r="F15" s="9" t="n">
        <f aca="false">IF(Responses!F15=Responses!F$2,1,0)</f>
        <v>1</v>
      </c>
      <c r="G15" s="9" t="n">
        <f aca="false">IF(Responses!G15=Responses!G$2,1,0)</f>
        <v>1</v>
      </c>
      <c r="H15" s="9" t="n">
        <f aca="false">IF(Responses!H15=Responses!H$2,1,0)</f>
        <v>0</v>
      </c>
      <c r="I15" s="9" t="n">
        <f aca="false">IF(Responses!I15=Responses!I$2,1,0)</f>
        <v>1</v>
      </c>
      <c r="J15" s="9" t="n">
        <f aca="false">IF(Responses!J15=Responses!J$2,1,0)</f>
        <v>1</v>
      </c>
      <c r="K15" s="9" t="n">
        <f aca="false">IF(Responses!K15=Responses!K$2,1,0)</f>
        <v>0</v>
      </c>
      <c r="L15" s="9" t="n">
        <f aca="false">IF(Responses!L15=Responses!L$2,1,0)</f>
        <v>1</v>
      </c>
      <c r="M15" s="9" t="n">
        <f aca="false">IF(Responses!M15=Responses!M$2,1,0)</f>
        <v>1</v>
      </c>
      <c r="N15" s="9" t="n">
        <f aca="false">IF(Responses!N15=Responses!N$2,1,0)</f>
        <v>0</v>
      </c>
      <c r="O15" s="9" t="n">
        <f aca="false">IF(Responses!O15=Responses!O$2,1,0)</f>
        <v>0</v>
      </c>
      <c r="P15" s="9" t="n">
        <f aca="false">IF(Responses!P15=Responses!P$2,1,0)</f>
        <v>0</v>
      </c>
      <c r="Q15" s="9" t="n">
        <f aca="false">IF(Responses!Q15=Responses!Q$2,1,0)</f>
        <v>1</v>
      </c>
      <c r="R15" s="9" t="n">
        <f aca="false">IF(Responses!R15=Responses!R$2,1,0)</f>
        <v>1</v>
      </c>
      <c r="S15" s="9" t="n">
        <f aca="false">IF(Responses!S15=Responses!S$2,1,0)</f>
        <v>0</v>
      </c>
      <c r="T15" s="9" t="n">
        <f aca="false">IF(Responses!T15=Responses!T$2,1,0)</f>
        <v>0</v>
      </c>
      <c r="U15" s="9" t="n">
        <f aca="false">IF(Responses!U15=Responses!U$2,1,0)</f>
        <v>0</v>
      </c>
      <c r="V15" s="9" t="n">
        <f aca="false">IF(Responses!V15=Responses!V$2,1,0)</f>
        <v>1</v>
      </c>
      <c r="W15" s="9" t="n">
        <f aca="false">IF(Responses!W15=Responses!W$2,1,0)</f>
        <v>1</v>
      </c>
      <c r="X15" s="9" t="n">
        <f aca="false">IF(Responses!X15=Responses!X$2,1,0)</f>
        <v>0</v>
      </c>
      <c r="Y15" s="9" t="n">
        <f aca="false">IF(Responses!Y15=Responses!Y$2,1,0)</f>
        <v>0</v>
      </c>
      <c r="Z15" s="9" t="n">
        <f aca="false">IF(Responses!Z15=Responses!Z$2,1,0)</f>
        <v>1</v>
      </c>
      <c r="AA15" s="9" t="n">
        <f aca="false">IF(Responses!AA15=Responses!AA$2,1,0)</f>
        <v>0</v>
      </c>
      <c r="AB15" s="9" t="n">
        <f aca="false">IF(Responses!AB15=Responses!AB$2,1,0)</f>
        <v>1</v>
      </c>
      <c r="AC15" s="9" t="n">
        <f aca="false">IF(Responses!AC15=Responses!AC$2,1,0)</f>
        <v>1</v>
      </c>
      <c r="AD15" s="9" t="n">
        <f aca="false">IF(Responses!AD15=Responses!AD$2,1,0)</f>
        <v>0</v>
      </c>
      <c r="AE15" s="9" t="n">
        <f aca="false">IF(Responses!AE15=Responses!AE$2,1,0)</f>
        <v>1</v>
      </c>
      <c r="AF15" s="9" t="n">
        <f aca="false">SUM(B15:AE15)</f>
        <v>16</v>
      </c>
    </row>
    <row r="16" customFormat="false" ht="15" hidden="false" customHeight="false" outlineLevel="0" collapsed="false">
      <c r="A16" s="0" t="str">
        <f aca="false">Responses!A16</f>
        <v>S014</v>
      </c>
      <c r="B16" s="9" t="n">
        <f aca="false">IF(Responses!B16=Responses!B$2,1,0)</f>
        <v>0</v>
      </c>
      <c r="C16" s="9" t="n">
        <f aca="false">IF(Responses!C16=Responses!C$2,1,0)</f>
        <v>0</v>
      </c>
      <c r="D16" s="9" t="n">
        <f aca="false">IF(Responses!D16=Responses!D$2,1,0)</f>
        <v>0</v>
      </c>
      <c r="E16" s="9" t="n">
        <f aca="false">IF(Responses!E16=Responses!E$2,1,0)</f>
        <v>1</v>
      </c>
      <c r="F16" s="9" t="n">
        <f aca="false">IF(Responses!F16=Responses!F$2,1,0)</f>
        <v>0</v>
      </c>
      <c r="G16" s="9" t="n">
        <f aca="false">IF(Responses!G16=Responses!G$2,1,0)</f>
        <v>0</v>
      </c>
      <c r="H16" s="9" t="n">
        <f aca="false">IF(Responses!H16=Responses!H$2,1,0)</f>
        <v>0</v>
      </c>
      <c r="I16" s="9" t="n">
        <f aca="false">IF(Responses!I16=Responses!I$2,1,0)</f>
        <v>0</v>
      </c>
      <c r="J16" s="9" t="n">
        <f aca="false">IF(Responses!J16=Responses!J$2,1,0)</f>
        <v>1</v>
      </c>
      <c r="K16" s="9" t="n">
        <f aca="false">IF(Responses!K16=Responses!K$2,1,0)</f>
        <v>0</v>
      </c>
      <c r="L16" s="9" t="n">
        <f aca="false">IF(Responses!L16=Responses!L$2,1,0)</f>
        <v>1</v>
      </c>
      <c r="M16" s="9" t="n">
        <f aca="false">IF(Responses!M16=Responses!M$2,1,0)</f>
        <v>1</v>
      </c>
      <c r="N16" s="9" t="n">
        <f aca="false">IF(Responses!N16=Responses!N$2,1,0)</f>
        <v>1</v>
      </c>
      <c r="O16" s="9" t="n">
        <f aca="false">IF(Responses!O16=Responses!O$2,1,0)</f>
        <v>0</v>
      </c>
      <c r="P16" s="9" t="n">
        <f aca="false">IF(Responses!P16=Responses!P$2,1,0)</f>
        <v>1</v>
      </c>
      <c r="Q16" s="9" t="n">
        <f aca="false">IF(Responses!Q16=Responses!Q$2,1,0)</f>
        <v>1</v>
      </c>
      <c r="R16" s="9" t="n">
        <f aca="false">IF(Responses!R16=Responses!R$2,1,0)</f>
        <v>1</v>
      </c>
      <c r="S16" s="9" t="n">
        <f aca="false">IF(Responses!S16=Responses!S$2,1,0)</f>
        <v>0</v>
      </c>
      <c r="T16" s="9" t="n">
        <f aca="false">IF(Responses!T16=Responses!T$2,1,0)</f>
        <v>1</v>
      </c>
      <c r="U16" s="9" t="n">
        <f aca="false">IF(Responses!U16=Responses!U$2,1,0)</f>
        <v>1</v>
      </c>
      <c r="V16" s="9" t="n">
        <f aca="false">IF(Responses!V16=Responses!V$2,1,0)</f>
        <v>0</v>
      </c>
      <c r="W16" s="9" t="n">
        <f aca="false">IF(Responses!W16=Responses!W$2,1,0)</f>
        <v>0</v>
      </c>
      <c r="X16" s="9" t="n">
        <f aca="false">IF(Responses!X16=Responses!X$2,1,0)</f>
        <v>0</v>
      </c>
      <c r="Y16" s="9" t="n">
        <f aca="false">IF(Responses!Y16=Responses!Y$2,1,0)</f>
        <v>1</v>
      </c>
      <c r="Z16" s="9" t="n">
        <f aca="false">IF(Responses!Z16=Responses!Z$2,1,0)</f>
        <v>0</v>
      </c>
      <c r="AA16" s="9" t="n">
        <f aca="false">IF(Responses!AA16=Responses!AA$2,1,0)</f>
        <v>0</v>
      </c>
      <c r="AB16" s="9" t="n">
        <f aca="false">IF(Responses!AB16=Responses!AB$2,1,0)</f>
        <v>0</v>
      </c>
      <c r="AC16" s="9" t="n">
        <f aca="false">IF(Responses!AC16=Responses!AC$2,1,0)</f>
        <v>0</v>
      </c>
      <c r="AD16" s="9" t="n">
        <f aca="false">IF(Responses!AD16=Responses!AD$2,1,0)</f>
        <v>1</v>
      </c>
      <c r="AE16" s="9" t="n">
        <f aca="false">IF(Responses!AE16=Responses!AE$2,1,0)</f>
        <v>0</v>
      </c>
      <c r="AF16" s="9" t="n">
        <f aca="false">SUM(B16:AE16)</f>
        <v>12</v>
      </c>
    </row>
    <row r="17" customFormat="false" ht="15" hidden="false" customHeight="false" outlineLevel="0" collapsed="false">
      <c r="A17" s="0" t="str">
        <f aca="false">Responses!A17</f>
        <v>S015</v>
      </c>
      <c r="B17" s="9" t="n">
        <f aca="false">IF(Responses!B17=Responses!B$2,1,0)</f>
        <v>0</v>
      </c>
      <c r="C17" s="9" t="n">
        <f aca="false">IF(Responses!C17=Responses!C$2,1,0)</f>
        <v>0</v>
      </c>
      <c r="D17" s="9" t="n">
        <f aca="false">IF(Responses!D17=Responses!D$2,1,0)</f>
        <v>0</v>
      </c>
      <c r="E17" s="9" t="n">
        <f aca="false">IF(Responses!E17=Responses!E$2,1,0)</f>
        <v>1</v>
      </c>
      <c r="F17" s="9" t="n">
        <f aca="false">IF(Responses!F17=Responses!F$2,1,0)</f>
        <v>1</v>
      </c>
      <c r="G17" s="9" t="n">
        <f aca="false">IF(Responses!G17=Responses!G$2,1,0)</f>
        <v>0</v>
      </c>
      <c r="H17" s="9" t="n">
        <f aca="false">IF(Responses!H17=Responses!H$2,1,0)</f>
        <v>0</v>
      </c>
      <c r="I17" s="9" t="n">
        <f aca="false">IF(Responses!I17=Responses!I$2,1,0)</f>
        <v>1</v>
      </c>
      <c r="J17" s="9" t="n">
        <f aca="false">IF(Responses!J17=Responses!J$2,1,0)</f>
        <v>1</v>
      </c>
      <c r="K17" s="9" t="n">
        <f aca="false">IF(Responses!K17=Responses!K$2,1,0)</f>
        <v>1</v>
      </c>
      <c r="L17" s="9" t="n">
        <f aca="false">IF(Responses!L17=Responses!L$2,1,0)</f>
        <v>1</v>
      </c>
      <c r="M17" s="9" t="n">
        <f aca="false">IF(Responses!M17=Responses!M$2,1,0)</f>
        <v>1</v>
      </c>
      <c r="N17" s="9" t="n">
        <f aca="false">IF(Responses!N17=Responses!N$2,1,0)</f>
        <v>1</v>
      </c>
      <c r="O17" s="9" t="n">
        <f aca="false">IF(Responses!O17=Responses!O$2,1,0)</f>
        <v>0</v>
      </c>
      <c r="P17" s="9" t="n">
        <f aca="false">IF(Responses!P17=Responses!P$2,1,0)</f>
        <v>1</v>
      </c>
      <c r="Q17" s="9" t="n">
        <f aca="false">IF(Responses!Q17=Responses!Q$2,1,0)</f>
        <v>1</v>
      </c>
      <c r="R17" s="9" t="n">
        <f aca="false">IF(Responses!R17=Responses!R$2,1,0)</f>
        <v>1</v>
      </c>
      <c r="S17" s="9" t="n">
        <f aca="false">IF(Responses!S17=Responses!S$2,1,0)</f>
        <v>1</v>
      </c>
      <c r="T17" s="9" t="n">
        <f aca="false">IF(Responses!T17=Responses!T$2,1,0)</f>
        <v>0</v>
      </c>
      <c r="U17" s="9" t="n">
        <f aca="false">IF(Responses!U17=Responses!U$2,1,0)</f>
        <v>0</v>
      </c>
      <c r="V17" s="9" t="n">
        <f aca="false">IF(Responses!V17=Responses!V$2,1,0)</f>
        <v>0</v>
      </c>
      <c r="W17" s="9" t="n">
        <f aca="false">IF(Responses!W17=Responses!W$2,1,0)</f>
        <v>1</v>
      </c>
      <c r="X17" s="9" t="n">
        <f aca="false">IF(Responses!X17=Responses!X$2,1,0)</f>
        <v>1</v>
      </c>
      <c r="Y17" s="9" t="n">
        <f aca="false">IF(Responses!Y17=Responses!Y$2,1,0)</f>
        <v>0</v>
      </c>
      <c r="Z17" s="9" t="n">
        <f aca="false">IF(Responses!Z17=Responses!Z$2,1,0)</f>
        <v>1</v>
      </c>
      <c r="AA17" s="9" t="n">
        <f aca="false">IF(Responses!AA17=Responses!AA$2,1,0)</f>
        <v>0</v>
      </c>
      <c r="AB17" s="9" t="n">
        <f aca="false">IF(Responses!AB17=Responses!AB$2,1,0)</f>
        <v>0</v>
      </c>
      <c r="AC17" s="9" t="n">
        <f aca="false">IF(Responses!AC17=Responses!AC$2,1,0)</f>
        <v>1</v>
      </c>
      <c r="AD17" s="9" t="n">
        <f aca="false">IF(Responses!AD17=Responses!AD$2,1,0)</f>
        <v>1</v>
      </c>
      <c r="AE17" s="9" t="n">
        <f aca="false">IF(Responses!AE17=Responses!AE$2,1,0)</f>
        <v>1</v>
      </c>
      <c r="AF17" s="9" t="n">
        <f aca="false">SUM(B17:AE17)</f>
        <v>18</v>
      </c>
    </row>
    <row r="18" customFormat="false" ht="15" hidden="false" customHeight="false" outlineLevel="0" collapsed="false">
      <c r="A18" s="0" t="str">
        <f aca="false">Responses!A18</f>
        <v>S016</v>
      </c>
      <c r="B18" s="9" t="n">
        <f aca="false">IF(Responses!B18=Responses!B$2,1,0)</f>
        <v>0</v>
      </c>
      <c r="C18" s="9" t="n">
        <f aca="false">IF(Responses!C18=Responses!C$2,1,0)</f>
        <v>0</v>
      </c>
      <c r="D18" s="9" t="n">
        <f aca="false">IF(Responses!D18=Responses!D$2,1,0)</f>
        <v>0</v>
      </c>
      <c r="E18" s="9" t="n">
        <f aca="false">IF(Responses!E18=Responses!E$2,1,0)</f>
        <v>0</v>
      </c>
      <c r="F18" s="9" t="n">
        <f aca="false">IF(Responses!F18=Responses!F$2,1,0)</f>
        <v>0</v>
      </c>
      <c r="G18" s="9" t="n">
        <f aca="false">IF(Responses!G18=Responses!G$2,1,0)</f>
        <v>0</v>
      </c>
      <c r="H18" s="9" t="n">
        <f aca="false">IF(Responses!H18=Responses!H$2,1,0)</f>
        <v>0</v>
      </c>
      <c r="I18" s="9" t="n">
        <f aca="false">IF(Responses!I18=Responses!I$2,1,0)</f>
        <v>0</v>
      </c>
      <c r="J18" s="9" t="n">
        <f aca="false">IF(Responses!J18=Responses!J$2,1,0)</f>
        <v>1</v>
      </c>
      <c r="K18" s="9" t="n">
        <f aca="false">IF(Responses!K18=Responses!K$2,1,0)</f>
        <v>0</v>
      </c>
      <c r="L18" s="9" t="n">
        <f aca="false">IF(Responses!L18=Responses!L$2,1,0)</f>
        <v>0</v>
      </c>
      <c r="M18" s="9" t="n">
        <f aca="false">IF(Responses!M18=Responses!M$2,1,0)</f>
        <v>1</v>
      </c>
      <c r="N18" s="9" t="n">
        <f aca="false">IF(Responses!N18=Responses!N$2,1,0)</f>
        <v>0</v>
      </c>
      <c r="O18" s="9" t="n">
        <f aca="false">IF(Responses!O18=Responses!O$2,1,0)</f>
        <v>1</v>
      </c>
      <c r="P18" s="9" t="n">
        <f aca="false">IF(Responses!P18=Responses!P$2,1,0)</f>
        <v>0</v>
      </c>
      <c r="Q18" s="9" t="n">
        <f aca="false">IF(Responses!Q18=Responses!Q$2,1,0)</f>
        <v>1</v>
      </c>
      <c r="R18" s="9" t="n">
        <f aca="false">IF(Responses!R18=Responses!R$2,1,0)</f>
        <v>1</v>
      </c>
      <c r="S18" s="9" t="n">
        <f aca="false">IF(Responses!S18=Responses!S$2,1,0)</f>
        <v>0</v>
      </c>
      <c r="T18" s="9" t="n">
        <f aca="false">IF(Responses!T18=Responses!T$2,1,0)</f>
        <v>0</v>
      </c>
      <c r="U18" s="9" t="n">
        <f aca="false">IF(Responses!U18=Responses!U$2,1,0)</f>
        <v>0</v>
      </c>
      <c r="V18" s="9" t="n">
        <f aca="false">IF(Responses!V18=Responses!V$2,1,0)</f>
        <v>1</v>
      </c>
      <c r="W18" s="9" t="n">
        <f aca="false">IF(Responses!W18=Responses!W$2,1,0)</f>
        <v>1</v>
      </c>
      <c r="X18" s="9" t="n">
        <f aca="false">IF(Responses!X18=Responses!X$2,1,0)</f>
        <v>0</v>
      </c>
      <c r="Y18" s="9" t="n">
        <f aca="false">IF(Responses!Y18=Responses!Y$2,1,0)</f>
        <v>0</v>
      </c>
      <c r="Z18" s="9" t="n">
        <f aca="false">IF(Responses!Z18=Responses!Z$2,1,0)</f>
        <v>0</v>
      </c>
      <c r="AA18" s="9" t="n">
        <f aca="false">IF(Responses!AA18=Responses!AA$2,1,0)</f>
        <v>0</v>
      </c>
      <c r="AB18" s="9" t="n">
        <f aca="false">IF(Responses!AB18=Responses!AB$2,1,0)</f>
        <v>1</v>
      </c>
      <c r="AC18" s="9" t="n">
        <f aca="false">IF(Responses!AC18=Responses!AC$2,1,0)</f>
        <v>1</v>
      </c>
      <c r="AD18" s="9" t="n">
        <f aca="false">IF(Responses!AD18=Responses!AD$2,1,0)</f>
        <v>0</v>
      </c>
      <c r="AE18" s="9" t="n">
        <f aca="false">IF(Responses!AE18=Responses!AE$2,1,0)</f>
        <v>0</v>
      </c>
      <c r="AF18" s="9" t="n">
        <f aca="false">SUM(B18:AE18)</f>
        <v>9</v>
      </c>
    </row>
    <row r="19" customFormat="false" ht="15" hidden="false" customHeight="false" outlineLevel="0" collapsed="false">
      <c r="A19" s="0" t="str">
        <f aca="false">Responses!A19</f>
        <v>S017</v>
      </c>
      <c r="B19" s="9" t="n">
        <f aca="false">IF(Responses!B19=Responses!B$2,1,0)</f>
        <v>0</v>
      </c>
      <c r="C19" s="9" t="n">
        <f aca="false">IF(Responses!C19=Responses!C$2,1,0)</f>
        <v>0</v>
      </c>
      <c r="D19" s="9" t="n">
        <f aca="false">IF(Responses!D19=Responses!D$2,1,0)</f>
        <v>0</v>
      </c>
      <c r="E19" s="9" t="n">
        <f aca="false">IF(Responses!E19=Responses!E$2,1,0)</f>
        <v>1</v>
      </c>
      <c r="F19" s="9" t="n">
        <f aca="false">IF(Responses!F19=Responses!F$2,1,0)</f>
        <v>0</v>
      </c>
      <c r="G19" s="9" t="n">
        <f aca="false">IF(Responses!G19=Responses!G$2,1,0)</f>
        <v>0</v>
      </c>
      <c r="H19" s="9" t="n">
        <f aca="false">IF(Responses!H19=Responses!H$2,1,0)</f>
        <v>1</v>
      </c>
      <c r="I19" s="9" t="n">
        <f aca="false">IF(Responses!I19=Responses!I$2,1,0)</f>
        <v>1</v>
      </c>
      <c r="J19" s="9" t="n">
        <f aca="false">IF(Responses!J19=Responses!J$2,1,0)</f>
        <v>1</v>
      </c>
      <c r="K19" s="9" t="n">
        <f aca="false">IF(Responses!K19=Responses!K$2,1,0)</f>
        <v>0</v>
      </c>
      <c r="L19" s="9" t="n">
        <f aca="false">IF(Responses!L19=Responses!L$2,1,0)</f>
        <v>0</v>
      </c>
      <c r="M19" s="9" t="n">
        <f aca="false">IF(Responses!M19=Responses!M$2,1,0)</f>
        <v>1</v>
      </c>
      <c r="N19" s="9" t="n">
        <f aca="false">IF(Responses!N19=Responses!N$2,1,0)</f>
        <v>0</v>
      </c>
      <c r="O19" s="9" t="n">
        <f aca="false">IF(Responses!O19=Responses!O$2,1,0)</f>
        <v>0</v>
      </c>
      <c r="P19" s="9" t="n">
        <f aca="false">IF(Responses!P19=Responses!P$2,1,0)</f>
        <v>0</v>
      </c>
      <c r="Q19" s="9" t="n">
        <f aca="false">IF(Responses!Q19=Responses!Q$2,1,0)</f>
        <v>1</v>
      </c>
      <c r="R19" s="9" t="n">
        <f aca="false">IF(Responses!R19=Responses!R$2,1,0)</f>
        <v>1</v>
      </c>
      <c r="S19" s="9" t="n">
        <f aca="false">IF(Responses!S19=Responses!S$2,1,0)</f>
        <v>0</v>
      </c>
      <c r="T19" s="9" t="n">
        <f aca="false">IF(Responses!T19=Responses!T$2,1,0)</f>
        <v>1</v>
      </c>
      <c r="U19" s="9" t="n">
        <f aca="false">IF(Responses!U19=Responses!U$2,1,0)</f>
        <v>0</v>
      </c>
      <c r="V19" s="9" t="n">
        <f aca="false">IF(Responses!V19=Responses!V$2,1,0)</f>
        <v>0</v>
      </c>
      <c r="W19" s="9" t="n">
        <f aca="false">IF(Responses!W19=Responses!W$2,1,0)</f>
        <v>0</v>
      </c>
      <c r="X19" s="9" t="n">
        <f aca="false">IF(Responses!X19=Responses!X$2,1,0)</f>
        <v>0</v>
      </c>
      <c r="Y19" s="9" t="n">
        <f aca="false">IF(Responses!Y19=Responses!Y$2,1,0)</f>
        <v>0</v>
      </c>
      <c r="Z19" s="9" t="n">
        <f aca="false">IF(Responses!Z19=Responses!Z$2,1,0)</f>
        <v>1</v>
      </c>
      <c r="AA19" s="9" t="n">
        <f aca="false">IF(Responses!AA19=Responses!AA$2,1,0)</f>
        <v>1</v>
      </c>
      <c r="AB19" s="9" t="n">
        <f aca="false">IF(Responses!AB19=Responses!AB$2,1,0)</f>
        <v>1</v>
      </c>
      <c r="AC19" s="9" t="n">
        <f aca="false">IF(Responses!AC19=Responses!AC$2,1,0)</f>
        <v>1</v>
      </c>
      <c r="AD19" s="9" t="n">
        <f aca="false">IF(Responses!AD19=Responses!AD$2,1,0)</f>
        <v>0</v>
      </c>
      <c r="AE19" s="9" t="n">
        <f aca="false">IF(Responses!AE19=Responses!AE$2,1,0)</f>
        <v>1</v>
      </c>
      <c r="AF19" s="9" t="n">
        <f aca="false">SUM(B19:AE19)</f>
        <v>13</v>
      </c>
    </row>
    <row r="20" customFormat="false" ht="15" hidden="false" customHeight="false" outlineLevel="0" collapsed="false">
      <c r="A20" s="0" t="str">
        <f aca="false">Responses!A20</f>
        <v>S018</v>
      </c>
      <c r="B20" s="9" t="n">
        <f aca="false">IF(Responses!B20=Responses!B$2,1,0)</f>
        <v>0</v>
      </c>
      <c r="C20" s="9" t="n">
        <f aca="false">IF(Responses!C20=Responses!C$2,1,0)</f>
        <v>1</v>
      </c>
      <c r="D20" s="9" t="n">
        <f aca="false">IF(Responses!D20=Responses!D$2,1,0)</f>
        <v>1</v>
      </c>
      <c r="E20" s="9" t="n">
        <f aca="false">IF(Responses!E20=Responses!E$2,1,0)</f>
        <v>1</v>
      </c>
      <c r="F20" s="9" t="n">
        <f aca="false">IF(Responses!F20=Responses!F$2,1,0)</f>
        <v>1</v>
      </c>
      <c r="G20" s="9" t="n">
        <f aca="false">IF(Responses!G20=Responses!G$2,1,0)</f>
        <v>0</v>
      </c>
      <c r="H20" s="9" t="n">
        <f aca="false">IF(Responses!H20=Responses!H$2,1,0)</f>
        <v>0</v>
      </c>
      <c r="I20" s="9" t="n">
        <f aca="false">IF(Responses!I20=Responses!I$2,1,0)</f>
        <v>1</v>
      </c>
      <c r="J20" s="9" t="n">
        <f aca="false">IF(Responses!J20=Responses!J$2,1,0)</f>
        <v>1</v>
      </c>
      <c r="K20" s="9" t="n">
        <f aca="false">IF(Responses!K20=Responses!K$2,1,0)</f>
        <v>0</v>
      </c>
      <c r="L20" s="9" t="n">
        <f aca="false">IF(Responses!L20=Responses!L$2,1,0)</f>
        <v>1</v>
      </c>
      <c r="M20" s="9" t="n">
        <f aca="false">IF(Responses!M20=Responses!M$2,1,0)</f>
        <v>1</v>
      </c>
      <c r="N20" s="9" t="n">
        <f aca="false">IF(Responses!N20=Responses!N$2,1,0)</f>
        <v>1</v>
      </c>
      <c r="O20" s="9" t="n">
        <f aca="false">IF(Responses!O20=Responses!O$2,1,0)</f>
        <v>1</v>
      </c>
      <c r="P20" s="9" t="n">
        <f aca="false">IF(Responses!P20=Responses!P$2,1,0)</f>
        <v>0</v>
      </c>
      <c r="Q20" s="9" t="n">
        <f aca="false">IF(Responses!Q20=Responses!Q$2,1,0)</f>
        <v>1</v>
      </c>
      <c r="R20" s="9" t="n">
        <f aca="false">IF(Responses!R20=Responses!R$2,1,0)</f>
        <v>1</v>
      </c>
      <c r="S20" s="9" t="n">
        <f aca="false">IF(Responses!S20=Responses!S$2,1,0)</f>
        <v>0</v>
      </c>
      <c r="T20" s="9" t="n">
        <f aca="false">IF(Responses!T20=Responses!T$2,1,0)</f>
        <v>1</v>
      </c>
      <c r="U20" s="9" t="n">
        <f aca="false">IF(Responses!U20=Responses!U$2,1,0)</f>
        <v>1</v>
      </c>
      <c r="V20" s="9" t="n">
        <f aca="false">IF(Responses!V20=Responses!V$2,1,0)</f>
        <v>1</v>
      </c>
      <c r="W20" s="9" t="n">
        <f aca="false">IF(Responses!W20=Responses!W$2,1,0)</f>
        <v>0</v>
      </c>
      <c r="X20" s="9" t="n">
        <f aca="false">IF(Responses!X20=Responses!X$2,1,0)</f>
        <v>1</v>
      </c>
      <c r="Y20" s="9" t="n">
        <f aca="false">IF(Responses!Y20=Responses!Y$2,1,0)</f>
        <v>1</v>
      </c>
      <c r="Z20" s="9" t="n">
        <f aca="false">IF(Responses!Z20=Responses!Z$2,1,0)</f>
        <v>1</v>
      </c>
      <c r="AA20" s="9" t="n">
        <f aca="false">IF(Responses!AA20=Responses!AA$2,1,0)</f>
        <v>1</v>
      </c>
      <c r="AB20" s="9" t="n">
        <f aca="false">IF(Responses!AB20=Responses!AB$2,1,0)</f>
        <v>1</v>
      </c>
      <c r="AC20" s="9" t="n">
        <f aca="false">IF(Responses!AC20=Responses!AC$2,1,0)</f>
        <v>0</v>
      </c>
      <c r="AD20" s="9" t="n">
        <f aca="false">IF(Responses!AD20=Responses!AD$2,1,0)</f>
        <v>1</v>
      </c>
      <c r="AE20" s="9" t="n">
        <f aca="false">IF(Responses!AE20=Responses!AE$2,1,0)</f>
        <v>1</v>
      </c>
      <c r="AF20" s="9" t="n">
        <f aca="false">SUM(B20:AE20)</f>
        <v>22</v>
      </c>
    </row>
    <row r="21" customFormat="false" ht="15" hidden="false" customHeight="false" outlineLevel="0" collapsed="false">
      <c r="A21" s="0" t="str">
        <f aca="false">Responses!A21</f>
        <v>S019</v>
      </c>
      <c r="B21" s="9" t="n">
        <f aca="false">IF(Responses!B21=Responses!B$2,1,0)</f>
        <v>0</v>
      </c>
      <c r="C21" s="9" t="n">
        <f aca="false">IF(Responses!C21=Responses!C$2,1,0)</f>
        <v>0</v>
      </c>
      <c r="D21" s="9" t="n">
        <f aca="false">IF(Responses!D21=Responses!D$2,1,0)</f>
        <v>1</v>
      </c>
      <c r="E21" s="9" t="n">
        <f aca="false">IF(Responses!E21=Responses!E$2,1,0)</f>
        <v>1</v>
      </c>
      <c r="F21" s="9" t="n">
        <f aca="false">IF(Responses!F21=Responses!F$2,1,0)</f>
        <v>0</v>
      </c>
      <c r="G21" s="9" t="n">
        <f aca="false">IF(Responses!G21=Responses!G$2,1,0)</f>
        <v>0</v>
      </c>
      <c r="H21" s="9" t="n">
        <f aca="false">IF(Responses!H21=Responses!H$2,1,0)</f>
        <v>0</v>
      </c>
      <c r="I21" s="9" t="n">
        <f aca="false">IF(Responses!I21=Responses!I$2,1,0)</f>
        <v>1</v>
      </c>
      <c r="J21" s="9" t="n">
        <f aca="false">IF(Responses!J21=Responses!J$2,1,0)</f>
        <v>1</v>
      </c>
      <c r="K21" s="9" t="n">
        <f aca="false">IF(Responses!K21=Responses!K$2,1,0)</f>
        <v>0</v>
      </c>
      <c r="L21" s="9" t="n">
        <f aca="false">IF(Responses!L21=Responses!L$2,1,0)</f>
        <v>0</v>
      </c>
      <c r="M21" s="9" t="n">
        <f aca="false">IF(Responses!M21=Responses!M$2,1,0)</f>
        <v>1</v>
      </c>
      <c r="N21" s="9" t="n">
        <f aca="false">IF(Responses!N21=Responses!N$2,1,0)</f>
        <v>0</v>
      </c>
      <c r="O21" s="9" t="n">
        <f aca="false">IF(Responses!O21=Responses!O$2,1,0)</f>
        <v>0</v>
      </c>
      <c r="P21" s="9" t="n">
        <f aca="false">IF(Responses!P21=Responses!P$2,1,0)</f>
        <v>0</v>
      </c>
      <c r="Q21" s="9" t="n">
        <f aca="false">IF(Responses!Q21=Responses!Q$2,1,0)</f>
        <v>1</v>
      </c>
      <c r="R21" s="9" t="n">
        <f aca="false">IF(Responses!R21=Responses!R$2,1,0)</f>
        <v>1</v>
      </c>
      <c r="S21" s="9" t="n">
        <f aca="false">IF(Responses!S21=Responses!S$2,1,0)</f>
        <v>1</v>
      </c>
      <c r="T21" s="9" t="n">
        <f aca="false">IF(Responses!T21=Responses!T$2,1,0)</f>
        <v>1</v>
      </c>
      <c r="U21" s="9" t="n">
        <f aca="false">IF(Responses!U21=Responses!U$2,1,0)</f>
        <v>0</v>
      </c>
      <c r="V21" s="9" t="n">
        <f aca="false">IF(Responses!V21=Responses!V$2,1,0)</f>
        <v>1</v>
      </c>
      <c r="W21" s="9" t="n">
        <f aca="false">IF(Responses!W21=Responses!W$2,1,0)</f>
        <v>0</v>
      </c>
      <c r="X21" s="9" t="n">
        <f aca="false">IF(Responses!X21=Responses!X$2,1,0)</f>
        <v>0</v>
      </c>
      <c r="Y21" s="9" t="n">
        <f aca="false">IF(Responses!Y21=Responses!Y$2,1,0)</f>
        <v>0</v>
      </c>
      <c r="Z21" s="9" t="n">
        <f aca="false">IF(Responses!Z21=Responses!Z$2,1,0)</f>
        <v>1</v>
      </c>
      <c r="AA21" s="9" t="n">
        <f aca="false">IF(Responses!AA21=Responses!AA$2,1,0)</f>
        <v>0</v>
      </c>
      <c r="AB21" s="9" t="n">
        <f aca="false">IF(Responses!AB21=Responses!AB$2,1,0)</f>
        <v>0</v>
      </c>
      <c r="AC21" s="9" t="n">
        <f aca="false">IF(Responses!AC21=Responses!AC$2,1,0)</f>
        <v>0</v>
      </c>
      <c r="AD21" s="9" t="n">
        <f aca="false">IF(Responses!AD21=Responses!AD$2,1,0)</f>
        <v>0</v>
      </c>
      <c r="AE21" s="9" t="n">
        <f aca="false">IF(Responses!AE21=Responses!AE$2,1,0)</f>
        <v>0</v>
      </c>
      <c r="AF21" s="9" t="n">
        <f aca="false">SUM(B21:AE21)</f>
        <v>11</v>
      </c>
    </row>
    <row r="22" customFormat="false" ht="15" hidden="false" customHeight="false" outlineLevel="0" collapsed="false">
      <c r="A22" s="0" t="str">
        <f aca="false">Responses!A22</f>
        <v>S020</v>
      </c>
      <c r="B22" s="9" t="n">
        <f aca="false">IF(Responses!B22=Responses!B$2,1,0)</f>
        <v>1</v>
      </c>
      <c r="C22" s="9" t="n">
        <f aca="false">IF(Responses!C22=Responses!C$2,1,0)</f>
        <v>1</v>
      </c>
      <c r="D22" s="9" t="n">
        <f aca="false">IF(Responses!D22=Responses!D$2,1,0)</f>
        <v>1</v>
      </c>
      <c r="E22" s="9" t="n">
        <f aca="false">IF(Responses!E22=Responses!E$2,1,0)</f>
        <v>0</v>
      </c>
      <c r="F22" s="9" t="n">
        <f aca="false">IF(Responses!F22=Responses!F$2,1,0)</f>
        <v>0</v>
      </c>
      <c r="G22" s="9" t="n">
        <f aca="false">IF(Responses!G22=Responses!G$2,1,0)</f>
        <v>0</v>
      </c>
      <c r="H22" s="9" t="n">
        <f aca="false">IF(Responses!H22=Responses!H$2,1,0)</f>
        <v>1</v>
      </c>
      <c r="I22" s="9" t="n">
        <f aca="false">IF(Responses!I22=Responses!I$2,1,0)</f>
        <v>0</v>
      </c>
      <c r="J22" s="9" t="n">
        <f aca="false">IF(Responses!J22=Responses!J$2,1,0)</f>
        <v>1</v>
      </c>
      <c r="K22" s="9" t="n">
        <f aca="false">IF(Responses!K22=Responses!K$2,1,0)</f>
        <v>0</v>
      </c>
      <c r="L22" s="9" t="n">
        <f aca="false">IF(Responses!L22=Responses!L$2,1,0)</f>
        <v>0</v>
      </c>
      <c r="M22" s="9" t="n">
        <f aca="false">IF(Responses!M22=Responses!M$2,1,0)</f>
        <v>1</v>
      </c>
      <c r="N22" s="9" t="n">
        <f aca="false">IF(Responses!N22=Responses!N$2,1,0)</f>
        <v>0</v>
      </c>
      <c r="O22" s="9" t="n">
        <f aca="false">IF(Responses!O22=Responses!O$2,1,0)</f>
        <v>0</v>
      </c>
      <c r="P22" s="9" t="n">
        <f aca="false">IF(Responses!P22=Responses!P$2,1,0)</f>
        <v>1</v>
      </c>
      <c r="Q22" s="9" t="n">
        <f aca="false">IF(Responses!Q22=Responses!Q$2,1,0)</f>
        <v>1</v>
      </c>
      <c r="R22" s="9" t="n">
        <f aca="false">IF(Responses!R22=Responses!R$2,1,0)</f>
        <v>1</v>
      </c>
      <c r="S22" s="9" t="n">
        <f aca="false">IF(Responses!S22=Responses!S$2,1,0)</f>
        <v>0</v>
      </c>
      <c r="T22" s="9" t="n">
        <f aca="false">IF(Responses!T22=Responses!T$2,1,0)</f>
        <v>1</v>
      </c>
      <c r="U22" s="9" t="n">
        <f aca="false">IF(Responses!U22=Responses!U$2,1,0)</f>
        <v>1</v>
      </c>
      <c r="V22" s="9" t="n">
        <f aca="false">IF(Responses!V22=Responses!V$2,1,0)</f>
        <v>0</v>
      </c>
      <c r="W22" s="9" t="n">
        <f aca="false">IF(Responses!W22=Responses!W$2,1,0)</f>
        <v>0</v>
      </c>
      <c r="X22" s="9" t="n">
        <f aca="false">IF(Responses!X22=Responses!X$2,1,0)</f>
        <v>0</v>
      </c>
      <c r="Y22" s="9" t="n">
        <f aca="false">IF(Responses!Y22=Responses!Y$2,1,0)</f>
        <v>0</v>
      </c>
      <c r="Z22" s="9" t="n">
        <f aca="false">IF(Responses!Z22=Responses!Z$2,1,0)</f>
        <v>0</v>
      </c>
      <c r="AA22" s="9" t="n">
        <f aca="false">IF(Responses!AA22=Responses!AA$2,1,0)</f>
        <v>0</v>
      </c>
      <c r="AB22" s="9" t="n">
        <f aca="false">IF(Responses!AB22=Responses!AB$2,1,0)</f>
        <v>0</v>
      </c>
      <c r="AC22" s="9" t="n">
        <f aca="false">IF(Responses!AC22=Responses!AC$2,1,0)</f>
        <v>0</v>
      </c>
      <c r="AD22" s="9" t="n">
        <f aca="false">IF(Responses!AD22=Responses!AD$2,1,0)</f>
        <v>0</v>
      </c>
      <c r="AE22" s="9" t="n">
        <f aca="false">IF(Responses!AE22=Responses!AE$2,1,0)</f>
        <v>0</v>
      </c>
      <c r="AF22" s="9" t="n">
        <f aca="false">SUM(B22:AE22)</f>
        <v>11</v>
      </c>
    </row>
    <row r="23" customFormat="false" ht="15" hidden="false" customHeight="false" outlineLevel="0" collapsed="false">
      <c r="A23" s="0" t="str">
        <f aca="false">Responses!A23</f>
        <v>S021</v>
      </c>
      <c r="B23" s="9" t="n">
        <f aca="false">IF(Responses!B23=Responses!B$2,1,0)</f>
        <v>0</v>
      </c>
      <c r="C23" s="9" t="n">
        <f aca="false">IF(Responses!C23=Responses!C$2,1,0)</f>
        <v>1</v>
      </c>
      <c r="D23" s="9" t="n">
        <f aca="false">IF(Responses!D23=Responses!D$2,1,0)</f>
        <v>0</v>
      </c>
      <c r="E23" s="9" t="n">
        <f aca="false">IF(Responses!E23=Responses!E$2,1,0)</f>
        <v>0</v>
      </c>
      <c r="F23" s="9" t="n">
        <f aca="false">IF(Responses!F23=Responses!F$2,1,0)</f>
        <v>1</v>
      </c>
      <c r="G23" s="9" t="n">
        <f aca="false">IF(Responses!G23=Responses!G$2,1,0)</f>
        <v>0</v>
      </c>
      <c r="H23" s="9" t="n">
        <f aca="false">IF(Responses!H23=Responses!H$2,1,0)</f>
        <v>1</v>
      </c>
      <c r="I23" s="9" t="n">
        <f aca="false">IF(Responses!I23=Responses!I$2,1,0)</f>
        <v>1</v>
      </c>
      <c r="J23" s="9" t="n">
        <f aca="false">IF(Responses!J23=Responses!J$2,1,0)</f>
        <v>1</v>
      </c>
      <c r="K23" s="9" t="n">
        <f aca="false">IF(Responses!K23=Responses!K$2,1,0)</f>
        <v>0</v>
      </c>
      <c r="L23" s="9" t="n">
        <f aca="false">IF(Responses!L23=Responses!L$2,1,0)</f>
        <v>0</v>
      </c>
      <c r="M23" s="9" t="n">
        <f aca="false">IF(Responses!M23=Responses!M$2,1,0)</f>
        <v>1</v>
      </c>
      <c r="N23" s="9" t="n">
        <f aca="false">IF(Responses!N23=Responses!N$2,1,0)</f>
        <v>1</v>
      </c>
      <c r="O23" s="9" t="n">
        <f aca="false">IF(Responses!O23=Responses!O$2,1,0)</f>
        <v>0</v>
      </c>
      <c r="P23" s="9" t="n">
        <f aca="false">IF(Responses!P23=Responses!P$2,1,0)</f>
        <v>0</v>
      </c>
      <c r="Q23" s="9" t="n">
        <f aca="false">IF(Responses!Q23=Responses!Q$2,1,0)</f>
        <v>0</v>
      </c>
      <c r="R23" s="9" t="n">
        <f aca="false">IF(Responses!R23=Responses!R$2,1,0)</f>
        <v>1</v>
      </c>
      <c r="S23" s="9" t="n">
        <f aca="false">IF(Responses!S23=Responses!S$2,1,0)</f>
        <v>0</v>
      </c>
      <c r="T23" s="9" t="n">
        <f aca="false">IF(Responses!T23=Responses!T$2,1,0)</f>
        <v>0</v>
      </c>
      <c r="U23" s="9" t="n">
        <f aca="false">IF(Responses!U23=Responses!U$2,1,0)</f>
        <v>0</v>
      </c>
      <c r="V23" s="9" t="n">
        <f aca="false">IF(Responses!V23=Responses!V$2,1,0)</f>
        <v>1</v>
      </c>
      <c r="W23" s="9" t="n">
        <f aca="false">IF(Responses!W23=Responses!W$2,1,0)</f>
        <v>0</v>
      </c>
      <c r="X23" s="9" t="n">
        <f aca="false">IF(Responses!X23=Responses!X$2,1,0)</f>
        <v>0</v>
      </c>
      <c r="Y23" s="9" t="n">
        <f aca="false">IF(Responses!Y23=Responses!Y$2,1,0)</f>
        <v>0</v>
      </c>
      <c r="Z23" s="9" t="n">
        <f aca="false">IF(Responses!Z23=Responses!Z$2,1,0)</f>
        <v>0</v>
      </c>
      <c r="AA23" s="9" t="n">
        <f aca="false">IF(Responses!AA23=Responses!AA$2,1,0)</f>
        <v>0</v>
      </c>
      <c r="AB23" s="9" t="n">
        <f aca="false">IF(Responses!AB23=Responses!AB$2,1,0)</f>
        <v>0</v>
      </c>
      <c r="AC23" s="9" t="n">
        <f aca="false">IF(Responses!AC23=Responses!AC$2,1,0)</f>
        <v>0</v>
      </c>
      <c r="AD23" s="9" t="n">
        <f aca="false">IF(Responses!AD23=Responses!AD$2,1,0)</f>
        <v>0</v>
      </c>
      <c r="AE23" s="9" t="n">
        <f aca="false">IF(Responses!AE23=Responses!AE$2,1,0)</f>
        <v>0</v>
      </c>
      <c r="AF23" s="9" t="n">
        <f aca="false">SUM(B23:AE23)</f>
        <v>9</v>
      </c>
    </row>
    <row r="24" customFormat="false" ht="15" hidden="false" customHeight="false" outlineLevel="0" collapsed="false">
      <c r="A24" s="0" t="str">
        <f aca="false">Responses!A24</f>
        <v>S022</v>
      </c>
      <c r="B24" s="9" t="n">
        <f aca="false">IF(Responses!B24=Responses!B$2,1,0)</f>
        <v>0</v>
      </c>
      <c r="C24" s="9" t="n">
        <f aca="false">IF(Responses!C24=Responses!C$2,1,0)</f>
        <v>0</v>
      </c>
      <c r="D24" s="9" t="n">
        <f aca="false">IF(Responses!D24=Responses!D$2,1,0)</f>
        <v>0</v>
      </c>
      <c r="E24" s="9" t="n">
        <f aca="false">IF(Responses!E24=Responses!E$2,1,0)</f>
        <v>1</v>
      </c>
      <c r="F24" s="9" t="n">
        <f aca="false">IF(Responses!F24=Responses!F$2,1,0)</f>
        <v>1</v>
      </c>
      <c r="G24" s="9" t="n">
        <f aca="false">IF(Responses!G24=Responses!G$2,1,0)</f>
        <v>0</v>
      </c>
      <c r="H24" s="9" t="n">
        <f aca="false">IF(Responses!H24=Responses!H$2,1,0)</f>
        <v>0</v>
      </c>
      <c r="I24" s="9" t="n">
        <f aca="false">IF(Responses!I24=Responses!I$2,1,0)</f>
        <v>1</v>
      </c>
      <c r="J24" s="9" t="n">
        <f aca="false">IF(Responses!J24=Responses!J$2,1,0)</f>
        <v>1</v>
      </c>
      <c r="K24" s="9" t="n">
        <f aca="false">IF(Responses!K24=Responses!K$2,1,0)</f>
        <v>1</v>
      </c>
      <c r="L24" s="9" t="n">
        <f aca="false">IF(Responses!L24=Responses!L$2,1,0)</f>
        <v>1</v>
      </c>
      <c r="M24" s="9" t="n">
        <f aca="false">IF(Responses!M24=Responses!M$2,1,0)</f>
        <v>1</v>
      </c>
      <c r="N24" s="9" t="n">
        <f aca="false">IF(Responses!N24=Responses!N$2,1,0)</f>
        <v>1</v>
      </c>
      <c r="O24" s="9" t="n">
        <f aca="false">IF(Responses!O24=Responses!O$2,1,0)</f>
        <v>1</v>
      </c>
      <c r="P24" s="9" t="n">
        <f aca="false">IF(Responses!P24=Responses!P$2,1,0)</f>
        <v>1</v>
      </c>
      <c r="Q24" s="9" t="n">
        <f aca="false">IF(Responses!Q24=Responses!Q$2,1,0)</f>
        <v>1</v>
      </c>
      <c r="R24" s="9" t="n">
        <f aca="false">IF(Responses!R24=Responses!R$2,1,0)</f>
        <v>1</v>
      </c>
      <c r="S24" s="9" t="n">
        <f aca="false">IF(Responses!S24=Responses!S$2,1,0)</f>
        <v>0</v>
      </c>
      <c r="T24" s="9" t="n">
        <f aca="false">IF(Responses!T24=Responses!T$2,1,0)</f>
        <v>1</v>
      </c>
      <c r="U24" s="9" t="n">
        <f aca="false">IF(Responses!U24=Responses!U$2,1,0)</f>
        <v>0</v>
      </c>
      <c r="V24" s="9" t="n">
        <f aca="false">IF(Responses!V24=Responses!V$2,1,0)</f>
        <v>1</v>
      </c>
      <c r="W24" s="9" t="n">
        <f aca="false">IF(Responses!W24=Responses!W$2,1,0)</f>
        <v>1</v>
      </c>
      <c r="X24" s="9" t="n">
        <f aca="false">IF(Responses!X24=Responses!X$2,1,0)</f>
        <v>1</v>
      </c>
      <c r="Y24" s="9" t="n">
        <f aca="false">IF(Responses!Y24=Responses!Y$2,1,0)</f>
        <v>0</v>
      </c>
      <c r="Z24" s="9" t="n">
        <f aca="false">IF(Responses!Z24=Responses!Z$2,1,0)</f>
        <v>0</v>
      </c>
      <c r="AA24" s="9" t="n">
        <f aca="false">IF(Responses!AA24=Responses!AA$2,1,0)</f>
        <v>1</v>
      </c>
      <c r="AB24" s="9" t="n">
        <f aca="false">IF(Responses!AB24=Responses!AB$2,1,0)</f>
        <v>0</v>
      </c>
      <c r="AC24" s="9" t="n">
        <f aca="false">IF(Responses!AC24=Responses!AC$2,1,0)</f>
        <v>1</v>
      </c>
      <c r="AD24" s="9" t="n">
        <f aca="false">IF(Responses!AD24=Responses!AD$2,1,0)</f>
        <v>1</v>
      </c>
      <c r="AE24" s="9" t="n">
        <f aca="false">IF(Responses!AE24=Responses!AE$2,1,0)</f>
        <v>1</v>
      </c>
      <c r="AF24" s="9" t="n">
        <f aca="false">SUM(B24:AE24)</f>
        <v>20</v>
      </c>
    </row>
    <row r="25" customFormat="false" ht="15" hidden="false" customHeight="false" outlineLevel="0" collapsed="false">
      <c r="A25" s="0" t="str">
        <f aca="false">Responses!A25</f>
        <v>S023</v>
      </c>
      <c r="B25" s="9" t="n">
        <f aca="false">IF(Responses!B25=Responses!B$2,1,0)</f>
        <v>0</v>
      </c>
      <c r="C25" s="9" t="n">
        <f aca="false">IF(Responses!C25=Responses!C$2,1,0)</f>
        <v>0</v>
      </c>
      <c r="D25" s="9" t="n">
        <f aca="false">IF(Responses!D25=Responses!D$2,1,0)</f>
        <v>0</v>
      </c>
      <c r="E25" s="9" t="n">
        <f aca="false">IF(Responses!E25=Responses!E$2,1,0)</f>
        <v>1</v>
      </c>
      <c r="F25" s="9" t="n">
        <f aca="false">IF(Responses!F25=Responses!F$2,1,0)</f>
        <v>0</v>
      </c>
      <c r="G25" s="9" t="n">
        <f aca="false">IF(Responses!G25=Responses!G$2,1,0)</f>
        <v>1</v>
      </c>
      <c r="H25" s="9" t="n">
        <f aca="false">IF(Responses!H25=Responses!H$2,1,0)</f>
        <v>0</v>
      </c>
      <c r="I25" s="9" t="n">
        <f aca="false">IF(Responses!I25=Responses!I$2,1,0)</f>
        <v>0</v>
      </c>
      <c r="J25" s="9" t="n">
        <f aca="false">IF(Responses!J25=Responses!J$2,1,0)</f>
        <v>1</v>
      </c>
      <c r="K25" s="9" t="n">
        <f aca="false">IF(Responses!K25=Responses!K$2,1,0)</f>
        <v>0</v>
      </c>
      <c r="L25" s="9" t="n">
        <f aca="false">IF(Responses!L25=Responses!L$2,1,0)</f>
        <v>1</v>
      </c>
      <c r="M25" s="9" t="n">
        <f aca="false">IF(Responses!M25=Responses!M$2,1,0)</f>
        <v>1</v>
      </c>
      <c r="N25" s="9" t="n">
        <f aca="false">IF(Responses!N25=Responses!N$2,1,0)</f>
        <v>0</v>
      </c>
      <c r="O25" s="9" t="n">
        <f aca="false">IF(Responses!O25=Responses!O$2,1,0)</f>
        <v>0</v>
      </c>
      <c r="P25" s="9" t="n">
        <f aca="false">IF(Responses!P25=Responses!P$2,1,0)</f>
        <v>0</v>
      </c>
      <c r="Q25" s="9" t="n">
        <f aca="false">IF(Responses!Q25=Responses!Q$2,1,0)</f>
        <v>1</v>
      </c>
      <c r="R25" s="9" t="n">
        <f aca="false">IF(Responses!R25=Responses!R$2,1,0)</f>
        <v>1</v>
      </c>
      <c r="S25" s="9" t="n">
        <f aca="false">IF(Responses!S25=Responses!S$2,1,0)</f>
        <v>0</v>
      </c>
      <c r="T25" s="9" t="n">
        <f aca="false">IF(Responses!T25=Responses!T$2,1,0)</f>
        <v>1</v>
      </c>
      <c r="U25" s="9" t="n">
        <f aca="false">IF(Responses!U25=Responses!U$2,1,0)</f>
        <v>0</v>
      </c>
      <c r="V25" s="9" t="n">
        <f aca="false">IF(Responses!V25=Responses!V$2,1,0)</f>
        <v>0</v>
      </c>
      <c r="W25" s="9" t="n">
        <f aca="false">IF(Responses!W25=Responses!W$2,1,0)</f>
        <v>0</v>
      </c>
      <c r="X25" s="9" t="n">
        <f aca="false">IF(Responses!X25=Responses!X$2,1,0)</f>
        <v>1</v>
      </c>
      <c r="Y25" s="9" t="n">
        <f aca="false">IF(Responses!Y25=Responses!Y$2,1,0)</f>
        <v>0</v>
      </c>
      <c r="Z25" s="9" t="n">
        <f aca="false">IF(Responses!Z25=Responses!Z$2,1,0)</f>
        <v>0</v>
      </c>
      <c r="AA25" s="9" t="n">
        <f aca="false">IF(Responses!AA25=Responses!AA$2,1,0)</f>
        <v>1</v>
      </c>
      <c r="AB25" s="9" t="n">
        <f aca="false">IF(Responses!AB25=Responses!AB$2,1,0)</f>
        <v>1</v>
      </c>
      <c r="AC25" s="9" t="n">
        <f aca="false">IF(Responses!AC25=Responses!AC$2,1,0)</f>
        <v>0</v>
      </c>
      <c r="AD25" s="9" t="n">
        <f aca="false">IF(Responses!AD25=Responses!AD$2,1,0)</f>
        <v>1</v>
      </c>
      <c r="AE25" s="9" t="n">
        <f aca="false">IF(Responses!AE25=Responses!AE$2,1,0)</f>
        <v>1</v>
      </c>
      <c r="AF25" s="9" t="n">
        <f aca="false">SUM(B25:AE25)</f>
        <v>13</v>
      </c>
    </row>
    <row r="26" customFormat="false" ht="15" hidden="false" customHeight="false" outlineLevel="0" collapsed="false">
      <c r="A26" s="0" t="str">
        <f aca="false">Responses!A26</f>
        <v>S024</v>
      </c>
      <c r="B26" s="9" t="n">
        <f aca="false">IF(Responses!B26=Responses!B$2,1,0)</f>
        <v>0</v>
      </c>
      <c r="C26" s="9" t="n">
        <f aca="false">IF(Responses!C26=Responses!C$2,1,0)</f>
        <v>0</v>
      </c>
      <c r="D26" s="9" t="n">
        <f aca="false">IF(Responses!D26=Responses!D$2,1,0)</f>
        <v>1</v>
      </c>
      <c r="E26" s="9" t="n">
        <f aca="false">IF(Responses!E26=Responses!E$2,1,0)</f>
        <v>1</v>
      </c>
      <c r="F26" s="9" t="n">
        <f aca="false">IF(Responses!F26=Responses!F$2,1,0)</f>
        <v>0</v>
      </c>
      <c r="G26" s="9" t="n">
        <f aca="false">IF(Responses!G26=Responses!G$2,1,0)</f>
        <v>0</v>
      </c>
      <c r="H26" s="9" t="n">
        <f aca="false">IF(Responses!H26=Responses!H$2,1,0)</f>
        <v>0</v>
      </c>
      <c r="I26" s="9" t="n">
        <f aca="false">IF(Responses!I26=Responses!I$2,1,0)</f>
        <v>0</v>
      </c>
      <c r="J26" s="9" t="n">
        <f aca="false">IF(Responses!J26=Responses!J$2,1,0)</f>
        <v>0</v>
      </c>
      <c r="K26" s="9" t="n">
        <f aca="false">IF(Responses!K26=Responses!K$2,1,0)</f>
        <v>0</v>
      </c>
      <c r="L26" s="9" t="n">
        <f aca="false">IF(Responses!L26=Responses!L$2,1,0)</f>
        <v>0</v>
      </c>
      <c r="M26" s="9" t="n">
        <f aca="false">IF(Responses!M26=Responses!M$2,1,0)</f>
        <v>1</v>
      </c>
      <c r="N26" s="9" t="n">
        <f aca="false">IF(Responses!N26=Responses!N$2,1,0)</f>
        <v>0</v>
      </c>
      <c r="O26" s="9" t="n">
        <f aca="false">IF(Responses!O26=Responses!O$2,1,0)</f>
        <v>1</v>
      </c>
      <c r="P26" s="9" t="n">
        <f aca="false">IF(Responses!P26=Responses!P$2,1,0)</f>
        <v>1</v>
      </c>
      <c r="Q26" s="9" t="n">
        <f aca="false">IF(Responses!Q26=Responses!Q$2,1,0)</f>
        <v>0</v>
      </c>
      <c r="R26" s="9" t="n">
        <f aca="false">IF(Responses!R26=Responses!R$2,1,0)</f>
        <v>1</v>
      </c>
      <c r="S26" s="9" t="n">
        <f aca="false">IF(Responses!S26=Responses!S$2,1,0)</f>
        <v>0</v>
      </c>
      <c r="T26" s="9" t="n">
        <f aca="false">IF(Responses!T26=Responses!T$2,1,0)</f>
        <v>1</v>
      </c>
      <c r="U26" s="9" t="n">
        <f aca="false">IF(Responses!U26=Responses!U$2,1,0)</f>
        <v>1</v>
      </c>
      <c r="V26" s="9" t="n">
        <f aca="false">IF(Responses!V26=Responses!V$2,1,0)</f>
        <v>0</v>
      </c>
      <c r="W26" s="9" t="n">
        <f aca="false">IF(Responses!W26=Responses!W$2,1,0)</f>
        <v>0</v>
      </c>
      <c r="X26" s="9" t="n">
        <f aca="false">IF(Responses!X26=Responses!X$2,1,0)</f>
        <v>1</v>
      </c>
      <c r="Y26" s="9" t="n">
        <f aca="false">IF(Responses!Y26=Responses!Y$2,1,0)</f>
        <v>1</v>
      </c>
      <c r="Z26" s="9" t="n">
        <f aca="false">IF(Responses!Z26=Responses!Z$2,1,0)</f>
        <v>1</v>
      </c>
      <c r="AA26" s="9" t="n">
        <f aca="false">IF(Responses!AA26=Responses!AA$2,1,0)</f>
        <v>1</v>
      </c>
      <c r="AB26" s="9" t="n">
        <f aca="false">IF(Responses!AB26=Responses!AB$2,1,0)</f>
        <v>0</v>
      </c>
      <c r="AC26" s="9" t="n">
        <f aca="false">IF(Responses!AC26=Responses!AC$2,1,0)</f>
        <v>0</v>
      </c>
      <c r="AD26" s="9" t="n">
        <f aca="false">IF(Responses!AD26=Responses!AD$2,1,0)</f>
        <v>0</v>
      </c>
      <c r="AE26" s="9" t="n">
        <f aca="false">IF(Responses!AE26=Responses!AE$2,1,0)</f>
        <v>1</v>
      </c>
      <c r="AF26" s="9" t="n">
        <f aca="false">SUM(B26:AE26)</f>
        <v>13</v>
      </c>
    </row>
    <row r="27" customFormat="false" ht="15" hidden="false" customHeight="false" outlineLevel="0" collapsed="false">
      <c r="A27" s="0" t="str">
        <f aca="false">Responses!A27</f>
        <v>S025</v>
      </c>
      <c r="B27" s="9" t="n">
        <f aca="false">IF(Responses!B27=Responses!B$2,1,0)</f>
        <v>1</v>
      </c>
      <c r="C27" s="9" t="n">
        <f aca="false">IF(Responses!C27=Responses!C$2,1,0)</f>
        <v>1</v>
      </c>
      <c r="D27" s="9" t="n">
        <f aca="false">IF(Responses!D27=Responses!D$2,1,0)</f>
        <v>1</v>
      </c>
      <c r="E27" s="9" t="n">
        <f aca="false">IF(Responses!E27=Responses!E$2,1,0)</f>
        <v>1</v>
      </c>
      <c r="F27" s="9" t="n">
        <f aca="false">IF(Responses!F27=Responses!F$2,1,0)</f>
        <v>0</v>
      </c>
      <c r="G27" s="9" t="n">
        <f aca="false">IF(Responses!G27=Responses!G$2,1,0)</f>
        <v>0</v>
      </c>
      <c r="H27" s="9" t="n">
        <f aca="false">IF(Responses!H27=Responses!H$2,1,0)</f>
        <v>0</v>
      </c>
      <c r="I27" s="9" t="n">
        <f aca="false">IF(Responses!I27=Responses!I$2,1,0)</f>
        <v>1</v>
      </c>
      <c r="J27" s="9" t="n">
        <f aca="false">IF(Responses!J27=Responses!J$2,1,0)</f>
        <v>1</v>
      </c>
      <c r="K27" s="9" t="n">
        <f aca="false">IF(Responses!K27=Responses!K$2,1,0)</f>
        <v>1</v>
      </c>
      <c r="L27" s="9" t="n">
        <f aca="false">IF(Responses!L27=Responses!L$2,1,0)</f>
        <v>1</v>
      </c>
      <c r="M27" s="9" t="n">
        <f aca="false">IF(Responses!M27=Responses!M$2,1,0)</f>
        <v>1</v>
      </c>
      <c r="N27" s="9" t="n">
        <f aca="false">IF(Responses!N27=Responses!N$2,1,0)</f>
        <v>1</v>
      </c>
      <c r="O27" s="9" t="n">
        <f aca="false">IF(Responses!O27=Responses!O$2,1,0)</f>
        <v>1</v>
      </c>
      <c r="P27" s="9" t="n">
        <f aca="false">IF(Responses!P27=Responses!P$2,1,0)</f>
        <v>0</v>
      </c>
      <c r="Q27" s="9" t="n">
        <f aca="false">IF(Responses!Q27=Responses!Q$2,1,0)</f>
        <v>1</v>
      </c>
      <c r="R27" s="9" t="n">
        <f aca="false">IF(Responses!R27=Responses!R$2,1,0)</f>
        <v>1</v>
      </c>
      <c r="S27" s="9" t="n">
        <f aca="false">IF(Responses!S27=Responses!S$2,1,0)</f>
        <v>0</v>
      </c>
      <c r="T27" s="9" t="n">
        <f aca="false">IF(Responses!T27=Responses!T$2,1,0)</f>
        <v>1</v>
      </c>
      <c r="U27" s="9" t="n">
        <f aca="false">IF(Responses!U27=Responses!U$2,1,0)</f>
        <v>1</v>
      </c>
      <c r="V27" s="9" t="n">
        <f aca="false">IF(Responses!V27=Responses!V$2,1,0)</f>
        <v>1</v>
      </c>
      <c r="W27" s="9" t="n">
        <f aca="false">IF(Responses!W27=Responses!W$2,1,0)</f>
        <v>1</v>
      </c>
      <c r="X27" s="9" t="n">
        <f aca="false">IF(Responses!X27=Responses!X$2,1,0)</f>
        <v>1</v>
      </c>
      <c r="Y27" s="9" t="n">
        <f aca="false">IF(Responses!Y27=Responses!Y$2,1,0)</f>
        <v>1</v>
      </c>
      <c r="Z27" s="9" t="n">
        <f aca="false">IF(Responses!Z27=Responses!Z$2,1,0)</f>
        <v>1</v>
      </c>
      <c r="AA27" s="9" t="n">
        <f aca="false">IF(Responses!AA27=Responses!AA$2,1,0)</f>
        <v>1</v>
      </c>
      <c r="AB27" s="9" t="n">
        <f aca="false">IF(Responses!AB27=Responses!AB$2,1,0)</f>
        <v>0</v>
      </c>
      <c r="AC27" s="9" t="n">
        <f aca="false">IF(Responses!AC27=Responses!AC$2,1,0)</f>
        <v>0</v>
      </c>
      <c r="AD27" s="9" t="n">
        <f aca="false">IF(Responses!AD27=Responses!AD$2,1,0)</f>
        <v>1</v>
      </c>
      <c r="AE27" s="9" t="n">
        <f aca="false">IF(Responses!AE27=Responses!AE$2,1,0)</f>
        <v>1</v>
      </c>
      <c r="AF27" s="9" t="n">
        <f aca="false">SUM(B27:AE27)</f>
        <v>23</v>
      </c>
    </row>
    <row r="28" customFormat="false" ht="15" hidden="false" customHeight="false" outlineLevel="0" collapsed="false">
      <c r="A28" s="0" t="str">
        <f aca="false">Responses!A28</f>
        <v>S026</v>
      </c>
      <c r="B28" s="9" t="n">
        <f aca="false">IF(Responses!B28=Responses!B$2,1,0)</f>
        <v>1</v>
      </c>
      <c r="C28" s="9" t="n">
        <f aca="false">IF(Responses!C28=Responses!C$2,1,0)</f>
        <v>1</v>
      </c>
      <c r="D28" s="9" t="n">
        <f aca="false">IF(Responses!D28=Responses!D$2,1,0)</f>
        <v>1</v>
      </c>
      <c r="E28" s="9" t="n">
        <f aca="false">IF(Responses!E28=Responses!E$2,1,0)</f>
        <v>1</v>
      </c>
      <c r="F28" s="9" t="n">
        <f aca="false">IF(Responses!F28=Responses!F$2,1,0)</f>
        <v>1</v>
      </c>
      <c r="G28" s="9" t="n">
        <f aca="false">IF(Responses!G28=Responses!G$2,1,0)</f>
        <v>1</v>
      </c>
      <c r="H28" s="9" t="n">
        <f aca="false">IF(Responses!H28=Responses!H$2,1,0)</f>
        <v>0</v>
      </c>
      <c r="I28" s="9" t="n">
        <f aca="false">IF(Responses!I28=Responses!I$2,1,0)</f>
        <v>1</v>
      </c>
      <c r="J28" s="9" t="n">
        <f aca="false">IF(Responses!J28=Responses!J$2,1,0)</f>
        <v>1</v>
      </c>
      <c r="K28" s="9" t="n">
        <f aca="false">IF(Responses!K28=Responses!K$2,1,0)</f>
        <v>1</v>
      </c>
      <c r="L28" s="9" t="n">
        <f aca="false">IF(Responses!L28=Responses!L$2,1,0)</f>
        <v>1</v>
      </c>
      <c r="M28" s="9" t="n">
        <f aca="false">IF(Responses!M28=Responses!M$2,1,0)</f>
        <v>1</v>
      </c>
      <c r="N28" s="9" t="n">
        <f aca="false">IF(Responses!N28=Responses!N$2,1,0)</f>
        <v>1</v>
      </c>
      <c r="O28" s="9" t="n">
        <f aca="false">IF(Responses!O28=Responses!O$2,1,0)</f>
        <v>1</v>
      </c>
      <c r="P28" s="9" t="n">
        <f aca="false">IF(Responses!P28=Responses!P$2,1,0)</f>
        <v>0</v>
      </c>
      <c r="Q28" s="9" t="n">
        <f aca="false">IF(Responses!Q28=Responses!Q$2,1,0)</f>
        <v>1</v>
      </c>
      <c r="R28" s="9" t="n">
        <f aca="false">IF(Responses!R28=Responses!R$2,1,0)</f>
        <v>1</v>
      </c>
      <c r="S28" s="9" t="n">
        <f aca="false">IF(Responses!S28=Responses!S$2,1,0)</f>
        <v>0</v>
      </c>
      <c r="T28" s="9" t="n">
        <f aca="false">IF(Responses!T28=Responses!T$2,1,0)</f>
        <v>1</v>
      </c>
      <c r="U28" s="9" t="n">
        <f aca="false">IF(Responses!U28=Responses!U$2,1,0)</f>
        <v>1</v>
      </c>
      <c r="V28" s="9" t="n">
        <f aca="false">IF(Responses!V28=Responses!V$2,1,0)</f>
        <v>1</v>
      </c>
      <c r="W28" s="9" t="n">
        <f aca="false">IF(Responses!W28=Responses!W$2,1,0)</f>
        <v>1</v>
      </c>
      <c r="X28" s="9" t="n">
        <f aca="false">IF(Responses!X28=Responses!X$2,1,0)</f>
        <v>1</v>
      </c>
      <c r="Y28" s="9" t="n">
        <f aca="false">IF(Responses!Y28=Responses!Y$2,1,0)</f>
        <v>1</v>
      </c>
      <c r="Z28" s="9" t="n">
        <f aca="false">IF(Responses!Z28=Responses!Z$2,1,0)</f>
        <v>1</v>
      </c>
      <c r="AA28" s="9" t="n">
        <f aca="false">IF(Responses!AA28=Responses!AA$2,1,0)</f>
        <v>1</v>
      </c>
      <c r="AB28" s="9" t="n">
        <f aca="false">IF(Responses!AB28=Responses!AB$2,1,0)</f>
        <v>1</v>
      </c>
      <c r="AC28" s="9" t="n">
        <f aca="false">IF(Responses!AC28=Responses!AC$2,1,0)</f>
        <v>1</v>
      </c>
      <c r="AD28" s="9" t="n">
        <f aca="false">IF(Responses!AD28=Responses!AD$2,1,0)</f>
        <v>1</v>
      </c>
      <c r="AE28" s="9" t="n">
        <f aca="false">IF(Responses!AE28=Responses!AE$2,1,0)</f>
        <v>1</v>
      </c>
      <c r="AF28" s="9" t="n">
        <f aca="false">SUM(B28:AE28)</f>
        <v>27</v>
      </c>
    </row>
    <row r="29" customFormat="false" ht="15" hidden="false" customHeight="false" outlineLevel="0" collapsed="false">
      <c r="A29" s="0" t="str">
        <f aca="false">Responses!A29</f>
        <v>S027</v>
      </c>
      <c r="B29" s="9" t="n">
        <f aca="false">IF(Responses!B29=Responses!B$2,1,0)</f>
        <v>0</v>
      </c>
      <c r="C29" s="9" t="n">
        <f aca="false">IF(Responses!C29=Responses!C$2,1,0)</f>
        <v>0</v>
      </c>
      <c r="D29" s="9" t="n">
        <f aca="false">IF(Responses!D29=Responses!D$2,1,0)</f>
        <v>0</v>
      </c>
      <c r="E29" s="9" t="n">
        <f aca="false">IF(Responses!E29=Responses!E$2,1,0)</f>
        <v>1</v>
      </c>
      <c r="F29" s="9" t="n">
        <f aca="false">IF(Responses!F29=Responses!F$2,1,0)</f>
        <v>0</v>
      </c>
      <c r="G29" s="9" t="n">
        <f aca="false">IF(Responses!G29=Responses!G$2,1,0)</f>
        <v>0</v>
      </c>
      <c r="H29" s="9" t="n">
        <f aca="false">IF(Responses!H29=Responses!H$2,1,0)</f>
        <v>0</v>
      </c>
      <c r="I29" s="9" t="n">
        <f aca="false">IF(Responses!I29=Responses!I$2,1,0)</f>
        <v>1</v>
      </c>
      <c r="J29" s="9" t="n">
        <f aca="false">IF(Responses!J29=Responses!J$2,1,0)</f>
        <v>1</v>
      </c>
      <c r="K29" s="9" t="n">
        <f aca="false">IF(Responses!K29=Responses!K$2,1,0)</f>
        <v>0</v>
      </c>
      <c r="L29" s="9" t="n">
        <f aca="false">IF(Responses!L29=Responses!L$2,1,0)</f>
        <v>0</v>
      </c>
      <c r="M29" s="9" t="n">
        <f aca="false">IF(Responses!M29=Responses!M$2,1,0)</f>
        <v>1</v>
      </c>
      <c r="N29" s="9" t="n">
        <f aca="false">IF(Responses!N29=Responses!N$2,1,0)</f>
        <v>0</v>
      </c>
      <c r="O29" s="9" t="n">
        <f aca="false">IF(Responses!O29=Responses!O$2,1,0)</f>
        <v>0</v>
      </c>
      <c r="P29" s="9" t="n">
        <f aca="false">IF(Responses!P29=Responses!P$2,1,0)</f>
        <v>0</v>
      </c>
      <c r="Q29" s="9" t="n">
        <f aca="false">IF(Responses!Q29=Responses!Q$2,1,0)</f>
        <v>1</v>
      </c>
      <c r="R29" s="9" t="n">
        <f aca="false">IF(Responses!R29=Responses!R$2,1,0)</f>
        <v>1</v>
      </c>
      <c r="S29" s="9" t="n">
        <f aca="false">IF(Responses!S29=Responses!S$2,1,0)</f>
        <v>0</v>
      </c>
      <c r="T29" s="9" t="n">
        <f aca="false">IF(Responses!T29=Responses!T$2,1,0)</f>
        <v>1</v>
      </c>
      <c r="U29" s="9" t="n">
        <f aca="false">IF(Responses!U29=Responses!U$2,1,0)</f>
        <v>0</v>
      </c>
      <c r="V29" s="9" t="n">
        <f aca="false">IF(Responses!V29=Responses!V$2,1,0)</f>
        <v>0</v>
      </c>
      <c r="W29" s="9" t="n">
        <f aca="false">IF(Responses!W29=Responses!W$2,1,0)</f>
        <v>0</v>
      </c>
      <c r="X29" s="9" t="n">
        <f aca="false">IF(Responses!X29=Responses!X$2,1,0)</f>
        <v>1</v>
      </c>
      <c r="Y29" s="9" t="n">
        <f aca="false">IF(Responses!Y29=Responses!Y$2,1,0)</f>
        <v>0</v>
      </c>
      <c r="Z29" s="9" t="n">
        <f aca="false">IF(Responses!Z29=Responses!Z$2,1,0)</f>
        <v>0</v>
      </c>
      <c r="AA29" s="9" t="n">
        <f aca="false">IF(Responses!AA29=Responses!AA$2,1,0)</f>
        <v>0</v>
      </c>
      <c r="AB29" s="9" t="n">
        <f aca="false">IF(Responses!AB29=Responses!AB$2,1,0)</f>
        <v>0</v>
      </c>
      <c r="AC29" s="9" t="n">
        <f aca="false">IF(Responses!AC29=Responses!AC$2,1,0)</f>
        <v>0</v>
      </c>
      <c r="AD29" s="9" t="n">
        <f aca="false">IF(Responses!AD29=Responses!AD$2,1,0)</f>
        <v>0</v>
      </c>
      <c r="AE29" s="9" t="n">
        <f aca="false">IF(Responses!AE29=Responses!AE$2,1,0)</f>
        <v>1</v>
      </c>
      <c r="AF29" s="9" t="n">
        <f aca="false">SUM(B29:AE29)</f>
        <v>9</v>
      </c>
    </row>
    <row r="30" customFormat="false" ht="15" hidden="false" customHeight="false" outlineLevel="0" collapsed="false">
      <c r="A30" s="0" t="str">
        <f aca="false">Responses!A30</f>
        <v>S028</v>
      </c>
      <c r="B30" s="9" t="n">
        <f aca="false">IF(Responses!B30=Responses!B$2,1,0)</f>
        <v>0</v>
      </c>
      <c r="C30" s="9" t="n">
        <f aca="false">IF(Responses!C30=Responses!C$2,1,0)</f>
        <v>0</v>
      </c>
      <c r="D30" s="9" t="n">
        <f aca="false">IF(Responses!D30=Responses!D$2,1,0)</f>
        <v>1</v>
      </c>
      <c r="E30" s="9" t="n">
        <f aca="false">IF(Responses!E30=Responses!E$2,1,0)</f>
        <v>1</v>
      </c>
      <c r="F30" s="9" t="n">
        <f aca="false">IF(Responses!F30=Responses!F$2,1,0)</f>
        <v>1</v>
      </c>
      <c r="G30" s="9" t="n">
        <f aca="false">IF(Responses!G30=Responses!G$2,1,0)</f>
        <v>1</v>
      </c>
      <c r="H30" s="9" t="n">
        <f aca="false">IF(Responses!H30=Responses!H$2,1,0)</f>
        <v>0</v>
      </c>
      <c r="I30" s="9" t="n">
        <f aca="false">IF(Responses!I30=Responses!I$2,1,0)</f>
        <v>1</v>
      </c>
      <c r="J30" s="9" t="n">
        <f aca="false">IF(Responses!J30=Responses!J$2,1,0)</f>
        <v>1</v>
      </c>
      <c r="K30" s="9" t="n">
        <f aca="false">IF(Responses!K30=Responses!K$2,1,0)</f>
        <v>1</v>
      </c>
      <c r="L30" s="9" t="n">
        <f aca="false">IF(Responses!L30=Responses!L$2,1,0)</f>
        <v>1</v>
      </c>
      <c r="M30" s="9" t="n">
        <f aca="false">IF(Responses!M30=Responses!M$2,1,0)</f>
        <v>1</v>
      </c>
      <c r="N30" s="9" t="n">
        <f aca="false">IF(Responses!N30=Responses!N$2,1,0)</f>
        <v>1</v>
      </c>
      <c r="O30" s="9" t="n">
        <f aca="false">IF(Responses!O30=Responses!O$2,1,0)</f>
        <v>0</v>
      </c>
      <c r="P30" s="9" t="n">
        <f aca="false">IF(Responses!P30=Responses!P$2,1,0)</f>
        <v>1</v>
      </c>
      <c r="Q30" s="9" t="n">
        <f aca="false">IF(Responses!Q30=Responses!Q$2,1,0)</f>
        <v>1</v>
      </c>
      <c r="R30" s="9" t="n">
        <f aca="false">IF(Responses!R30=Responses!R$2,1,0)</f>
        <v>1</v>
      </c>
      <c r="S30" s="9" t="n">
        <f aca="false">IF(Responses!S30=Responses!S$2,1,0)</f>
        <v>0</v>
      </c>
      <c r="T30" s="9" t="n">
        <f aca="false">IF(Responses!T30=Responses!T$2,1,0)</f>
        <v>1</v>
      </c>
      <c r="U30" s="9" t="n">
        <f aca="false">IF(Responses!U30=Responses!U$2,1,0)</f>
        <v>1</v>
      </c>
      <c r="V30" s="9" t="n">
        <f aca="false">IF(Responses!V30=Responses!V$2,1,0)</f>
        <v>1</v>
      </c>
      <c r="W30" s="9" t="n">
        <f aca="false">IF(Responses!W30=Responses!W$2,1,0)</f>
        <v>1</v>
      </c>
      <c r="X30" s="9" t="n">
        <f aca="false">IF(Responses!X30=Responses!X$2,1,0)</f>
        <v>1</v>
      </c>
      <c r="Y30" s="9" t="n">
        <f aca="false">IF(Responses!Y30=Responses!Y$2,1,0)</f>
        <v>1</v>
      </c>
      <c r="Z30" s="9" t="n">
        <f aca="false">IF(Responses!Z30=Responses!Z$2,1,0)</f>
        <v>1</v>
      </c>
      <c r="AA30" s="9" t="n">
        <f aca="false">IF(Responses!AA30=Responses!AA$2,1,0)</f>
        <v>1</v>
      </c>
      <c r="AB30" s="9" t="n">
        <f aca="false">IF(Responses!AB30=Responses!AB$2,1,0)</f>
        <v>0</v>
      </c>
      <c r="AC30" s="9" t="n">
        <f aca="false">IF(Responses!AC30=Responses!AC$2,1,0)</f>
        <v>1</v>
      </c>
      <c r="AD30" s="9" t="n">
        <f aca="false">IF(Responses!AD30=Responses!AD$2,1,0)</f>
        <v>1</v>
      </c>
      <c r="AE30" s="9" t="n">
        <f aca="false">IF(Responses!AE30=Responses!AE$2,1,0)</f>
        <v>1</v>
      </c>
      <c r="AF30" s="9" t="n">
        <f aca="false">SUM(B30:AE30)</f>
        <v>24</v>
      </c>
    </row>
    <row r="31" customFormat="false" ht="15" hidden="false" customHeight="false" outlineLevel="0" collapsed="false">
      <c r="A31" s="0" t="str">
        <f aca="false">Responses!A31</f>
        <v>S029</v>
      </c>
      <c r="B31" s="9" t="n">
        <f aca="false">IF(Responses!B31=Responses!B$2,1,0)</f>
        <v>0</v>
      </c>
      <c r="C31" s="9" t="n">
        <f aca="false">IF(Responses!C31=Responses!C$2,1,0)</f>
        <v>0</v>
      </c>
      <c r="D31" s="9" t="n">
        <f aca="false">IF(Responses!D31=Responses!D$2,1,0)</f>
        <v>0</v>
      </c>
      <c r="E31" s="9" t="n">
        <f aca="false">IF(Responses!E31=Responses!E$2,1,0)</f>
        <v>0</v>
      </c>
      <c r="F31" s="9" t="n">
        <f aca="false">IF(Responses!F31=Responses!F$2,1,0)</f>
        <v>0</v>
      </c>
      <c r="G31" s="9" t="n">
        <f aca="false">IF(Responses!G31=Responses!G$2,1,0)</f>
        <v>1</v>
      </c>
      <c r="H31" s="9" t="n">
        <f aca="false">IF(Responses!H31=Responses!H$2,1,0)</f>
        <v>0</v>
      </c>
      <c r="I31" s="9" t="n">
        <f aca="false">IF(Responses!I31=Responses!I$2,1,0)</f>
        <v>0</v>
      </c>
      <c r="J31" s="9" t="n">
        <f aca="false">IF(Responses!J31=Responses!J$2,1,0)</f>
        <v>0</v>
      </c>
      <c r="K31" s="9" t="n">
        <f aca="false">IF(Responses!K31=Responses!K$2,1,0)</f>
        <v>0</v>
      </c>
      <c r="L31" s="9" t="n">
        <f aca="false">IF(Responses!L31=Responses!L$2,1,0)</f>
        <v>0</v>
      </c>
      <c r="M31" s="9" t="n">
        <f aca="false">IF(Responses!M31=Responses!M$2,1,0)</f>
        <v>1</v>
      </c>
      <c r="N31" s="9" t="n">
        <f aca="false">IF(Responses!N31=Responses!N$2,1,0)</f>
        <v>0</v>
      </c>
      <c r="O31" s="9" t="n">
        <f aca="false">IF(Responses!O31=Responses!O$2,1,0)</f>
        <v>1</v>
      </c>
      <c r="P31" s="9" t="n">
        <f aca="false">IF(Responses!P31=Responses!P$2,1,0)</f>
        <v>0</v>
      </c>
      <c r="Q31" s="9" t="n">
        <f aca="false">IF(Responses!Q31=Responses!Q$2,1,0)</f>
        <v>0</v>
      </c>
      <c r="R31" s="9" t="n">
        <f aca="false">IF(Responses!R31=Responses!R$2,1,0)</f>
        <v>0</v>
      </c>
      <c r="S31" s="9" t="n">
        <f aca="false">IF(Responses!S31=Responses!S$2,1,0)</f>
        <v>0</v>
      </c>
      <c r="T31" s="9" t="n">
        <f aca="false">IF(Responses!T31=Responses!T$2,1,0)</f>
        <v>0</v>
      </c>
      <c r="U31" s="9" t="n">
        <f aca="false">IF(Responses!U31=Responses!U$2,1,0)</f>
        <v>0</v>
      </c>
      <c r="V31" s="9" t="n">
        <f aca="false">IF(Responses!V31=Responses!V$2,1,0)</f>
        <v>0</v>
      </c>
      <c r="W31" s="9" t="n">
        <f aca="false">IF(Responses!W31=Responses!W$2,1,0)</f>
        <v>0</v>
      </c>
      <c r="X31" s="9" t="n">
        <f aca="false">IF(Responses!X31=Responses!X$2,1,0)</f>
        <v>0</v>
      </c>
      <c r="Y31" s="9" t="n">
        <f aca="false">IF(Responses!Y31=Responses!Y$2,1,0)</f>
        <v>0</v>
      </c>
      <c r="Z31" s="9" t="n">
        <f aca="false">IF(Responses!Z31=Responses!Z$2,1,0)</f>
        <v>0</v>
      </c>
      <c r="AA31" s="9" t="n">
        <f aca="false">IF(Responses!AA31=Responses!AA$2,1,0)</f>
        <v>0</v>
      </c>
      <c r="AB31" s="9" t="n">
        <f aca="false">IF(Responses!AB31=Responses!AB$2,1,0)</f>
        <v>0</v>
      </c>
      <c r="AC31" s="9" t="n">
        <f aca="false">IF(Responses!AC31=Responses!AC$2,1,0)</f>
        <v>0</v>
      </c>
      <c r="AD31" s="9" t="n">
        <f aca="false">IF(Responses!AD31=Responses!AD$2,1,0)</f>
        <v>1</v>
      </c>
      <c r="AE31" s="9" t="n">
        <f aca="false">IF(Responses!AE31=Responses!AE$2,1,0)</f>
        <v>0</v>
      </c>
      <c r="AF31" s="9" t="n">
        <f aca="false">SUM(B31:AE31)</f>
        <v>4</v>
      </c>
    </row>
    <row r="32" customFormat="false" ht="15" hidden="false" customHeight="false" outlineLevel="0" collapsed="false">
      <c r="A32" s="0" t="str">
        <f aca="false">Responses!A32</f>
        <v>S030</v>
      </c>
      <c r="B32" s="9" t="n">
        <f aca="false">IF(Responses!B32=Responses!B$2,1,0)</f>
        <v>1</v>
      </c>
      <c r="C32" s="9" t="n">
        <f aca="false">IF(Responses!C32=Responses!C$2,1,0)</f>
        <v>0</v>
      </c>
      <c r="D32" s="9" t="n">
        <f aca="false">IF(Responses!D32=Responses!D$2,1,0)</f>
        <v>0</v>
      </c>
      <c r="E32" s="9" t="n">
        <f aca="false">IF(Responses!E32=Responses!E$2,1,0)</f>
        <v>1</v>
      </c>
      <c r="F32" s="9" t="n">
        <f aca="false">IF(Responses!F32=Responses!F$2,1,0)</f>
        <v>1</v>
      </c>
      <c r="G32" s="9" t="n">
        <f aca="false">IF(Responses!G32=Responses!G$2,1,0)</f>
        <v>1</v>
      </c>
      <c r="H32" s="9" t="n">
        <f aca="false">IF(Responses!H32=Responses!H$2,1,0)</f>
        <v>0</v>
      </c>
      <c r="I32" s="9" t="n">
        <f aca="false">IF(Responses!I32=Responses!I$2,1,0)</f>
        <v>1</v>
      </c>
      <c r="J32" s="9" t="n">
        <f aca="false">IF(Responses!J32=Responses!J$2,1,0)</f>
        <v>1</v>
      </c>
      <c r="K32" s="9" t="n">
        <f aca="false">IF(Responses!K32=Responses!K$2,1,0)</f>
        <v>0</v>
      </c>
      <c r="L32" s="9" t="n">
        <f aca="false">IF(Responses!L32=Responses!L$2,1,0)</f>
        <v>0</v>
      </c>
      <c r="M32" s="9" t="n">
        <f aca="false">IF(Responses!M32=Responses!M$2,1,0)</f>
        <v>1</v>
      </c>
      <c r="N32" s="9" t="n">
        <f aca="false">IF(Responses!N32=Responses!N$2,1,0)</f>
        <v>0</v>
      </c>
      <c r="O32" s="9" t="n">
        <f aca="false">IF(Responses!O32=Responses!O$2,1,0)</f>
        <v>0</v>
      </c>
      <c r="P32" s="9" t="n">
        <f aca="false">IF(Responses!P32=Responses!P$2,1,0)</f>
        <v>1</v>
      </c>
      <c r="Q32" s="9" t="n">
        <f aca="false">IF(Responses!Q32=Responses!Q$2,1,0)</f>
        <v>0</v>
      </c>
      <c r="R32" s="9" t="n">
        <f aca="false">IF(Responses!R32=Responses!R$2,1,0)</f>
        <v>1</v>
      </c>
      <c r="S32" s="9" t="n">
        <f aca="false">IF(Responses!S32=Responses!S$2,1,0)</f>
        <v>0</v>
      </c>
      <c r="T32" s="9" t="n">
        <f aca="false">IF(Responses!T32=Responses!T$2,1,0)</f>
        <v>0</v>
      </c>
      <c r="U32" s="9" t="n">
        <f aca="false">IF(Responses!U32=Responses!U$2,1,0)</f>
        <v>1</v>
      </c>
      <c r="V32" s="9" t="n">
        <f aca="false">IF(Responses!V32=Responses!V$2,1,0)</f>
        <v>1</v>
      </c>
      <c r="W32" s="9" t="n">
        <f aca="false">IF(Responses!W32=Responses!W$2,1,0)</f>
        <v>1</v>
      </c>
      <c r="X32" s="9" t="n">
        <f aca="false">IF(Responses!X32=Responses!X$2,1,0)</f>
        <v>1</v>
      </c>
      <c r="Y32" s="9" t="n">
        <f aca="false">IF(Responses!Y32=Responses!Y$2,1,0)</f>
        <v>0</v>
      </c>
      <c r="Z32" s="9" t="n">
        <f aca="false">IF(Responses!Z32=Responses!Z$2,1,0)</f>
        <v>0</v>
      </c>
      <c r="AA32" s="9" t="n">
        <f aca="false">IF(Responses!AA32=Responses!AA$2,1,0)</f>
        <v>1</v>
      </c>
      <c r="AB32" s="9" t="n">
        <f aca="false">IF(Responses!AB32=Responses!AB$2,1,0)</f>
        <v>0</v>
      </c>
      <c r="AC32" s="9" t="n">
        <f aca="false">IF(Responses!AC32=Responses!AC$2,1,0)</f>
        <v>1</v>
      </c>
      <c r="AD32" s="9" t="n">
        <f aca="false">IF(Responses!AD32=Responses!AD$2,1,0)</f>
        <v>0</v>
      </c>
      <c r="AE32" s="9" t="n">
        <f aca="false">IF(Responses!AE32=Responses!AE$2,1,0)</f>
        <v>1</v>
      </c>
      <c r="AF32" s="9" t="n">
        <f aca="false">SUM(B32:AE32)</f>
        <v>16</v>
      </c>
    </row>
    <row r="33" customFormat="false" ht="15" hidden="false" customHeight="false" outlineLevel="0" collapsed="false">
      <c r="A33" s="0" t="str">
        <f aca="false">Responses!A33</f>
        <v>S031</v>
      </c>
      <c r="B33" s="9" t="n">
        <f aca="false">IF(Responses!B33=Responses!B$2,1,0)</f>
        <v>0</v>
      </c>
      <c r="C33" s="9" t="n">
        <f aca="false">IF(Responses!C33=Responses!C$2,1,0)</f>
        <v>0</v>
      </c>
      <c r="D33" s="9" t="n">
        <f aca="false">IF(Responses!D33=Responses!D$2,1,0)</f>
        <v>0</v>
      </c>
      <c r="E33" s="9" t="n">
        <f aca="false">IF(Responses!E33=Responses!E$2,1,0)</f>
        <v>1</v>
      </c>
      <c r="F33" s="9" t="n">
        <f aca="false">IF(Responses!F33=Responses!F$2,1,0)</f>
        <v>0</v>
      </c>
      <c r="G33" s="9" t="n">
        <f aca="false">IF(Responses!G33=Responses!G$2,1,0)</f>
        <v>0</v>
      </c>
      <c r="H33" s="9" t="n">
        <f aca="false">IF(Responses!H33=Responses!H$2,1,0)</f>
        <v>1</v>
      </c>
      <c r="I33" s="9" t="n">
        <f aca="false">IF(Responses!I33=Responses!I$2,1,0)</f>
        <v>0</v>
      </c>
      <c r="J33" s="9" t="n">
        <f aca="false">IF(Responses!J33=Responses!J$2,1,0)</f>
        <v>1</v>
      </c>
      <c r="K33" s="9" t="n">
        <f aca="false">IF(Responses!K33=Responses!K$2,1,0)</f>
        <v>0</v>
      </c>
      <c r="L33" s="9" t="n">
        <f aca="false">IF(Responses!L33=Responses!L$2,1,0)</f>
        <v>1</v>
      </c>
      <c r="M33" s="9" t="n">
        <f aca="false">IF(Responses!M33=Responses!M$2,1,0)</f>
        <v>1</v>
      </c>
      <c r="N33" s="9" t="n">
        <f aca="false">IF(Responses!N33=Responses!N$2,1,0)</f>
        <v>0</v>
      </c>
      <c r="O33" s="9" t="n">
        <f aca="false">IF(Responses!O33=Responses!O$2,1,0)</f>
        <v>0</v>
      </c>
      <c r="P33" s="9" t="n">
        <f aca="false">IF(Responses!P33=Responses!P$2,1,0)</f>
        <v>0</v>
      </c>
      <c r="Q33" s="9" t="n">
        <f aca="false">IF(Responses!Q33=Responses!Q$2,1,0)</f>
        <v>1</v>
      </c>
      <c r="R33" s="9" t="n">
        <f aca="false">IF(Responses!R33=Responses!R$2,1,0)</f>
        <v>0</v>
      </c>
      <c r="S33" s="9" t="n">
        <f aca="false">IF(Responses!S33=Responses!S$2,1,0)</f>
        <v>1</v>
      </c>
      <c r="T33" s="9" t="n">
        <f aca="false">IF(Responses!T33=Responses!T$2,1,0)</f>
        <v>0</v>
      </c>
      <c r="U33" s="9" t="n">
        <f aca="false">IF(Responses!U33=Responses!U$2,1,0)</f>
        <v>0</v>
      </c>
      <c r="V33" s="9" t="n">
        <f aca="false">IF(Responses!V33=Responses!V$2,1,0)</f>
        <v>0</v>
      </c>
      <c r="W33" s="9" t="n">
        <f aca="false">IF(Responses!W33=Responses!W$2,1,0)</f>
        <v>0</v>
      </c>
      <c r="X33" s="9" t="n">
        <f aca="false">IF(Responses!X33=Responses!X$2,1,0)</f>
        <v>0</v>
      </c>
      <c r="Y33" s="9" t="n">
        <f aca="false">IF(Responses!Y33=Responses!Y$2,1,0)</f>
        <v>1</v>
      </c>
      <c r="Z33" s="9" t="n">
        <f aca="false">IF(Responses!Z33=Responses!Z$2,1,0)</f>
        <v>0</v>
      </c>
      <c r="AA33" s="9" t="n">
        <f aca="false">IF(Responses!AA33=Responses!AA$2,1,0)</f>
        <v>0</v>
      </c>
      <c r="AB33" s="9" t="n">
        <f aca="false">IF(Responses!AB33=Responses!AB$2,1,0)</f>
        <v>1</v>
      </c>
      <c r="AC33" s="9" t="n">
        <f aca="false">IF(Responses!AC33=Responses!AC$2,1,0)</f>
        <v>0</v>
      </c>
      <c r="AD33" s="9" t="n">
        <f aca="false">IF(Responses!AD33=Responses!AD$2,1,0)</f>
        <v>1</v>
      </c>
      <c r="AE33" s="9" t="n">
        <f aca="false">IF(Responses!AE33=Responses!AE$2,1,0)</f>
        <v>0</v>
      </c>
      <c r="AF33" s="9" t="n">
        <f aca="false">SUM(B33:AE33)</f>
        <v>10</v>
      </c>
    </row>
    <row r="34" customFormat="false" ht="15" hidden="false" customHeight="false" outlineLevel="0" collapsed="false">
      <c r="A34" s="0" t="str">
        <f aca="false">Responses!A34</f>
        <v>S032</v>
      </c>
      <c r="B34" s="9" t="n">
        <f aca="false">IF(Responses!B34=Responses!B$2,1,0)</f>
        <v>1</v>
      </c>
      <c r="C34" s="9" t="n">
        <f aca="false">IF(Responses!C34=Responses!C$2,1,0)</f>
        <v>0</v>
      </c>
      <c r="D34" s="9" t="n">
        <f aca="false">IF(Responses!D34=Responses!D$2,1,0)</f>
        <v>1</v>
      </c>
      <c r="E34" s="9" t="n">
        <f aca="false">IF(Responses!E34=Responses!E$2,1,0)</f>
        <v>1</v>
      </c>
      <c r="F34" s="9" t="n">
        <f aca="false">IF(Responses!F34=Responses!F$2,1,0)</f>
        <v>1</v>
      </c>
      <c r="G34" s="9" t="n">
        <f aca="false">IF(Responses!G34=Responses!G$2,1,0)</f>
        <v>1</v>
      </c>
      <c r="H34" s="9" t="n">
        <f aca="false">IF(Responses!H34=Responses!H$2,1,0)</f>
        <v>0</v>
      </c>
      <c r="I34" s="9" t="n">
        <f aca="false">IF(Responses!I34=Responses!I$2,1,0)</f>
        <v>1</v>
      </c>
      <c r="J34" s="9" t="n">
        <f aca="false">IF(Responses!J34=Responses!J$2,1,0)</f>
        <v>1</v>
      </c>
      <c r="K34" s="9" t="n">
        <f aca="false">IF(Responses!K34=Responses!K$2,1,0)</f>
        <v>1</v>
      </c>
      <c r="L34" s="9" t="n">
        <f aca="false">IF(Responses!L34=Responses!L$2,1,0)</f>
        <v>1</v>
      </c>
      <c r="M34" s="9" t="n">
        <f aca="false">IF(Responses!M34=Responses!M$2,1,0)</f>
        <v>1</v>
      </c>
      <c r="N34" s="9" t="n">
        <f aca="false">IF(Responses!N34=Responses!N$2,1,0)</f>
        <v>1</v>
      </c>
      <c r="O34" s="9" t="n">
        <f aca="false">IF(Responses!O34=Responses!O$2,1,0)</f>
        <v>1</v>
      </c>
      <c r="P34" s="9" t="n">
        <f aca="false">IF(Responses!P34=Responses!P$2,1,0)</f>
        <v>1</v>
      </c>
      <c r="Q34" s="9" t="n">
        <f aca="false">IF(Responses!Q34=Responses!Q$2,1,0)</f>
        <v>1</v>
      </c>
      <c r="R34" s="9" t="n">
        <f aca="false">IF(Responses!R34=Responses!R$2,1,0)</f>
        <v>1</v>
      </c>
      <c r="S34" s="9" t="n">
        <f aca="false">IF(Responses!S34=Responses!S$2,1,0)</f>
        <v>1</v>
      </c>
      <c r="T34" s="9" t="n">
        <f aca="false">IF(Responses!T34=Responses!T$2,1,0)</f>
        <v>0</v>
      </c>
      <c r="U34" s="9" t="n">
        <f aca="false">IF(Responses!U34=Responses!U$2,1,0)</f>
        <v>1</v>
      </c>
      <c r="V34" s="9" t="n">
        <f aca="false">IF(Responses!V34=Responses!V$2,1,0)</f>
        <v>1</v>
      </c>
      <c r="W34" s="9" t="n">
        <f aca="false">IF(Responses!W34=Responses!W$2,1,0)</f>
        <v>1</v>
      </c>
      <c r="X34" s="9" t="n">
        <f aca="false">IF(Responses!X34=Responses!X$2,1,0)</f>
        <v>1</v>
      </c>
      <c r="Y34" s="9" t="n">
        <f aca="false">IF(Responses!Y34=Responses!Y$2,1,0)</f>
        <v>1</v>
      </c>
      <c r="Z34" s="9" t="n">
        <f aca="false">IF(Responses!Z34=Responses!Z$2,1,0)</f>
        <v>1</v>
      </c>
      <c r="AA34" s="9" t="n">
        <f aca="false">IF(Responses!AA34=Responses!AA$2,1,0)</f>
        <v>1</v>
      </c>
      <c r="AB34" s="9" t="n">
        <f aca="false">IF(Responses!AB34=Responses!AB$2,1,0)</f>
        <v>1</v>
      </c>
      <c r="AC34" s="9" t="n">
        <f aca="false">IF(Responses!AC34=Responses!AC$2,1,0)</f>
        <v>1</v>
      </c>
      <c r="AD34" s="9" t="n">
        <f aca="false">IF(Responses!AD34=Responses!AD$2,1,0)</f>
        <v>1</v>
      </c>
      <c r="AE34" s="9" t="n">
        <f aca="false">IF(Responses!AE34=Responses!AE$2,1,0)</f>
        <v>1</v>
      </c>
      <c r="AF34" s="9" t="n">
        <f aca="false">SUM(B34:AE34)</f>
        <v>27</v>
      </c>
    </row>
    <row r="35" customFormat="false" ht="15" hidden="false" customHeight="false" outlineLevel="0" collapsed="false">
      <c r="A35" s="0" t="str">
        <f aca="false">Responses!A35</f>
        <v>S033</v>
      </c>
      <c r="B35" s="9" t="n">
        <f aca="false">IF(Responses!B35=Responses!B$2,1,0)</f>
        <v>1</v>
      </c>
      <c r="C35" s="9" t="n">
        <f aca="false">IF(Responses!C35=Responses!C$2,1,0)</f>
        <v>1</v>
      </c>
      <c r="D35" s="9" t="n">
        <f aca="false">IF(Responses!D35=Responses!D$2,1,0)</f>
        <v>1</v>
      </c>
      <c r="E35" s="9" t="n">
        <f aca="false">IF(Responses!E35=Responses!E$2,1,0)</f>
        <v>1</v>
      </c>
      <c r="F35" s="9" t="n">
        <f aca="false">IF(Responses!F35=Responses!F$2,1,0)</f>
        <v>0</v>
      </c>
      <c r="G35" s="9" t="n">
        <f aca="false">IF(Responses!G35=Responses!G$2,1,0)</f>
        <v>1</v>
      </c>
      <c r="H35" s="9" t="n">
        <f aca="false">IF(Responses!H35=Responses!H$2,1,0)</f>
        <v>0</v>
      </c>
      <c r="I35" s="9" t="n">
        <f aca="false">IF(Responses!I35=Responses!I$2,1,0)</f>
        <v>1</v>
      </c>
      <c r="J35" s="9" t="n">
        <f aca="false">IF(Responses!J35=Responses!J$2,1,0)</f>
        <v>1</v>
      </c>
      <c r="K35" s="9" t="n">
        <f aca="false">IF(Responses!K35=Responses!K$2,1,0)</f>
        <v>1</v>
      </c>
      <c r="L35" s="9" t="n">
        <f aca="false">IF(Responses!L35=Responses!L$2,1,0)</f>
        <v>1</v>
      </c>
      <c r="M35" s="9" t="n">
        <f aca="false">IF(Responses!M35=Responses!M$2,1,0)</f>
        <v>1</v>
      </c>
      <c r="N35" s="9" t="n">
        <f aca="false">IF(Responses!N35=Responses!N$2,1,0)</f>
        <v>1</v>
      </c>
      <c r="O35" s="9" t="n">
        <f aca="false">IF(Responses!O35=Responses!O$2,1,0)</f>
        <v>0</v>
      </c>
      <c r="P35" s="9" t="n">
        <f aca="false">IF(Responses!P35=Responses!P$2,1,0)</f>
        <v>1</v>
      </c>
      <c r="Q35" s="9" t="n">
        <f aca="false">IF(Responses!Q35=Responses!Q$2,1,0)</f>
        <v>1</v>
      </c>
      <c r="R35" s="9" t="n">
        <f aca="false">IF(Responses!R35=Responses!R$2,1,0)</f>
        <v>1</v>
      </c>
      <c r="S35" s="9" t="n">
        <f aca="false">IF(Responses!S35=Responses!S$2,1,0)</f>
        <v>0</v>
      </c>
      <c r="T35" s="9" t="n">
        <f aca="false">IF(Responses!T35=Responses!T$2,1,0)</f>
        <v>0</v>
      </c>
      <c r="U35" s="9" t="n">
        <f aca="false">IF(Responses!U35=Responses!U$2,1,0)</f>
        <v>1</v>
      </c>
      <c r="V35" s="9" t="n">
        <f aca="false">IF(Responses!V35=Responses!V$2,1,0)</f>
        <v>1</v>
      </c>
      <c r="W35" s="9" t="n">
        <f aca="false">IF(Responses!W35=Responses!W$2,1,0)</f>
        <v>1</v>
      </c>
      <c r="X35" s="9" t="n">
        <f aca="false">IF(Responses!X35=Responses!X$2,1,0)</f>
        <v>1</v>
      </c>
      <c r="Y35" s="9" t="n">
        <f aca="false">IF(Responses!Y35=Responses!Y$2,1,0)</f>
        <v>1</v>
      </c>
      <c r="Z35" s="9" t="n">
        <f aca="false">IF(Responses!Z35=Responses!Z$2,1,0)</f>
        <v>0</v>
      </c>
      <c r="AA35" s="9" t="n">
        <f aca="false">IF(Responses!AA35=Responses!AA$2,1,0)</f>
        <v>1</v>
      </c>
      <c r="AB35" s="9" t="n">
        <f aca="false">IF(Responses!AB35=Responses!AB$2,1,0)</f>
        <v>1</v>
      </c>
      <c r="AC35" s="9" t="n">
        <f aca="false">IF(Responses!AC35=Responses!AC$2,1,0)</f>
        <v>1</v>
      </c>
      <c r="AD35" s="9" t="n">
        <f aca="false">IF(Responses!AD35=Responses!AD$2,1,0)</f>
        <v>1</v>
      </c>
      <c r="AE35" s="9" t="n">
        <f aca="false">IF(Responses!AE35=Responses!AE$2,1,0)</f>
        <v>1</v>
      </c>
      <c r="AF35" s="9" t="n">
        <f aca="false">SUM(B35:AE35)</f>
        <v>24</v>
      </c>
    </row>
    <row r="36" customFormat="false" ht="15" hidden="false" customHeight="false" outlineLevel="0" collapsed="false">
      <c r="A36" s="0" t="str">
        <f aca="false">Responses!A36</f>
        <v>S034</v>
      </c>
      <c r="B36" s="9" t="n">
        <f aca="false">IF(Responses!B36=Responses!B$2,1,0)</f>
        <v>1</v>
      </c>
      <c r="C36" s="9" t="n">
        <f aca="false">IF(Responses!C36=Responses!C$2,1,0)</f>
        <v>0</v>
      </c>
      <c r="D36" s="9" t="n">
        <f aca="false">IF(Responses!D36=Responses!D$2,1,0)</f>
        <v>0</v>
      </c>
      <c r="E36" s="9" t="n">
        <f aca="false">IF(Responses!E36=Responses!E$2,1,0)</f>
        <v>1</v>
      </c>
      <c r="F36" s="9" t="n">
        <f aca="false">IF(Responses!F36=Responses!F$2,1,0)</f>
        <v>1</v>
      </c>
      <c r="G36" s="9" t="n">
        <f aca="false">IF(Responses!G36=Responses!G$2,1,0)</f>
        <v>1</v>
      </c>
      <c r="H36" s="9" t="n">
        <f aca="false">IF(Responses!H36=Responses!H$2,1,0)</f>
        <v>0</v>
      </c>
      <c r="I36" s="9" t="n">
        <f aca="false">IF(Responses!I36=Responses!I$2,1,0)</f>
        <v>1</v>
      </c>
      <c r="J36" s="9" t="n">
        <f aca="false">IF(Responses!J36=Responses!J$2,1,0)</f>
        <v>1</v>
      </c>
      <c r="K36" s="9" t="n">
        <f aca="false">IF(Responses!K36=Responses!K$2,1,0)</f>
        <v>1</v>
      </c>
      <c r="L36" s="9" t="n">
        <f aca="false">IF(Responses!L36=Responses!L$2,1,0)</f>
        <v>1</v>
      </c>
      <c r="M36" s="9" t="n">
        <f aca="false">IF(Responses!M36=Responses!M$2,1,0)</f>
        <v>1</v>
      </c>
      <c r="N36" s="9" t="n">
        <f aca="false">IF(Responses!N36=Responses!N$2,1,0)</f>
        <v>1</v>
      </c>
      <c r="O36" s="9" t="n">
        <f aca="false">IF(Responses!O36=Responses!O$2,1,0)</f>
        <v>1</v>
      </c>
      <c r="P36" s="9" t="n">
        <f aca="false">IF(Responses!P36=Responses!P$2,1,0)</f>
        <v>0</v>
      </c>
      <c r="Q36" s="9" t="n">
        <f aca="false">IF(Responses!Q36=Responses!Q$2,1,0)</f>
        <v>1</v>
      </c>
      <c r="R36" s="9" t="n">
        <f aca="false">IF(Responses!R36=Responses!R$2,1,0)</f>
        <v>1</v>
      </c>
      <c r="S36" s="9" t="n">
        <f aca="false">IF(Responses!S36=Responses!S$2,1,0)</f>
        <v>1</v>
      </c>
      <c r="T36" s="9" t="n">
        <f aca="false">IF(Responses!T36=Responses!T$2,1,0)</f>
        <v>1</v>
      </c>
      <c r="U36" s="9" t="n">
        <f aca="false">IF(Responses!U36=Responses!U$2,1,0)</f>
        <v>1</v>
      </c>
      <c r="V36" s="9" t="n">
        <f aca="false">IF(Responses!V36=Responses!V$2,1,0)</f>
        <v>1</v>
      </c>
      <c r="W36" s="9" t="n">
        <f aca="false">IF(Responses!W36=Responses!W$2,1,0)</f>
        <v>1</v>
      </c>
      <c r="X36" s="9" t="n">
        <f aca="false">IF(Responses!X36=Responses!X$2,1,0)</f>
        <v>1</v>
      </c>
      <c r="Y36" s="9" t="n">
        <f aca="false">IF(Responses!Y36=Responses!Y$2,1,0)</f>
        <v>1</v>
      </c>
      <c r="Z36" s="9" t="n">
        <f aca="false">IF(Responses!Z36=Responses!Z$2,1,0)</f>
        <v>0</v>
      </c>
      <c r="AA36" s="9" t="n">
        <f aca="false">IF(Responses!AA36=Responses!AA$2,1,0)</f>
        <v>1</v>
      </c>
      <c r="AB36" s="9" t="n">
        <f aca="false">IF(Responses!AB36=Responses!AB$2,1,0)</f>
        <v>1</v>
      </c>
      <c r="AC36" s="9" t="n">
        <f aca="false">IF(Responses!AC36=Responses!AC$2,1,0)</f>
        <v>0</v>
      </c>
      <c r="AD36" s="9" t="n">
        <f aca="false">IF(Responses!AD36=Responses!AD$2,1,0)</f>
        <v>1</v>
      </c>
      <c r="AE36" s="9" t="n">
        <f aca="false">IF(Responses!AE36=Responses!AE$2,1,0)</f>
        <v>1</v>
      </c>
      <c r="AF36" s="9" t="n">
        <f aca="false">SUM(B36:AE36)</f>
        <v>24</v>
      </c>
    </row>
    <row r="37" customFormat="false" ht="15" hidden="false" customHeight="false" outlineLevel="0" collapsed="false">
      <c r="A37" s="0" t="str">
        <f aca="false">Responses!A37</f>
        <v>S035</v>
      </c>
      <c r="B37" s="9" t="n">
        <f aca="false">IF(Responses!B37=Responses!B$2,1,0)</f>
        <v>0</v>
      </c>
      <c r="C37" s="9" t="n">
        <f aca="false">IF(Responses!C37=Responses!C$2,1,0)</f>
        <v>1</v>
      </c>
      <c r="D37" s="9" t="n">
        <f aca="false">IF(Responses!D37=Responses!D$2,1,0)</f>
        <v>0</v>
      </c>
      <c r="E37" s="9" t="n">
        <f aca="false">IF(Responses!E37=Responses!E$2,1,0)</f>
        <v>1</v>
      </c>
      <c r="F37" s="9" t="n">
        <f aca="false">IF(Responses!F37=Responses!F$2,1,0)</f>
        <v>0</v>
      </c>
      <c r="G37" s="9" t="n">
        <f aca="false">IF(Responses!G37=Responses!G$2,1,0)</f>
        <v>1</v>
      </c>
      <c r="H37" s="9" t="n">
        <f aca="false">IF(Responses!H37=Responses!H$2,1,0)</f>
        <v>0</v>
      </c>
      <c r="I37" s="9" t="n">
        <f aca="false">IF(Responses!I37=Responses!I$2,1,0)</f>
        <v>0</v>
      </c>
      <c r="J37" s="9" t="n">
        <f aca="false">IF(Responses!J37=Responses!J$2,1,0)</f>
        <v>1</v>
      </c>
      <c r="K37" s="9" t="n">
        <f aca="false">IF(Responses!K37=Responses!K$2,1,0)</f>
        <v>0</v>
      </c>
      <c r="L37" s="9" t="n">
        <f aca="false">IF(Responses!L37=Responses!L$2,1,0)</f>
        <v>0</v>
      </c>
      <c r="M37" s="9" t="n">
        <f aca="false">IF(Responses!M37=Responses!M$2,1,0)</f>
        <v>1</v>
      </c>
      <c r="N37" s="9" t="n">
        <f aca="false">IF(Responses!N37=Responses!N$2,1,0)</f>
        <v>0</v>
      </c>
      <c r="O37" s="9" t="n">
        <f aca="false">IF(Responses!O37=Responses!O$2,1,0)</f>
        <v>1</v>
      </c>
      <c r="P37" s="9" t="n">
        <f aca="false">IF(Responses!P37=Responses!P$2,1,0)</f>
        <v>0</v>
      </c>
      <c r="Q37" s="9" t="n">
        <f aca="false">IF(Responses!Q37=Responses!Q$2,1,0)</f>
        <v>1</v>
      </c>
      <c r="R37" s="9" t="n">
        <f aca="false">IF(Responses!R37=Responses!R$2,1,0)</f>
        <v>1</v>
      </c>
      <c r="S37" s="9" t="n">
        <f aca="false">IF(Responses!S37=Responses!S$2,1,0)</f>
        <v>0</v>
      </c>
      <c r="T37" s="9" t="n">
        <f aca="false">IF(Responses!T37=Responses!T$2,1,0)</f>
        <v>0</v>
      </c>
      <c r="U37" s="9" t="n">
        <f aca="false">IF(Responses!U37=Responses!U$2,1,0)</f>
        <v>1</v>
      </c>
      <c r="V37" s="9" t="n">
        <f aca="false">IF(Responses!V37=Responses!V$2,1,0)</f>
        <v>0</v>
      </c>
      <c r="W37" s="9" t="n">
        <f aca="false">IF(Responses!W37=Responses!W$2,1,0)</f>
        <v>0</v>
      </c>
      <c r="X37" s="9" t="n">
        <f aca="false">IF(Responses!X37=Responses!X$2,1,0)</f>
        <v>0</v>
      </c>
      <c r="Y37" s="9" t="n">
        <f aca="false">IF(Responses!Y37=Responses!Y$2,1,0)</f>
        <v>0</v>
      </c>
      <c r="Z37" s="9" t="n">
        <f aca="false">IF(Responses!Z37=Responses!Z$2,1,0)</f>
        <v>0</v>
      </c>
      <c r="AA37" s="9" t="n">
        <f aca="false">IF(Responses!AA37=Responses!AA$2,1,0)</f>
        <v>1</v>
      </c>
      <c r="AB37" s="9" t="n">
        <f aca="false">IF(Responses!AB37=Responses!AB$2,1,0)</f>
        <v>0</v>
      </c>
      <c r="AC37" s="9" t="n">
        <f aca="false">IF(Responses!AC37=Responses!AC$2,1,0)</f>
        <v>1</v>
      </c>
      <c r="AD37" s="9" t="n">
        <f aca="false">IF(Responses!AD37=Responses!AD$2,1,0)</f>
        <v>0</v>
      </c>
      <c r="AE37" s="9" t="n">
        <f aca="false">IF(Responses!AE37=Responses!AE$2,1,0)</f>
        <v>0</v>
      </c>
      <c r="AF37" s="9" t="n">
        <f aca="false">SUM(B37:AE37)</f>
        <v>11</v>
      </c>
    </row>
    <row r="38" customFormat="false" ht="15" hidden="false" customHeight="false" outlineLevel="0" collapsed="false">
      <c r="A38" s="0" t="str">
        <f aca="false">Responses!A38</f>
        <v>S036</v>
      </c>
      <c r="B38" s="9" t="n">
        <f aca="false">IF(Responses!B38=Responses!B$2,1,0)</f>
        <v>1</v>
      </c>
      <c r="C38" s="9" t="n">
        <f aca="false">IF(Responses!C38=Responses!C$2,1,0)</f>
        <v>0</v>
      </c>
      <c r="D38" s="9" t="n">
        <f aca="false">IF(Responses!D38=Responses!D$2,1,0)</f>
        <v>0</v>
      </c>
      <c r="E38" s="9" t="n">
        <f aca="false">IF(Responses!E38=Responses!E$2,1,0)</f>
        <v>1</v>
      </c>
      <c r="F38" s="9" t="n">
        <f aca="false">IF(Responses!F38=Responses!F$2,1,0)</f>
        <v>1</v>
      </c>
      <c r="G38" s="9" t="n">
        <f aca="false">IF(Responses!G38=Responses!G$2,1,0)</f>
        <v>0</v>
      </c>
      <c r="H38" s="9" t="n">
        <f aca="false">IF(Responses!H38=Responses!H$2,1,0)</f>
        <v>0</v>
      </c>
      <c r="I38" s="9" t="n">
        <f aca="false">IF(Responses!I38=Responses!I$2,1,0)</f>
        <v>1</v>
      </c>
      <c r="J38" s="9" t="n">
        <f aca="false">IF(Responses!J38=Responses!J$2,1,0)</f>
        <v>1</v>
      </c>
      <c r="K38" s="9" t="n">
        <f aca="false">IF(Responses!K38=Responses!K$2,1,0)</f>
        <v>0</v>
      </c>
      <c r="L38" s="9" t="n">
        <f aca="false">IF(Responses!L38=Responses!L$2,1,0)</f>
        <v>1</v>
      </c>
      <c r="M38" s="9" t="n">
        <f aca="false">IF(Responses!M38=Responses!M$2,1,0)</f>
        <v>1</v>
      </c>
      <c r="N38" s="9" t="n">
        <f aca="false">IF(Responses!N38=Responses!N$2,1,0)</f>
        <v>1</v>
      </c>
      <c r="O38" s="9" t="n">
        <f aca="false">IF(Responses!O38=Responses!O$2,1,0)</f>
        <v>1</v>
      </c>
      <c r="P38" s="9" t="n">
        <f aca="false">IF(Responses!P38=Responses!P$2,1,0)</f>
        <v>1</v>
      </c>
      <c r="Q38" s="9" t="n">
        <f aca="false">IF(Responses!Q38=Responses!Q$2,1,0)</f>
        <v>1</v>
      </c>
      <c r="R38" s="9" t="n">
        <f aca="false">IF(Responses!R38=Responses!R$2,1,0)</f>
        <v>1</v>
      </c>
      <c r="S38" s="9" t="n">
        <f aca="false">IF(Responses!S38=Responses!S$2,1,0)</f>
        <v>0</v>
      </c>
      <c r="T38" s="9" t="n">
        <f aca="false">IF(Responses!T38=Responses!T$2,1,0)</f>
        <v>1</v>
      </c>
      <c r="U38" s="9" t="n">
        <f aca="false">IF(Responses!U38=Responses!U$2,1,0)</f>
        <v>1</v>
      </c>
      <c r="V38" s="9" t="n">
        <f aca="false">IF(Responses!V38=Responses!V$2,1,0)</f>
        <v>0</v>
      </c>
      <c r="W38" s="9" t="n">
        <f aca="false">IF(Responses!W38=Responses!W$2,1,0)</f>
        <v>1</v>
      </c>
      <c r="X38" s="9" t="n">
        <f aca="false">IF(Responses!X38=Responses!X$2,1,0)</f>
        <v>1</v>
      </c>
      <c r="Y38" s="9" t="n">
        <f aca="false">IF(Responses!Y38=Responses!Y$2,1,0)</f>
        <v>1</v>
      </c>
      <c r="Z38" s="9" t="n">
        <f aca="false">IF(Responses!Z38=Responses!Z$2,1,0)</f>
        <v>0</v>
      </c>
      <c r="AA38" s="9" t="n">
        <f aca="false">IF(Responses!AA38=Responses!AA$2,1,0)</f>
        <v>0</v>
      </c>
      <c r="AB38" s="9" t="n">
        <f aca="false">IF(Responses!AB38=Responses!AB$2,1,0)</f>
        <v>1</v>
      </c>
      <c r="AC38" s="9" t="n">
        <f aca="false">IF(Responses!AC38=Responses!AC$2,1,0)</f>
        <v>1</v>
      </c>
      <c r="AD38" s="9" t="n">
        <f aca="false">IF(Responses!AD38=Responses!AD$2,1,0)</f>
        <v>1</v>
      </c>
      <c r="AE38" s="9" t="n">
        <f aca="false">IF(Responses!AE38=Responses!AE$2,1,0)</f>
        <v>0</v>
      </c>
      <c r="AF38" s="9" t="n">
        <f aca="false">SUM(B38:AE38)</f>
        <v>20</v>
      </c>
    </row>
    <row r="39" customFormat="false" ht="15" hidden="false" customHeight="false" outlineLevel="0" collapsed="false">
      <c r="A39" s="0" t="str">
        <f aca="false">Responses!A39</f>
        <v>S037</v>
      </c>
      <c r="B39" s="9" t="n">
        <f aca="false">IF(Responses!B39=Responses!B$2,1,0)</f>
        <v>0</v>
      </c>
      <c r="C39" s="9" t="n">
        <f aca="false">IF(Responses!C39=Responses!C$2,1,0)</f>
        <v>0</v>
      </c>
      <c r="D39" s="9" t="n">
        <f aca="false">IF(Responses!D39=Responses!D$2,1,0)</f>
        <v>1</v>
      </c>
      <c r="E39" s="9" t="n">
        <f aca="false">IF(Responses!E39=Responses!E$2,1,0)</f>
        <v>0</v>
      </c>
      <c r="F39" s="9" t="n">
        <f aca="false">IF(Responses!F39=Responses!F$2,1,0)</f>
        <v>0</v>
      </c>
      <c r="G39" s="9" t="n">
        <f aca="false">IF(Responses!G39=Responses!G$2,1,0)</f>
        <v>0</v>
      </c>
      <c r="H39" s="9" t="n">
        <f aca="false">IF(Responses!H39=Responses!H$2,1,0)</f>
        <v>1</v>
      </c>
      <c r="I39" s="9" t="n">
        <f aca="false">IF(Responses!I39=Responses!I$2,1,0)</f>
        <v>0</v>
      </c>
      <c r="J39" s="9" t="n">
        <f aca="false">IF(Responses!J39=Responses!J$2,1,0)</f>
        <v>1</v>
      </c>
      <c r="K39" s="9" t="n">
        <f aca="false">IF(Responses!K39=Responses!K$2,1,0)</f>
        <v>0</v>
      </c>
      <c r="L39" s="9" t="n">
        <f aca="false">IF(Responses!L39=Responses!L$2,1,0)</f>
        <v>0</v>
      </c>
      <c r="M39" s="9" t="n">
        <f aca="false">IF(Responses!M39=Responses!M$2,1,0)</f>
        <v>1</v>
      </c>
      <c r="N39" s="9" t="n">
        <f aca="false">IF(Responses!N39=Responses!N$2,1,0)</f>
        <v>0</v>
      </c>
      <c r="O39" s="9" t="n">
        <f aca="false">IF(Responses!O39=Responses!O$2,1,0)</f>
        <v>1</v>
      </c>
      <c r="P39" s="9" t="n">
        <f aca="false">IF(Responses!P39=Responses!P$2,1,0)</f>
        <v>0</v>
      </c>
      <c r="Q39" s="9" t="n">
        <f aca="false">IF(Responses!Q39=Responses!Q$2,1,0)</f>
        <v>0</v>
      </c>
      <c r="R39" s="9" t="n">
        <f aca="false">IF(Responses!R39=Responses!R$2,1,0)</f>
        <v>1</v>
      </c>
      <c r="S39" s="9" t="n">
        <f aca="false">IF(Responses!S39=Responses!S$2,1,0)</f>
        <v>1</v>
      </c>
      <c r="T39" s="9" t="n">
        <f aca="false">IF(Responses!T39=Responses!T$2,1,0)</f>
        <v>0</v>
      </c>
      <c r="U39" s="9" t="n">
        <f aca="false">IF(Responses!U39=Responses!U$2,1,0)</f>
        <v>0</v>
      </c>
      <c r="V39" s="9" t="n">
        <f aca="false">IF(Responses!V39=Responses!V$2,1,0)</f>
        <v>1</v>
      </c>
      <c r="W39" s="9" t="n">
        <f aca="false">IF(Responses!W39=Responses!W$2,1,0)</f>
        <v>0</v>
      </c>
      <c r="X39" s="9" t="n">
        <f aca="false">IF(Responses!X39=Responses!X$2,1,0)</f>
        <v>1</v>
      </c>
      <c r="Y39" s="9" t="n">
        <f aca="false">IF(Responses!Y39=Responses!Y$2,1,0)</f>
        <v>0</v>
      </c>
      <c r="Z39" s="9" t="n">
        <f aca="false">IF(Responses!Z39=Responses!Z$2,1,0)</f>
        <v>0</v>
      </c>
      <c r="AA39" s="9" t="n">
        <f aca="false">IF(Responses!AA39=Responses!AA$2,1,0)</f>
        <v>0</v>
      </c>
      <c r="AB39" s="9" t="n">
        <f aca="false">IF(Responses!AB39=Responses!AB$2,1,0)</f>
        <v>1</v>
      </c>
      <c r="AC39" s="9" t="n">
        <f aca="false">IF(Responses!AC39=Responses!AC$2,1,0)</f>
        <v>0</v>
      </c>
      <c r="AD39" s="9" t="n">
        <f aca="false">IF(Responses!AD39=Responses!AD$2,1,0)</f>
        <v>0</v>
      </c>
      <c r="AE39" s="9" t="n">
        <f aca="false">IF(Responses!AE39=Responses!AE$2,1,0)</f>
        <v>1</v>
      </c>
      <c r="AF39" s="9" t="n">
        <f aca="false">SUM(B39:AE39)</f>
        <v>11</v>
      </c>
    </row>
    <row r="40" customFormat="false" ht="15" hidden="false" customHeight="false" outlineLevel="0" collapsed="false">
      <c r="A40" s="0" t="str">
        <f aca="false">Responses!A40</f>
        <v>S038</v>
      </c>
      <c r="B40" s="9" t="n">
        <f aca="false">IF(Responses!B40=Responses!B$2,1,0)</f>
        <v>1</v>
      </c>
      <c r="C40" s="9" t="n">
        <f aca="false">IF(Responses!C40=Responses!C$2,1,0)</f>
        <v>0</v>
      </c>
      <c r="D40" s="9" t="n">
        <f aca="false">IF(Responses!D40=Responses!D$2,1,0)</f>
        <v>0</v>
      </c>
      <c r="E40" s="9" t="n">
        <f aca="false">IF(Responses!E40=Responses!E$2,1,0)</f>
        <v>1</v>
      </c>
      <c r="F40" s="9" t="n">
        <f aca="false">IF(Responses!F40=Responses!F$2,1,0)</f>
        <v>0</v>
      </c>
      <c r="G40" s="9" t="n">
        <f aca="false">IF(Responses!G40=Responses!G$2,1,0)</f>
        <v>0</v>
      </c>
      <c r="H40" s="9" t="n">
        <f aca="false">IF(Responses!H40=Responses!H$2,1,0)</f>
        <v>0</v>
      </c>
      <c r="I40" s="9" t="n">
        <f aca="false">IF(Responses!I40=Responses!I$2,1,0)</f>
        <v>0</v>
      </c>
      <c r="J40" s="9" t="n">
        <f aca="false">IF(Responses!J40=Responses!J$2,1,0)</f>
        <v>1</v>
      </c>
      <c r="K40" s="9" t="n">
        <f aca="false">IF(Responses!K40=Responses!K$2,1,0)</f>
        <v>0</v>
      </c>
      <c r="L40" s="9" t="n">
        <f aca="false">IF(Responses!L40=Responses!L$2,1,0)</f>
        <v>0</v>
      </c>
      <c r="M40" s="9" t="n">
        <f aca="false">IF(Responses!M40=Responses!M$2,1,0)</f>
        <v>1</v>
      </c>
      <c r="N40" s="9" t="n">
        <f aca="false">IF(Responses!N40=Responses!N$2,1,0)</f>
        <v>0</v>
      </c>
      <c r="O40" s="9" t="n">
        <f aca="false">IF(Responses!O40=Responses!O$2,1,0)</f>
        <v>1</v>
      </c>
      <c r="P40" s="9" t="n">
        <f aca="false">IF(Responses!P40=Responses!P$2,1,0)</f>
        <v>0</v>
      </c>
      <c r="Q40" s="9" t="n">
        <f aca="false">IF(Responses!Q40=Responses!Q$2,1,0)</f>
        <v>1</v>
      </c>
      <c r="R40" s="9" t="n">
        <f aca="false">IF(Responses!R40=Responses!R$2,1,0)</f>
        <v>1</v>
      </c>
      <c r="S40" s="9" t="n">
        <f aca="false">IF(Responses!S40=Responses!S$2,1,0)</f>
        <v>0</v>
      </c>
      <c r="T40" s="9" t="n">
        <f aca="false">IF(Responses!T40=Responses!T$2,1,0)</f>
        <v>1</v>
      </c>
      <c r="U40" s="9" t="n">
        <f aca="false">IF(Responses!U40=Responses!U$2,1,0)</f>
        <v>0</v>
      </c>
      <c r="V40" s="9" t="n">
        <f aca="false">IF(Responses!V40=Responses!V$2,1,0)</f>
        <v>0</v>
      </c>
      <c r="W40" s="9" t="n">
        <f aca="false">IF(Responses!W40=Responses!W$2,1,0)</f>
        <v>0</v>
      </c>
      <c r="X40" s="9" t="n">
        <f aca="false">IF(Responses!X40=Responses!X$2,1,0)</f>
        <v>0</v>
      </c>
      <c r="Y40" s="9" t="n">
        <f aca="false">IF(Responses!Y40=Responses!Y$2,1,0)</f>
        <v>0</v>
      </c>
      <c r="Z40" s="9" t="n">
        <f aca="false">IF(Responses!Z40=Responses!Z$2,1,0)</f>
        <v>0</v>
      </c>
      <c r="AA40" s="9" t="n">
        <f aca="false">IF(Responses!AA40=Responses!AA$2,1,0)</f>
        <v>0</v>
      </c>
      <c r="AB40" s="9" t="n">
        <f aca="false">IF(Responses!AB40=Responses!AB$2,1,0)</f>
        <v>1</v>
      </c>
      <c r="AC40" s="9" t="n">
        <f aca="false">IF(Responses!AC40=Responses!AC$2,1,0)</f>
        <v>1</v>
      </c>
      <c r="AD40" s="9" t="n">
        <f aca="false">IF(Responses!AD40=Responses!AD$2,1,0)</f>
        <v>1</v>
      </c>
      <c r="AE40" s="9" t="n">
        <f aca="false">IF(Responses!AE40=Responses!AE$2,1,0)</f>
        <v>0</v>
      </c>
      <c r="AF40" s="9" t="n">
        <f aca="false">SUM(B40:AE40)</f>
        <v>11</v>
      </c>
    </row>
    <row r="41" customFormat="false" ht="15" hidden="false" customHeight="false" outlineLevel="0" collapsed="false">
      <c r="A41" s="0" t="str">
        <f aca="false">Responses!A41</f>
        <v>S039</v>
      </c>
      <c r="B41" s="9" t="n">
        <f aca="false">IF(Responses!B41=Responses!B$2,1,0)</f>
        <v>0</v>
      </c>
      <c r="C41" s="9" t="n">
        <f aca="false">IF(Responses!C41=Responses!C$2,1,0)</f>
        <v>1</v>
      </c>
      <c r="D41" s="9" t="n">
        <f aca="false">IF(Responses!D41=Responses!D$2,1,0)</f>
        <v>1</v>
      </c>
      <c r="E41" s="9" t="n">
        <f aca="false">IF(Responses!E41=Responses!E$2,1,0)</f>
        <v>1</v>
      </c>
      <c r="F41" s="9" t="n">
        <f aca="false">IF(Responses!F41=Responses!F$2,1,0)</f>
        <v>1</v>
      </c>
      <c r="G41" s="9" t="n">
        <f aca="false">IF(Responses!G41=Responses!G$2,1,0)</f>
        <v>0</v>
      </c>
      <c r="H41" s="9" t="n">
        <f aca="false">IF(Responses!H41=Responses!H$2,1,0)</f>
        <v>0</v>
      </c>
      <c r="I41" s="9" t="n">
        <f aca="false">IF(Responses!I41=Responses!I$2,1,0)</f>
        <v>1</v>
      </c>
      <c r="J41" s="9" t="n">
        <f aca="false">IF(Responses!J41=Responses!J$2,1,0)</f>
        <v>1</v>
      </c>
      <c r="K41" s="9" t="n">
        <f aca="false">IF(Responses!K41=Responses!K$2,1,0)</f>
        <v>1</v>
      </c>
      <c r="L41" s="9" t="n">
        <f aca="false">IF(Responses!L41=Responses!L$2,1,0)</f>
        <v>0</v>
      </c>
      <c r="M41" s="9" t="n">
        <f aca="false">IF(Responses!M41=Responses!M$2,1,0)</f>
        <v>1</v>
      </c>
      <c r="N41" s="9" t="n">
        <f aca="false">IF(Responses!N41=Responses!N$2,1,0)</f>
        <v>1</v>
      </c>
      <c r="O41" s="9" t="n">
        <f aca="false">IF(Responses!O41=Responses!O$2,1,0)</f>
        <v>1</v>
      </c>
      <c r="P41" s="9" t="n">
        <f aca="false">IF(Responses!P41=Responses!P$2,1,0)</f>
        <v>0</v>
      </c>
      <c r="Q41" s="9" t="n">
        <f aca="false">IF(Responses!Q41=Responses!Q$2,1,0)</f>
        <v>1</v>
      </c>
      <c r="R41" s="9" t="n">
        <f aca="false">IF(Responses!R41=Responses!R$2,1,0)</f>
        <v>1</v>
      </c>
      <c r="S41" s="9" t="n">
        <f aca="false">IF(Responses!S41=Responses!S$2,1,0)</f>
        <v>0</v>
      </c>
      <c r="T41" s="9" t="n">
        <f aca="false">IF(Responses!T41=Responses!T$2,1,0)</f>
        <v>0</v>
      </c>
      <c r="U41" s="9" t="n">
        <f aca="false">IF(Responses!U41=Responses!U$2,1,0)</f>
        <v>0</v>
      </c>
      <c r="V41" s="9" t="n">
        <f aca="false">IF(Responses!V41=Responses!V$2,1,0)</f>
        <v>1</v>
      </c>
      <c r="W41" s="9" t="n">
        <f aca="false">IF(Responses!W41=Responses!W$2,1,0)</f>
        <v>1</v>
      </c>
      <c r="X41" s="9" t="n">
        <f aca="false">IF(Responses!X41=Responses!X$2,1,0)</f>
        <v>0</v>
      </c>
      <c r="Y41" s="9" t="n">
        <f aca="false">IF(Responses!Y41=Responses!Y$2,1,0)</f>
        <v>1</v>
      </c>
      <c r="Z41" s="9" t="n">
        <f aca="false">IF(Responses!Z41=Responses!Z$2,1,0)</f>
        <v>1</v>
      </c>
      <c r="AA41" s="9" t="n">
        <f aca="false">IF(Responses!AA41=Responses!AA$2,1,0)</f>
        <v>1</v>
      </c>
      <c r="AB41" s="9" t="n">
        <f aca="false">IF(Responses!AB41=Responses!AB$2,1,0)</f>
        <v>1</v>
      </c>
      <c r="AC41" s="9" t="n">
        <f aca="false">IF(Responses!AC41=Responses!AC$2,1,0)</f>
        <v>1</v>
      </c>
      <c r="AD41" s="9" t="n">
        <f aca="false">IF(Responses!AD41=Responses!AD$2,1,0)</f>
        <v>1</v>
      </c>
      <c r="AE41" s="9" t="n">
        <f aca="false">IF(Responses!AE41=Responses!AE$2,1,0)</f>
        <v>1</v>
      </c>
      <c r="AF41" s="9" t="n">
        <f aca="false">SUM(B41:AE41)</f>
        <v>21</v>
      </c>
    </row>
    <row r="42" customFormat="false" ht="15" hidden="false" customHeight="false" outlineLevel="0" collapsed="false">
      <c r="A42" s="0" t="str">
        <f aca="false">Responses!A42</f>
        <v>S040</v>
      </c>
      <c r="B42" s="9" t="n">
        <f aca="false">IF(Responses!B42=Responses!B$2,1,0)</f>
        <v>0</v>
      </c>
      <c r="C42" s="9" t="n">
        <f aca="false">IF(Responses!C42=Responses!C$2,1,0)</f>
        <v>0</v>
      </c>
      <c r="D42" s="9" t="n">
        <f aca="false">IF(Responses!D42=Responses!D$2,1,0)</f>
        <v>0</v>
      </c>
      <c r="E42" s="9" t="n">
        <f aca="false">IF(Responses!E42=Responses!E$2,1,0)</f>
        <v>1</v>
      </c>
      <c r="F42" s="9" t="n">
        <f aca="false">IF(Responses!F42=Responses!F$2,1,0)</f>
        <v>1</v>
      </c>
      <c r="G42" s="9" t="n">
        <f aca="false">IF(Responses!G42=Responses!G$2,1,0)</f>
        <v>1</v>
      </c>
      <c r="H42" s="9" t="n">
        <f aca="false">IF(Responses!H42=Responses!H$2,1,0)</f>
        <v>0</v>
      </c>
      <c r="I42" s="9" t="n">
        <f aca="false">IF(Responses!I42=Responses!I$2,1,0)</f>
        <v>1</v>
      </c>
      <c r="J42" s="9" t="n">
        <f aca="false">IF(Responses!J42=Responses!J$2,1,0)</f>
        <v>1</v>
      </c>
      <c r="K42" s="9" t="n">
        <f aca="false">IF(Responses!K42=Responses!K$2,1,0)</f>
        <v>1</v>
      </c>
      <c r="L42" s="9" t="n">
        <f aca="false">IF(Responses!L42=Responses!L$2,1,0)</f>
        <v>1</v>
      </c>
      <c r="M42" s="9" t="n">
        <f aca="false">IF(Responses!M42=Responses!M$2,1,0)</f>
        <v>1</v>
      </c>
      <c r="N42" s="9" t="n">
        <f aca="false">IF(Responses!N42=Responses!N$2,1,0)</f>
        <v>1</v>
      </c>
      <c r="O42" s="9" t="n">
        <f aca="false">IF(Responses!O42=Responses!O$2,1,0)</f>
        <v>1</v>
      </c>
      <c r="P42" s="9" t="n">
        <f aca="false">IF(Responses!P42=Responses!P$2,1,0)</f>
        <v>0</v>
      </c>
      <c r="Q42" s="9" t="n">
        <f aca="false">IF(Responses!Q42=Responses!Q$2,1,0)</f>
        <v>1</v>
      </c>
      <c r="R42" s="9" t="n">
        <f aca="false">IF(Responses!R42=Responses!R$2,1,0)</f>
        <v>1</v>
      </c>
      <c r="S42" s="9" t="n">
        <f aca="false">IF(Responses!S42=Responses!S$2,1,0)</f>
        <v>0</v>
      </c>
      <c r="T42" s="9" t="n">
        <f aca="false">IF(Responses!T42=Responses!T$2,1,0)</f>
        <v>1</v>
      </c>
      <c r="U42" s="9" t="n">
        <f aca="false">IF(Responses!U42=Responses!U$2,1,0)</f>
        <v>1</v>
      </c>
      <c r="V42" s="9" t="n">
        <f aca="false">IF(Responses!V42=Responses!V$2,1,0)</f>
        <v>1</v>
      </c>
      <c r="W42" s="9" t="n">
        <f aca="false">IF(Responses!W42=Responses!W$2,1,0)</f>
        <v>1</v>
      </c>
      <c r="X42" s="9" t="n">
        <f aca="false">IF(Responses!X42=Responses!X$2,1,0)</f>
        <v>1</v>
      </c>
      <c r="Y42" s="9" t="n">
        <f aca="false">IF(Responses!Y42=Responses!Y$2,1,0)</f>
        <v>1</v>
      </c>
      <c r="Z42" s="9" t="n">
        <f aca="false">IF(Responses!Z42=Responses!Z$2,1,0)</f>
        <v>1</v>
      </c>
      <c r="AA42" s="9" t="n">
        <f aca="false">IF(Responses!AA42=Responses!AA$2,1,0)</f>
        <v>1</v>
      </c>
      <c r="AB42" s="9" t="n">
        <f aca="false">IF(Responses!AB42=Responses!AB$2,1,0)</f>
        <v>0</v>
      </c>
      <c r="AC42" s="9" t="n">
        <f aca="false">IF(Responses!AC42=Responses!AC$2,1,0)</f>
        <v>0</v>
      </c>
      <c r="AD42" s="9" t="n">
        <f aca="false">IF(Responses!AD42=Responses!AD$2,1,0)</f>
        <v>1</v>
      </c>
      <c r="AE42" s="9" t="n">
        <f aca="false">IF(Responses!AE42=Responses!AE$2,1,0)</f>
        <v>1</v>
      </c>
      <c r="AF42" s="9" t="n">
        <f aca="false">SUM(B42:AE42)</f>
        <v>22</v>
      </c>
    </row>
    <row r="43" customFormat="false" ht="15" hidden="false" customHeight="false" outlineLevel="0" collapsed="false">
      <c r="A43" s="0" t="str">
        <f aca="false">Responses!A43</f>
        <v>S041</v>
      </c>
      <c r="B43" s="9" t="n">
        <f aca="false">IF(Responses!B43=Responses!B$2,1,0)</f>
        <v>0</v>
      </c>
      <c r="C43" s="9" t="n">
        <f aca="false">IF(Responses!C43=Responses!C$2,1,0)</f>
        <v>1</v>
      </c>
      <c r="D43" s="9" t="n">
        <f aca="false">IF(Responses!D43=Responses!D$2,1,0)</f>
        <v>1</v>
      </c>
      <c r="E43" s="9" t="n">
        <f aca="false">IF(Responses!E43=Responses!E$2,1,0)</f>
        <v>1</v>
      </c>
      <c r="F43" s="9" t="n">
        <f aca="false">IF(Responses!F43=Responses!F$2,1,0)</f>
        <v>0</v>
      </c>
      <c r="G43" s="9" t="n">
        <f aca="false">IF(Responses!G43=Responses!G$2,1,0)</f>
        <v>0</v>
      </c>
      <c r="H43" s="9" t="n">
        <f aca="false">IF(Responses!H43=Responses!H$2,1,0)</f>
        <v>0</v>
      </c>
      <c r="I43" s="9" t="n">
        <f aca="false">IF(Responses!I43=Responses!I$2,1,0)</f>
        <v>1</v>
      </c>
      <c r="J43" s="9" t="n">
        <f aca="false">IF(Responses!J43=Responses!J$2,1,0)</f>
        <v>1</v>
      </c>
      <c r="K43" s="9" t="n">
        <f aca="false">IF(Responses!K43=Responses!K$2,1,0)</f>
        <v>1</v>
      </c>
      <c r="L43" s="9" t="n">
        <f aca="false">IF(Responses!L43=Responses!L$2,1,0)</f>
        <v>1</v>
      </c>
      <c r="M43" s="9" t="n">
        <f aca="false">IF(Responses!M43=Responses!M$2,1,0)</f>
        <v>1</v>
      </c>
      <c r="N43" s="9" t="n">
        <f aca="false">IF(Responses!N43=Responses!N$2,1,0)</f>
        <v>0</v>
      </c>
      <c r="O43" s="9" t="n">
        <f aca="false">IF(Responses!O43=Responses!O$2,1,0)</f>
        <v>1</v>
      </c>
      <c r="P43" s="9" t="n">
        <f aca="false">IF(Responses!P43=Responses!P$2,1,0)</f>
        <v>1</v>
      </c>
      <c r="Q43" s="9" t="n">
        <f aca="false">IF(Responses!Q43=Responses!Q$2,1,0)</f>
        <v>1</v>
      </c>
      <c r="R43" s="9" t="n">
        <f aca="false">IF(Responses!R43=Responses!R$2,1,0)</f>
        <v>1</v>
      </c>
      <c r="S43" s="9" t="n">
        <f aca="false">IF(Responses!S43=Responses!S$2,1,0)</f>
        <v>0</v>
      </c>
      <c r="T43" s="9" t="n">
        <f aca="false">IF(Responses!T43=Responses!T$2,1,0)</f>
        <v>1</v>
      </c>
      <c r="U43" s="9" t="n">
        <f aca="false">IF(Responses!U43=Responses!U$2,1,0)</f>
        <v>0</v>
      </c>
      <c r="V43" s="9" t="n">
        <f aca="false">IF(Responses!V43=Responses!V$2,1,0)</f>
        <v>0</v>
      </c>
      <c r="W43" s="9" t="n">
        <f aca="false">IF(Responses!W43=Responses!W$2,1,0)</f>
        <v>0</v>
      </c>
      <c r="X43" s="9" t="n">
        <f aca="false">IF(Responses!X43=Responses!X$2,1,0)</f>
        <v>1</v>
      </c>
      <c r="Y43" s="9" t="n">
        <f aca="false">IF(Responses!Y43=Responses!Y$2,1,0)</f>
        <v>0</v>
      </c>
      <c r="Z43" s="9" t="n">
        <f aca="false">IF(Responses!Z43=Responses!Z$2,1,0)</f>
        <v>1</v>
      </c>
      <c r="AA43" s="9" t="n">
        <f aca="false">IF(Responses!AA43=Responses!AA$2,1,0)</f>
        <v>1</v>
      </c>
      <c r="AB43" s="9" t="n">
        <f aca="false">IF(Responses!AB43=Responses!AB$2,1,0)</f>
        <v>1</v>
      </c>
      <c r="AC43" s="9" t="n">
        <f aca="false">IF(Responses!AC43=Responses!AC$2,1,0)</f>
        <v>1</v>
      </c>
      <c r="AD43" s="9" t="n">
        <f aca="false">IF(Responses!AD43=Responses!AD$2,1,0)</f>
        <v>0</v>
      </c>
      <c r="AE43" s="9" t="n">
        <f aca="false">IF(Responses!AE43=Responses!AE$2,1,0)</f>
        <v>0</v>
      </c>
      <c r="AF43" s="9" t="n">
        <f aca="false">SUM(B43:AE43)</f>
        <v>18</v>
      </c>
    </row>
    <row r="44" customFormat="false" ht="15" hidden="false" customHeight="false" outlineLevel="0" collapsed="false">
      <c r="A44" s="0" t="str">
        <f aca="false">Responses!A44</f>
        <v>S042</v>
      </c>
      <c r="B44" s="9" t="n">
        <f aca="false">IF(Responses!B44=Responses!B$2,1,0)</f>
        <v>0</v>
      </c>
      <c r="C44" s="9" t="n">
        <f aca="false">IF(Responses!C44=Responses!C$2,1,0)</f>
        <v>1</v>
      </c>
      <c r="D44" s="9" t="n">
        <f aca="false">IF(Responses!D44=Responses!D$2,1,0)</f>
        <v>0</v>
      </c>
      <c r="E44" s="9" t="n">
        <f aca="false">IF(Responses!E44=Responses!E$2,1,0)</f>
        <v>1</v>
      </c>
      <c r="F44" s="9" t="n">
        <f aca="false">IF(Responses!F44=Responses!F$2,1,0)</f>
        <v>1</v>
      </c>
      <c r="G44" s="9" t="n">
        <f aca="false">IF(Responses!G44=Responses!G$2,1,0)</f>
        <v>1</v>
      </c>
      <c r="H44" s="9" t="n">
        <f aca="false">IF(Responses!H44=Responses!H$2,1,0)</f>
        <v>0</v>
      </c>
      <c r="I44" s="9" t="n">
        <f aca="false">IF(Responses!I44=Responses!I$2,1,0)</f>
        <v>1</v>
      </c>
      <c r="J44" s="9" t="n">
        <f aca="false">IF(Responses!J44=Responses!J$2,1,0)</f>
        <v>1</v>
      </c>
      <c r="K44" s="9" t="n">
        <f aca="false">IF(Responses!K44=Responses!K$2,1,0)</f>
        <v>0</v>
      </c>
      <c r="L44" s="9" t="n">
        <f aca="false">IF(Responses!L44=Responses!L$2,1,0)</f>
        <v>0</v>
      </c>
      <c r="M44" s="9" t="n">
        <f aca="false">IF(Responses!M44=Responses!M$2,1,0)</f>
        <v>1</v>
      </c>
      <c r="N44" s="9" t="n">
        <f aca="false">IF(Responses!N44=Responses!N$2,1,0)</f>
        <v>1</v>
      </c>
      <c r="O44" s="9" t="n">
        <f aca="false">IF(Responses!O44=Responses!O$2,1,0)</f>
        <v>0</v>
      </c>
      <c r="P44" s="9" t="n">
        <f aca="false">IF(Responses!P44=Responses!P$2,1,0)</f>
        <v>1</v>
      </c>
      <c r="Q44" s="9" t="n">
        <f aca="false">IF(Responses!Q44=Responses!Q$2,1,0)</f>
        <v>1</v>
      </c>
      <c r="R44" s="9" t="n">
        <f aca="false">IF(Responses!R44=Responses!R$2,1,0)</f>
        <v>1</v>
      </c>
      <c r="S44" s="9" t="n">
        <f aca="false">IF(Responses!S44=Responses!S$2,1,0)</f>
        <v>0</v>
      </c>
      <c r="T44" s="9" t="n">
        <f aca="false">IF(Responses!T44=Responses!T$2,1,0)</f>
        <v>0</v>
      </c>
      <c r="U44" s="9" t="n">
        <f aca="false">IF(Responses!U44=Responses!U$2,1,0)</f>
        <v>0</v>
      </c>
      <c r="V44" s="9" t="n">
        <f aca="false">IF(Responses!V44=Responses!V$2,1,0)</f>
        <v>0</v>
      </c>
      <c r="W44" s="9" t="n">
        <f aca="false">IF(Responses!W44=Responses!W$2,1,0)</f>
        <v>0</v>
      </c>
      <c r="X44" s="9" t="n">
        <f aca="false">IF(Responses!X44=Responses!X$2,1,0)</f>
        <v>1</v>
      </c>
      <c r="Y44" s="9" t="n">
        <f aca="false">IF(Responses!Y44=Responses!Y$2,1,0)</f>
        <v>1</v>
      </c>
      <c r="Z44" s="9" t="n">
        <f aca="false">IF(Responses!Z44=Responses!Z$2,1,0)</f>
        <v>0</v>
      </c>
      <c r="AA44" s="9" t="n">
        <f aca="false">IF(Responses!AA44=Responses!AA$2,1,0)</f>
        <v>0</v>
      </c>
      <c r="AB44" s="9" t="n">
        <f aca="false">IF(Responses!AB44=Responses!AB$2,1,0)</f>
        <v>0</v>
      </c>
      <c r="AC44" s="9" t="n">
        <f aca="false">IF(Responses!AC44=Responses!AC$2,1,0)</f>
        <v>0</v>
      </c>
      <c r="AD44" s="9" t="n">
        <f aca="false">IF(Responses!AD44=Responses!AD$2,1,0)</f>
        <v>0</v>
      </c>
      <c r="AE44" s="9" t="n">
        <f aca="false">IF(Responses!AE44=Responses!AE$2,1,0)</f>
        <v>1</v>
      </c>
      <c r="AF44" s="9" t="n">
        <f aca="false">SUM(B44:AE44)</f>
        <v>14</v>
      </c>
    </row>
    <row r="45" customFormat="false" ht="15" hidden="false" customHeight="false" outlineLevel="0" collapsed="false">
      <c r="A45" s="0" t="str">
        <f aca="false">Responses!A45</f>
        <v>S043</v>
      </c>
      <c r="B45" s="9" t="n">
        <f aca="false">IF(Responses!B45=Responses!B$2,1,0)</f>
        <v>0</v>
      </c>
      <c r="C45" s="9" t="n">
        <f aca="false">IF(Responses!C45=Responses!C$2,1,0)</f>
        <v>0</v>
      </c>
      <c r="D45" s="9" t="n">
        <f aca="false">IF(Responses!D45=Responses!D$2,1,0)</f>
        <v>0</v>
      </c>
      <c r="E45" s="9" t="n">
        <f aca="false">IF(Responses!E45=Responses!E$2,1,0)</f>
        <v>0</v>
      </c>
      <c r="F45" s="9" t="n">
        <f aca="false">IF(Responses!F45=Responses!F$2,1,0)</f>
        <v>0</v>
      </c>
      <c r="G45" s="9" t="n">
        <f aca="false">IF(Responses!G45=Responses!G$2,1,0)</f>
        <v>0</v>
      </c>
      <c r="H45" s="9" t="n">
        <f aca="false">IF(Responses!H45=Responses!H$2,1,0)</f>
        <v>0</v>
      </c>
      <c r="I45" s="9" t="n">
        <f aca="false">IF(Responses!I45=Responses!I$2,1,0)</f>
        <v>0</v>
      </c>
      <c r="J45" s="9" t="n">
        <f aca="false">IF(Responses!J45=Responses!J$2,1,0)</f>
        <v>1</v>
      </c>
      <c r="K45" s="9" t="n">
        <f aca="false">IF(Responses!K45=Responses!K$2,1,0)</f>
        <v>1</v>
      </c>
      <c r="L45" s="9" t="n">
        <f aca="false">IF(Responses!L45=Responses!L$2,1,0)</f>
        <v>0</v>
      </c>
      <c r="M45" s="9" t="n">
        <f aca="false">IF(Responses!M45=Responses!M$2,1,0)</f>
        <v>1</v>
      </c>
      <c r="N45" s="9" t="n">
        <f aca="false">IF(Responses!N45=Responses!N$2,1,0)</f>
        <v>0</v>
      </c>
      <c r="O45" s="9" t="n">
        <f aca="false">IF(Responses!O45=Responses!O$2,1,0)</f>
        <v>0</v>
      </c>
      <c r="P45" s="9" t="n">
        <f aca="false">IF(Responses!P45=Responses!P$2,1,0)</f>
        <v>0</v>
      </c>
      <c r="Q45" s="9" t="n">
        <f aca="false">IF(Responses!Q45=Responses!Q$2,1,0)</f>
        <v>1</v>
      </c>
      <c r="R45" s="9" t="n">
        <f aca="false">IF(Responses!R45=Responses!R$2,1,0)</f>
        <v>0</v>
      </c>
      <c r="S45" s="9" t="n">
        <f aca="false">IF(Responses!S45=Responses!S$2,1,0)</f>
        <v>0</v>
      </c>
      <c r="T45" s="9" t="n">
        <f aca="false">IF(Responses!T45=Responses!T$2,1,0)</f>
        <v>1</v>
      </c>
      <c r="U45" s="9" t="n">
        <f aca="false">IF(Responses!U45=Responses!U$2,1,0)</f>
        <v>0</v>
      </c>
      <c r="V45" s="9" t="n">
        <f aca="false">IF(Responses!V45=Responses!V$2,1,0)</f>
        <v>0</v>
      </c>
      <c r="W45" s="9" t="n">
        <f aca="false">IF(Responses!W45=Responses!W$2,1,0)</f>
        <v>0</v>
      </c>
      <c r="X45" s="9" t="n">
        <f aca="false">IF(Responses!X45=Responses!X$2,1,0)</f>
        <v>1</v>
      </c>
      <c r="Y45" s="9" t="n">
        <f aca="false">IF(Responses!Y45=Responses!Y$2,1,0)</f>
        <v>0</v>
      </c>
      <c r="Z45" s="9" t="n">
        <f aca="false">IF(Responses!Z45=Responses!Z$2,1,0)</f>
        <v>0</v>
      </c>
      <c r="AA45" s="9" t="n">
        <f aca="false">IF(Responses!AA45=Responses!AA$2,1,0)</f>
        <v>0</v>
      </c>
      <c r="AB45" s="9" t="n">
        <f aca="false">IF(Responses!AB45=Responses!AB$2,1,0)</f>
        <v>0</v>
      </c>
      <c r="AC45" s="9" t="n">
        <f aca="false">IF(Responses!AC45=Responses!AC$2,1,0)</f>
        <v>0</v>
      </c>
      <c r="AD45" s="9" t="n">
        <f aca="false">IF(Responses!AD45=Responses!AD$2,1,0)</f>
        <v>1</v>
      </c>
      <c r="AE45" s="9" t="n">
        <f aca="false">IF(Responses!AE45=Responses!AE$2,1,0)</f>
        <v>0</v>
      </c>
      <c r="AF45" s="9" t="n">
        <f aca="false">SUM(B45:AE45)</f>
        <v>7</v>
      </c>
    </row>
    <row r="46" customFormat="false" ht="15" hidden="false" customHeight="false" outlineLevel="0" collapsed="false">
      <c r="A46" s="0" t="str">
        <f aca="false">Responses!A46</f>
        <v>S044</v>
      </c>
      <c r="B46" s="9" t="n">
        <f aca="false">IF(Responses!B46=Responses!B$2,1,0)</f>
        <v>1</v>
      </c>
      <c r="C46" s="9" t="n">
        <f aca="false">IF(Responses!C46=Responses!C$2,1,0)</f>
        <v>1</v>
      </c>
      <c r="D46" s="9" t="n">
        <f aca="false">IF(Responses!D46=Responses!D$2,1,0)</f>
        <v>1</v>
      </c>
      <c r="E46" s="9" t="n">
        <f aca="false">IF(Responses!E46=Responses!E$2,1,0)</f>
        <v>1</v>
      </c>
      <c r="F46" s="9" t="n">
        <f aca="false">IF(Responses!F46=Responses!F$2,1,0)</f>
        <v>0</v>
      </c>
      <c r="G46" s="9" t="n">
        <f aca="false">IF(Responses!G46=Responses!G$2,1,0)</f>
        <v>1</v>
      </c>
      <c r="H46" s="9" t="n">
        <f aca="false">IF(Responses!H46=Responses!H$2,1,0)</f>
        <v>0</v>
      </c>
      <c r="I46" s="9" t="n">
        <f aca="false">IF(Responses!I46=Responses!I$2,1,0)</f>
        <v>1</v>
      </c>
      <c r="J46" s="9" t="n">
        <f aca="false">IF(Responses!J46=Responses!J$2,1,0)</f>
        <v>1</v>
      </c>
      <c r="K46" s="9" t="n">
        <f aca="false">IF(Responses!K46=Responses!K$2,1,0)</f>
        <v>1</v>
      </c>
      <c r="L46" s="9" t="n">
        <f aca="false">IF(Responses!L46=Responses!L$2,1,0)</f>
        <v>1</v>
      </c>
      <c r="M46" s="9" t="n">
        <f aca="false">IF(Responses!M46=Responses!M$2,1,0)</f>
        <v>1</v>
      </c>
      <c r="N46" s="9" t="n">
        <f aca="false">IF(Responses!N46=Responses!N$2,1,0)</f>
        <v>1</v>
      </c>
      <c r="O46" s="9" t="n">
        <f aca="false">IF(Responses!O46=Responses!O$2,1,0)</f>
        <v>1</v>
      </c>
      <c r="P46" s="9" t="n">
        <f aca="false">IF(Responses!P46=Responses!P$2,1,0)</f>
        <v>1</v>
      </c>
      <c r="Q46" s="9" t="n">
        <f aca="false">IF(Responses!Q46=Responses!Q$2,1,0)</f>
        <v>1</v>
      </c>
      <c r="R46" s="9" t="n">
        <f aca="false">IF(Responses!R46=Responses!R$2,1,0)</f>
        <v>1</v>
      </c>
      <c r="S46" s="9" t="n">
        <f aca="false">IF(Responses!S46=Responses!S$2,1,0)</f>
        <v>0</v>
      </c>
      <c r="T46" s="9" t="n">
        <f aca="false">IF(Responses!T46=Responses!T$2,1,0)</f>
        <v>1</v>
      </c>
      <c r="U46" s="9" t="n">
        <f aca="false">IF(Responses!U46=Responses!U$2,1,0)</f>
        <v>1</v>
      </c>
      <c r="V46" s="9" t="n">
        <f aca="false">IF(Responses!V46=Responses!V$2,1,0)</f>
        <v>1</v>
      </c>
      <c r="W46" s="9" t="n">
        <f aca="false">IF(Responses!W46=Responses!W$2,1,0)</f>
        <v>1</v>
      </c>
      <c r="X46" s="9" t="n">
        <f aca="false">IF(Responses!X46=Responses!X$2,1,0)</f>
        <v>1</v>
      </c>
      <c r="Y46" s="9" t="n">
        <f aca="false">IF(Responses!Y46=Responses!Y$2,1,0)</f>
        <v>1</v>
      </c>
      <c r="Z46" s="9" t="n">
        <f aca="false">IF(Responses!Z46=Responses!Z$2,1,0)</f>
        <v>1</v>
      </c>
      <c r="AA46" s="9" t="n">
        <f aca="false">IF(Responses!AA46=Responses!AA$2,1,0)</f>
        <v>1</v>
      </c>
      <c r="AB46" s="9" t="n">
        <f aca="false">IF(Responses!AB46=Responses!AB$2,1,0)</f>
        <v>0</v>
      </c>
      <c r="AC46" s="9" t="n">
        <f aca="false">IF(Responses!AC46=Responses!AC$2,1,0)</f>
        <v>1</v>
      </c>
      <c r="AD46" s="9" t="n">
        <f aca="false">IF(Responses!AD46=Responses!AD$2,1,0)</f>
        <v>1</v>
      </c>
      <c r="AE46" s="9" t="n">
        <f aca="false">IF(Responses!AE46=Responses!AE$2,1,0)</f>
        <v>1</v>
      </c>
      <c r="AF46" s="9" t="n">
        <f aca="false">SUM(B46:AE46)</f>
        <v>26</v>
      </c>
    </row>
    <row r="47" customFormat="false" ht="15" hidden="false" customHeight="false" outlineLevel="0" collapsed="false">
      <c r="A47" s="0" t="str">
        <f aca="false">Responses!A47</f>
        <v>S045</v>
      </c>
      <c r="B47" s="9" t="n">
        <f aca="false">IF(Responses!B47=Responses!B$2,1,0)</f>
        <v>1</v>
      </c>
      <c r="C47" s="9" t="n">
        <f aca="false">IF(Responses!C47=Responses!C$2,1,0)</f>
        <v>0</v>
      </c>
      <c r="D47" s="9" t="n">
        <f aca="false">IF(Responses!D47=Responses!D$2,1,0)</f>
        <v>0</v>
      </c>
      <c r="E47" s="9" t="n">
        <f aca="false">IF(Responses!E47=Responses!E$2,1,0)</f>
        <v>1</v>
      </c>
      <c r="F47" s="9" t="n">
        <f aca="false">IF(Responses!F47=Responses!F$2,1,0)</f>
        <v>0</v>
      </c>
      <c r="G47" s="9" t="n">
        <f aca="false">IF(Responses!G47=Responses!G$2,1,0)</f>
        <v>1</v>
      </c>
      <c r="H47" s="9" t="n">
        <f aca="false">IF(Responses!H47=Responses!H$2,1,0)</f>
        <v>0</v>
      </c>
      <c r="I47" s="9" t="n">
        <f aca="false">IF(Responses!I47=Responses!I$2,1,0)</f>
        <v>1</v>
      </c>
      <c r="J47" s="9" t="n">
        <f aca="false">IF(Responses!J47=Responses!J$2,1,0)</f>
        <v>1</v>
      </c>
      <c r="K47" s="9" t="n">
        <f aca="false">IF(Responses!K47=Responses!K$2,1,0)</f>
        <v>1</v>
      </c>
      <c r="L47" s="9" t="n">
        <f aca="false">IF(Responses!L47=Responses!L$2,1,0)</f>
        <v>1</v>
      </c>
      <c r="M47" s="9" t="n">
        <f aca="false">IF(Responses!M47=Responses!M$2,1,0)</f>
        <v>1</v>
      </c>
      <c r="N47" s="9" t="n">
        <f aca="false">IF(Responses!N47=Responses!N$2,1,0)</f>
        <v>1</v>
      </c>
      <c r="O47" s="9" t="n">
        <f aca="false">IF(Responses!O47=Responses!O$2,1,0)</f>
        <v>1</v>
      </c>
      <c r="P47" s="9" t="n">
        <f aca="false">IF(Responses!P47=Responses!P$2,1,0)</f>
        <v>0</v>
      </c>
      <c r="Q47" s="9" t="n">
        <f aca="false">IF(Responses!Q47=Responses!Q$2,1,0)</f>
        <v>1</v>
      </c>
      <c r="R47" s="9" t="n">
        <f aca="false">IF(Responses!R47=Responses!R$2,1,0)</f>
        <v>1</v>
      </c>
      <c r="S47" s="9" t="n">
        <f aca="false">IF(Responses!S47=Responses!S$2,1,0)</f>
        <v>1</v>
      </c>
      <c r="T47" s="9" t="n">
        <f aca="false">IF(Responses!T47=Responses!T$2,1,0)</f>
        <v>1</v>
      </c>
      <c r="U47" s="9" t="n">
        <f aca="false">IF(Responses!U47=Responses!U$2,1,0)</f>
        <v>1</v>
      </c>
      <c r="V47" s="9" t="n">
        <f aca="false">IF(Responses!V47=Responses!V$2,1,0)</f>
        <v>0</v>
      </c>
      <c r="W47" s="9" t="n">
        <f aca="false">IF(Responses!W47=Responses!W$2,1,0)</f>
        <v>1</v>
      </c>
      <c r="X47" s="9" t="n">
        <f aca="false">IF(Responses!X47=Responses!X$2,1,0)</f>
        <v>1</v>
      </c>
      <c r="Y47" s="9" t="n">
        <f aca="false">IF(Responses!Y47=Responses!Y$2,1,0)</f>
        <v>1</v>
      </c>
      <c r="Z47" s="9" t="n">
        <f aca="false">IF(Responses!Z47=Responses!Z$2,1,0)</f>
        <v>1</v>
      </c>
      <c r="AA47" s="9" t="n">
        <f aca="false">IF(Responses!AA47=Responses!AA$2,1,0)</f>
        <v>0</v>
      </c>
      <c r="AB47" s="9" t="n">
        <f aca="false">IF(Responses!AB47=Responses!AB$2,1,0)</f>
        <v>0</v>
      </c>
      <c r="AC47" s="9" t="n">
        <f aca="false">IF(Responses!AC47=Responses!AC$2,1,0)</f>
        <v>1</v>
      </c>
      <c r="AD47" s="9" t="n">
        <f aca="false">IF(Responses!AD47=Responses!AD$2,1,0)</f>
        <v>0</v>
      </c>
      <c r="AE47" s="9" t="n">
        <f aca="false">IF(Responses!AE47=Responses!AE$2,1,0)</f>
        <v>1</v>
      </c>
      <c r="AF47" s="9" t="n">
        <f aca="false">SUM(B47:AE47)</f>
        <v>21</v>
      </c>
    </row>
    <row r="48" customFormat="false" ht="15" hidden="false" customHeight="false" outlineLevel="0" collapsed="false">
      <c r="A48" s="0" t="str">
        <f aca="false">Responses!A48</f>
        <v>S046</v>
      </c>
      <c r="B48" s="9" t="n">
        <f aca="false">IF(Responses!B48=Responses!B$2,1,0)</f>
        <v>1</v>
      </c>
      <c r="C48" s="9" t="n">
        <f aca="false">IF(Responses!C48=Responses!C$2,1,0)</f>
        <v>0</v>
      </c>
      <c r="D48" s="9" t="n">
        <f aca="false">IF(Responses!D48=Responses!D$2,1,0)</f>
        <v>1</v>
      </c>
      <c r="E48" s="9" t="n">
        <f aca="false">IF(Responses!E48=Responses!E$2,1,0)</f>
        <v>1</v>
      </c>
      <c r="F48" s="9" t="n">
        <f aca="false">IF(Responses!F48=Responses!F$2,1,0)</f>
        <v>0</v>
      </c>
      <c r="G48" s="9" t="n">
        <f aca="false">IF(Responses!G48=Responses!G$2,1,0)</f>
        <v>0</v>
      </c>
      <c r="H48" s="9" t="n">
        <f aca="false">IF(Responses!H48=Responses!H$2,1,0)</f>
        <v>1</v>
      </c>
      <c r="I48" s="9" t="n">
        <f aca="false">IF(Responses!I48=Responses!I$2,1,0)</f>
        <v>1</v>
      </c>
      <c r="J48" s="9" t="n">
        <f aca="false">IF(Responses!J48=Responses!J$2,1,0)</f>
        <v>1</v>
      </c>
      <c r="K48" s="9" t="n">
        <f aca="false">IF(Responses!K48=Responses!K$2,1,0)</f>
        <v>1</v>
      </c>
      <c r="L48" s="9" t="n">
        <f aca="false">IF(Responses!L48=Responses!L$2,1,0)</f>
        <v>1</v>
      </c>
      <c r="M48" s="9" t="n">
        <f aca="false">IF(Responses!M48=Responses!M$2,1,0)</f>
        <v>1</v>
      </c>
      <c r="N48" s="9" t="n">
        <f aca="false">IF(Responses!N48=Responses!N$2,1,0)</f>
        <v>1</v>
      </c>
      <c r="O48" s="9" t="n">
        <f aca="false">IF(Responses!O48=Responses!O$2,1,0)</f>
        <v>1</v>
      </c>
      <c r="P48" s="9" t="n">
        <f aca="false">IF(Responses!P48=Responses!P$2,1,0)</f>
        <v>0</v>
      </c>
      <c r="Q48" s="9" t="n">
        <f aca="false">IF(Responses!Q48=Responses!Q$2,1,0)</f>
        <v>1</v>
      </c>
      <c r="R48" s="9" t="n">
        <f aca="false">IF(Responses!R48=Responses!R$2,1,0)</f>
        <v>1</v>
      </c>
      <c r="S48" s="9" t="n">
        <f aca="false">IF(Responses!S48=Responses!S$2,1,0)</f>
        <v>1</v>
      </c>
      <c r="T48" s="9" t="n">
        <f aca="false">IF(Responses!T48=Responses!T$2,1,0)</f>
        <v>0</v>
      </c>
      <c r="U48" s="9" t="n">
        <f aca="false">IF(Responses!U48=Responses!U$2,1,0)</f>
        <v>1</v>
      </c>
      <c r="V48" s="9" t="n">
        <f aca="false">IF(Responses!V48=Responses!V$2,1,0)</f>
        <v>1</v>
      </c>
      <c r="W48" s="9" t="n">
        <f aca="false">IF(Responses!W48=Responses!W$2,1,0)</f>
        <v>0</v>
      </c>
      <c r="X48" s="9" t="n">
        <f aca="false">IF(Responses!X48=Responses!X$2,1,0)</f>
        <v>1</v>
      </c>
      <c r="Y48" s="9" t="n">
        <f aca="false">IF(Responses!Y48=Responses!Y$2,1,0)</f>
        <v>0</v>
      </c>
      <c r="Z48" s="9" t="n">
        <f aca="false">IF(Responses!Z48=Responses!Z$2,1,0)</f>
        <v>1</v>
      </c>
      <c r="AA48" s="9" t="n">
        <f aca="false">IF(Responses!AA48=Responses!AA$2,1,0)</f>
        <v>1</v>
      </c>
      <c r="AB48" s="9" t="n">
        <f aca="false">IF(Responses!AB48=Responses!AB$2,1,0)</f>
        <v>1</v>
      </c>
      <c r="AC48" s="9" t="n">
        <f aca="false">IF(Responses!AC48=Responses!AC$2,1,0)</f>
        <v>1</v>
      </c>
      <c r="AD48" s="9" t="n">
        <f aca="false">IF(Responses!AD48=Responses!AD$2,1,0)</f>
        <v>1</v>
      </c>
      <c r="AE48" s="9" t="n">
        <f aca="false">IF(Responses!AE48=Responses!AE$2,1,0)</f>
        <v>1</v>
      </c>
      <c r="AF48" s="9" t="n">
        <f aca="false">SUM(B48:AE48)</f>
        <v>23</v>
      </c>
    </row>
    <row r="49" customFormat="false" ht="15" hidden="false" customHeight="false" outlineLevel="0" collapsed="false">
      <c r="A49" s="0" t="str">
        <f aca="false">Responses!A49</f>
        <v>S047</v>
      </c>
      <c r="B49" s="9" t="n">
        <f aca="false">IF(Responses!B49=Responses!B$2,1,0)</f>
        <v>1</v>
      </c>
      <c r="C49" s="9" t="n">
        <f aca="false">IF(Responses!C49=Responses!C$2,1,0)</f>
        <v>1</v>
      </c>
      <c r="D49" s="9" t="n">
        <f aca="false">IF(Responses!D49=Responses!D$2,1,0)</f>
        <v>1</v>
      </c>
      <c r="E49" s="9" t="n">
        <f aca="false">IF(Responses!E49=Responses!E$2,1,0)</f>
        <v>1</v>
      </c>
      <c r="F49" s="9" t="n">
        <f aca="false">IF(Responses!F49=Responses!F$2,1,0)</f>
        <v>1</v>
      </c>
      <c r="G49" s="9" t="n">
        <f aca="false">IF(Responses!G49=Responses!G$2,1,0)</f>
        <v>1</v>
      </c>
      <c r="H49" s="9" t="n">
        <f aca="false">IF(Responses!H49=Responses!H$2,1,0)</f>
        <v>0</v>
      </c>
      <c r="I49" s="9" t="n">
        <f aca="false">IF(Responses!I49=Responses!I$2,1,0)</f>
        <v>1</v>
      </c>
      <c r="J49" s="9" t="n">
        <f aca="false">IF(Responses!J49=Responses!J$2,1,0)</f>
        <v>1</v>
      </c>
      <c r="K49" s="9" t="n">
        <f aca="false">IF(Responses!K49=Responses!K$2,1,0)</f>
        <v>1</v>
      </c>
      <c r="L49" s="9" t="n">
        <f aca="false">IF(Responses!L49=Responses!L$2,1,0)</f>
        <v>1</v>
      </c>
      <c r="M49" s="9" t="n">
        <f aca="false">IF(Responses!M49=Responses!M$2,1,0)</f>
        <v>1</v>
      </c>
      <c r="N49" s="9" t="n">
        <f aca="false">IF(Responses!N49=Responses!N$2,1,0)</f>
        <v>1</v>
      </c>
      <c r="O49" s="9" t="n">
        <f aca="false">IF(Responses!O49=Responses!O$2,1,0)</f>
        <v>1</v>
      </c>
      <c r="P49" s="9" t="n">
        <f aca="false">IF(Responses!P49=Responses!P$2,1,0)</f>
        <v>0</v>
      </c>
      <c r="Q49" s="9" t="n">
        <f aca="false">IF(Responses!Q49=Responses!Q$2,1,0)</f>
        <v>1</v>
      </c>
      <c r="R49" s="9" t="n">
        <f aca="false">IF(Responses!R49=Responses!R$2,1,0)</f>
        <v>1</v>
      </c>
      <c r="S49" s="9" t="n">
        <f aca="false">IF(Responses!S49=Responses!S$2,1,0)</f>
        <v>0</v>
      </c>
      <c r="T49" s="9" t="n">
        <f aca="false">IF(Responses!T49=Responses!T$2,1,0)</f>
        <v>1</v>
      </c>
      <c r="U49" s="9" t="n">
        <f aca="false">IF(Responses!U49=Responses!U$2,1,0)</f>
        <v>1</v>
      </c>
      <c r="V49" s="9" t="n">
        <f aca="false">IF(Responses!V49=Responses!V$2,1,0)</f>
        <v>1</v>
      </c>
      <c r="W49" s="9" t="n">
        <f aca="false">IF(Responses!W49=Responses!W$2,1,0)</f>
        <v>1</v>
      </c>
      <c r="X49" s="9" t="n">
        <f aca="false">IF(Responses!X49=Responses!X$2,1,0)</f>
        <v>1</v>
      </c>
      <c r="Y49" s="9" t="n">
        <f aca="false">IF(Responses!Y49=Responses!Y$2,1,0)</f>
        <v>1</v>
      </c>
      <c r="Z49" s="9" t="n">
        <f aca="false">IF(Responses!Z49=Responses!Z$2,1,0)</f>
        <v>1</v>
      </c>
      <c r="AA49" s="9" t="n">
        <f aca="false">IF(Responses!AA49=Responses!AA$2,1,0)</f>
        <v>1</v>
      </c>
      <c r="AB49" s="9" t="n">
        <f aca="false">IF(Responses!AB49=Responses!AB$2,1,0)</f>
        <v>0</v>
      </c>
      <c r="AC49" s="9" t="n">
        <f aca="false">IF(Responses!AC49=Responses!AC$2,1,0)</f>
        <v>1</v>
      </c>
      <c r="AD49" s="9" t="n">
        <f aca="false">IF(Responses!AD49=Responses!AD$2,1,0)</f>
        <v>1</v>
      </c>
      <c r="AE49" s="9" t="n">
        <f aca="false">IF(Responses!AE49=Responses!AE$2,1,0)</f>
        <v>1</v>
      </c>
      <c r="AF49" s="9" t="n">
        <f aca="false">SUM(B49:AE49)</f>
        <v>26</v>
      </c>
    </row>
    <row r="50" customFormat="false" ht="15" hidden="false" customHeight="false" outlineLevel="0" collapsed="false">
      <c r="A50" s="0" t="str">
        <f aca="false">Responses!A50</f>
        <v>S048</v>
      </c>
      <c r="B50" s="9" t="n">
        <f aca="false">IF(Responses!B50=Responses!B$2,1,0)</f>
        <v>1</v>
      </c>
      <c r="C50" s="9" t="n">
        <f aca="false">IF(Responses!C50=Responses!C$2,1,0)</f>
        <v>0</v>
      </c>
      <c r="D50" s="9" t="n">
        <f aca="false">IF(Responses!D50=Responses!D$2,1,0)</f>
        <v>0</v>
      </c>
      <c r="E50" s="9" t="n">
        <f aca="false">IF(Responses!E50=Responses!E$2,1,0)</f>
        <v>1</v>
      </c>
      <c r="F50" s="9" t="n">
        <f aca="false">IF(Responses!F50=Responses!F$2,1,0)</f>
        <v>0</v>
      </c>
      <c r="G50" s="9" t="n">
        <f aca="false">IF(Responses!G50=Responses!G$2,1,0)</f>
        <v>0</v>
      </c>
      <c r="H50" s="9" t="n">
        <f aca="false">IF(Responses!H50=Responses!H$2,1,0)</f>
        <v>1</v>
      </c>
      <c r="I50" s="9" t="n">
        <f aca="false">IF(Responses!I50=Responses!I$2,1,0)</f>
        <v>0</v>
      </c>
      <c r="J50" s="9" t="n">
        <f aca="false">IF(Responses!J50=Responses!J$2,1,0)</f>
        <v>0</v>
      </c>
      <c r="K50" s="9" t="n">
        <f aca="false">IF(Responses!K50=Responses!K$2,1,0)</f>
        <v>0</v>
      </c>
      <c r="L50" s="9" t="n">
        <f aca="false">IF(Responses!L50=Responses!L$2,1,0)</f>
        <v>0</v>
      </c>
      <c r="M50" s="9" t="n">
        <f aca="false">IF(Responses!M50=Responses!M$2,1,0)</f>
        <v>1</v>
      </c>
      <c r="N50" s="9" t="n">
        <f aca="false">IF(Responses!N50=Responses!N$2,1,0)</f>
        <v>0</v>
      </c>
      <c r="O50" s="9" t="n">
        <f aca="false">IF(Responses!O50=Responses!O$2,1,0)</f>
        <v>0</v>
      </c>
      <c r="P50" s="9" t="n">
        <f aca="false">IF(Responses!P50=Responses!P$2,1,0)</f>
        <v>0</v>
      </c>
      <c r="Q50" s="9" t="n">
        <f aca="false">IF(Responses!Q50=Responses!Q$2,1,0)</f>
        <v>0</v>
      </c>
      <c r="R50" s="9" t="n">
        <f aca="false">IF(Responses!R50=Responses!R$2,1,0)</f>
        <v>1</v>
      </c>
      <c r="S50" s="9" t="n">
        <f aca="false">IF(Responses!S50=Responses!S$2,1,0)</f>
        <v>0</v>
      </c>
      <c r="T50" s="9" t="n">
        <f aca="false">IF(Responses!T50=Responses!T$2,1,0)</f>
        <v>0</v>
      </c>
      <c r="U50" s="9" t="n">
        <f aca="false">IF(Responses!U50=Responses!U$2,1,0)</f>
        <v>0</v>
      </c>
      <c r="V50" s="9" t="n">
        <f aca="false">IF(Responses!V50=Responses!V$2,1,0)</f>
        <v>0</v>
      </c>
      <c r="W50" s="9" t="n">
        <f aca="false">IF(Responses!W50=Responses!W$2,1,0)</f>
        <v>0</v>
      </c>
      <c r="X50" s="9" t="n">
        <f aca="false">IF(Responses!X50=Responses!X$2,1,0)</f>
        <v>0</v>
      </c>
      <c r="Y50" s="9" t="n">
        <f aca="false">IF(Responses!Y50=Responses!Y$2,1,0)</f>
        <v>0</v>
      </c>
      <c r="Z50" s="9" t="n">
        <f aca="false">IF(Responses!Z50=Responses!Z$2,1,0)</f>
        <v>1</v>
      </c>
      <c r="AA50" s="9" t="n">
        <f aca="false">IF(Responses!AA50=Responses!AA$2,1,0)</f>
        <v>0</v>
      </c>
      <c r="AB50" s="9" t="n">
        <f aca="false">IF(Responses!AB50=Responses!AB$2,1,0)</f>
        <v>0</v>
      </c>
      <c r="AC50" s="9" t="n">
        <f aca="false">IF(Responses!AC50=Responses!AC$2,1,0)</f>
        <v>1</v>
      </c>
      <c r="AD50" s="9" t="n">
        <f aca="false">IF(Responses!AD50=Responses!AD$2,1,0)</f>
        <v>0</v>
      </c>
      <c r="AE50" s="9" t="n">
        <f aca="false">IF(Responses!AE50=Responses!AE$2,1,0)</f>
        <v>0</v>
      </c>
      <c r="AF50" s="9" t="n">
        <f aca="false">SUM(B50:AE50)</f>
        <v>7</v>
      </c>
    </row>
    <row r="51" customFormat="false" ht="15" hidden="false" customHeight="false" outlineLevel="0" collapsed="false">
      <c r="A51" s="0" t="str">
        <f aca="false">Responses!A51</f>
        <v>S049</v>
      </c>
      <c r="B51" s="9" t="n">
        <f aca="false">IF(Responses!B51=Responses!B$2,1,0)</f>
        <v>1</v>
      </c>
      <c r="C51" s="9" t="n">
        <f aca="false">IF(Responses!C51=Responses!C$2,1,0)</f>
        <v>1</v>
      </c>
      <c r="D51" s="9" t="n">
        <f aca="false">IF(Responses!D51=Responses!D$2,1,0)</f>
        <v>1</v>
      </c>
      <c r="E51" s="9" t="n">
        <f aca="false">IF(Responses!E51=Responses!E$2,1,0)</f>
        <v>1</v>
      </c>
      <c r="F51" s="9" t="n">
        <f aca="false">IF(Responses!F51=Responses!F$2,1,0)</f>
        <v>1</v>
      </c>
      <c r="G51" s="9" t="n">
        <f aca="false">IF(Responses!G51=Responses!G$2,1,0)</f>
        <v>1</v>
      </c>
      <c r="H51" s="9" t="n">
        <f aca="false">IF(Responses!H51=Responses!H$2,1,0)</f>
        <v>0</v>
      </c>
      <c r="I51" s="9" t="n">
        <f aca="false">IF(Responses!I51=Responses!I$2,1,0)</f>
        <v>1</v>
      </c>
      <c r="J51" s="9" t="n">
        <f aca="false">IF(Responses!J51=Responses!J$2,1,0)</f>
        <v>1</v>
      </c>
      <c r="K51" s="9" t="n">
        <f aca="false">IF(Responses!K51=Responses!K$2,1,0)</f>
        <v>1</v>
      </c>
      <c r="L51" s="9" t="n">
        <f aca="false">IF(Responses!L51=Responses!L$2,1,0)</f>
        <v>1</v>
      </c>
      <c r="M51" s="9" t="n">
        <f aca="false">IF(Responses!M51=Responses!M$2,1,0)</f>
        <v>1</v>
      </c>
      <c r="N51" s="9" t="n">
        <f aca="false">IF(Responses!N51=Responses!N$2,1,0)</f>
        <v>1</v>
      </c>
      <c r="O51" s="9" t="n">
        <f aca="false">IF(Responses!O51=Responses!O$2,1,0)</f>
        <v>1</v>
      </c>
      <c r="P51" s="9" t="n">
        <f aca="false">IF(Responses!P51=Responses!P$2,1,0)</f>
        <v>1</v>
      </c>
      <c r="Q51" s="9" t="n">
        <f aca="false">IF(Responses!Q51=Responses!Q$2,1,0)</f>
        <v>1</v>
      </c>
      <c r="R51" s="9" t="n">
        <f aca="false">IF(Responses!R51=Responses!R$2,1,0)</f>
        <v>1</v>
      </c>
      <c r="S51" s="9" t="n">
        <f aca="false">IF(Responses!S51=Responses!S$2,1,0)</f>
        <v>0</v>
      </c>
      <c r="T51" s="9" t="n">
        <f aca="false">IF(Responses!T51=Responses!T$2,1,0)</f>
        <v>1</v>
      </c>
      <c r="U51" s="9" t="n">
        <f aca="false">IF(Responses!U51=Responses!U$2,1,0)</f>
        <v>1</v>
      </c>
      <c r="V51" s="9" t="n">
        <f aca="false">IF(Responses!V51=Responses!V$2,1,0)</f>
        <v>1</v>
      </c>
      <c r="W51" s="9" t="n">
        <f aca="false">IF(Responses!W51=Responses!W$2,1,0)</f>
        <v>1</v>
      </c>
      <c r="X51" s="9" t="n">
        <f aca="false">IF(Responses!X51=Responses!X$2,1,0)</f>
        <v>1</v>
      </c>
      <c r="Y51" s="9" t="n">
        <f aca="false">IF(Responses!Y51=Responses!Y$2,1,0)</f>
        <v>1</v>
      </c>
      <c r="Z51" s="9" t="n">
        <f aca="false">IF(Responses!Z51=Responses!Z$2,1,0)</f>
        <v>1</v>
      </c>
      <c r="AA51" s="9" t="n">
        <f aca="false">IF(Responses!AA51=Responses!AA$2,1,0)</f>
        <v>1</v>
      </c>
      <c r="AB51" s="9" t="n">
        <f aca="false">IF(Responses!AB51=Responses!AB$2,1,0)</f>
        <v>0</v>
      </c>
      <c r="AC51" s="9" t="n">
        <f aca="false">IF(Responses!AC51=Responses!AC$2,1,0)</f>
        <v>1</v>
      </c>
      <c r="AD51" s="9" t="n">
        <f aca="false">IF(Responses!AD51=Responses!AD$2,1,0)</f>
        <v>1</v>
      </c>
      <c r="AE51" s="9" t="n">
        <f aca="false">IF(Responses!AE51=Responses!AE$2,1,0)</f>
        <v>1</v>
      </c>
      <c r="AF51" s="9" t="n">
        <f aca="false">SUM(B51:AE51)</f>
        <v>27</v>
      </c>
    </row>
    <row r="52" customFormat="false" ht="15" hidden="false" customHeight="false" outlineLevel="0" collapsed="false">
      <c r="A52" s="0" t="str">
        <f aca="false">Responses!A52</f>
        <v>S050</v>
      </c>
      <c r="B52" s="9" t="n">
        <f aca="false">IF(Responses!B52=Responses!B$2,1,0)</f>
        <v>1</v>
      </c>
      <c r="C52" s="9" t="n">
        <f aca="false">IF(Responses!C52=Responses!C$2,1,0)</f>
        <v>1</v>
      </c>
      <c r="D52" s="9" t="n">
        <f aca="false">IF(Responses!D52=Responses!D$2,1,0)</f>
        <v>1</v>
      </c>
      <c r="E52" s="9" t="n">
        <f aca="false">IF(Responses!E52=Responses!E$2,1,0)</f>
        <v>1</v>
      </c>
      <c r="F52" s="9" t="n">
        <f aca="false">IF(Responses!F52=Responses!F$2,1,0)</f>
        <v>1</v>
      </c>
      <c r="G52" s="9" t="n">
        <f aca="false">IF(Responses!G52=Responses!G$2,1,0)</f>
        <v>1</v>
      </c>
      <c r="H52" s="9" t="n">
        <f aca="false">IF(Responses!H52=Responses!H$2,1,0)</f>
        <v>0</v>
      </c>
      <c r="I52" s="9" t="n">
        <f aca="false">IF(Responses!I52=Responses!I$2,1,0)</f>
        <v>1</v>
      </c>
      <c r="J52" s="9" t="n">
        <f aca="false">IF(Responses!J52=Responses!J$2,1,0)</f>
        <v>1</v>
      </c>
      <c r="K52" s="9" t="n">
        <f aca="false">IF(Responses!K52=Responses!K$2,1,0)</f>
        <v>1</v>
      </c>
      <c r="L52" s="9" t="n">
        <f aca="false">IF(Responses!L52=Responses!L$2,1,0)</f>
        <v>1</v>
      </c>
      <c r="M52" s="9" t="n">
        <f aca="false">IF(Responses!M52=Responses!M$2,1,0)</f>
        <v>1</v>
      </c>
      <c r="N52" s="9" t="n">
        <f aca="false">IF(Responses!N52=Responses!N$2,1,0)</f>
        <v>1</v>
      </c>
      <c r="O52" s="9" t="n">
        <f aca="false">IF(Responses!O52=Responses!O$2,1,0)</f>
        <v>1</v>
      </c>
      <c r="P52" s="9" t="n">
        <f aca="false">IF(Responses!P52=Responses!P$2,1,0)</f>
        <v>0</v>
      </c>
      <c r="Q52" s="9" t="n">
        <f aca="false">IF(Responses!Q52=Responses!Q$2,1,0)</f>
        <v>1</v>
      </c>
      <c r="R52" s="9" t="n">
        <f aca="false">IF(Responses!R52=Responses!R$2,1,0)</f>
        <v>1</v>
      </c>
      <c r="S52" s="9" t="n">
        <f aca="false">IF(Responses!S52=Responses!S$2,1,0)</f>
        <v>0</v>
      </c>
      <c r="T52" s="9" t="n">
        <f aca="false">IF(Responses!T52=Responses!T$2,1,0)</f>
        <v>1</v>
      </c>
      <c r="U52" s="9" t="n">
        <f aca="false">IF(Responses!U52=Responses!U$2,1,0)</f>
        <v>1</v>
      </c>
      <c r="V52" s="9" t="n">
        <f aca="false">IF(Responses!V52=Responses!V$2,1,0)</f>
        <v>1</v>
      </c>
      <c r="W52" s="9" t="n">
        <f aca="false">IF(Responses!W52=Responses!W$2,1,0)</f>
        <v>1</v>
      </c>
      <c r="X52" s="9" t="n">
        <f aca="false">IF(Responses!X52=Responses!X$2,1,0)</f>
        <v>1</v>
      </c>
      <c r="Y52" s="9" t="n">
        <f aca="false">IF(Responses!Y52=Responses!Y$2,1,0)</f>
        <v>1</v>
      </c>
      <c r="Z52" s="9" t="n">
        <f aca="false">IF(Responses!Z52=Responses!Z$2,1,0)</f>
        <v>1</v>
      </c>
      <c r="AA52" s="9" t="n">
        <f aca="false">IF(Responses!AA52=Responses!AA$2,1,0)</f>
        <v>1</v>
      </c>
      <c r="AB52" s="9" t="n">
        <f aca="false">IF(Responses!AB52=Responses!AB$2,1,0)</f>
        <v>1</v>
      </c>
      <c r="AC52" s="9" t="n">
        <f aca="false">IF(Responses!AC52=Responses!AC$2,1,0)</f>
        <v>1</v>
      </c>
      <c r="AD52" s="9" t="n">
        <f aca="false">IF(Responses!AD52=Responses!AD$2,1,0)</f>
        <v>1</v>
      </c>
      <c r="AE52" s="9" t="n">
        <f aca="false">IF(Responses!AE52=Responses!AE$2,1,0)</f>
        <v>1</v>
      </c>
      <c r="AF52" s="9" t="n">
        <f aca="false">SUM(B52:AE52)</f>
        <v>27</v>
      </c>
    </row>
    <row r="53" customFormat="false" ht="15" hidden="false" customHeight="false" outlineLevel="0" collapsed="false">
      <c r="A53" s="0" t="str">
        <f aca="false">Responses!A53</f>
        <v>S051</v>
      </c>
      <c r="B53" s="9" t="n">
        <f aca="false">IF(Responses!B53=Responses!B$2,1,0)</f>
        <v>1</v>
      </c>
      <c r="C53" s="9" t="n">
        <f aca="false">IF(Responses!C53=Responses!C$2,1,0)</f>
        <v>1</v>
      </c>
      <c r="D53" s="9" t="n">
        <f aca="false">IF(Responses!D53=Responses!D$2,1,0)</f>
        <v>1</v>
      </c>
      <c r="E53" s="9" t="n">
        <f aca="false">IF(Responses!E53=Responses!E$2,1,0)</f>
        <v>1</v>
      </c>
      <c r="F53" s="9" t="n">
        <f aca="false">IF(Responses!F53=Responses!F$2,1,0)</f>
        <v>1</v>
      </c>
      <c r="G53" s="9" t="n">
        <f aca="false">IF(Responses!G53=Responses!G$2,1,0)</f>
        <v>1</v>
      </c>
      <c r="H53" s="9" t="n">
        <f aca="false">IF(Responses!H53=Responses!H$2,1,0)</f>
        <v>0</v>
      </c>
      <c r="I53" s="9" t="n">
        <f aca="false">IF(Responses!I53=Responses!I$2,1,0)</f>
        <v>1</v>
      </c>
      <c r="J53" s="9" t="n">
        <f aca="false">IF(Responses!J53=Responses!J$2,1,0)</f>
        <v>1</v>
      </c>
      <c r="K53" s="9" t="n">
        <f aca="false">IF(Responses!K53=Responses!K$2,1,0)</f>
        <v>1</v>
      </c>
      <c r="L53" s="9" t="n">
        <f aca="false">IF(Responses!L53=Responses!L$2,1,0)</f>
        <v>1</v>
      </c>
      <c r="M53" s="9" t="n">
        <f aca="false">IF(Responses!M53=Responses!M$2,1,0)</f>
        <v>1</v>
      </c>
      <c r="N53" s="9" t="n">
        <f aca="false">IF(Responses!N53=Responses!N$2,1,0)</f>
        <v>1</v>
      </c>
      <c r="O53" s="9" t="n">
        <f aca="false">IF(Responses!O53=Responses!O$2,1,0)</f>
        <v>1</v>
      </c>
      <c r="P53" s="9" t="n">
        <f aca="false">IF(Responses!P53=Responses!P$2,1,0)</f>
        <v>0</v>
      </c>
      <c r="Q53" s="9" t="n">
        <f aca="false">IF(Responses!Q53=Responses!Q$2,1,0)</f>
        <v>1</v>
      </c>
      <c r="R53" s="9" t="n">
        <f aca="false">IF(Responses!R53=Responses!R$2,1,0)</f>
        <v>1</v>
      </c>
      <c r="S53" s="9" t="n">
        <f aca="false">IF(Responses!S53=Responses!S$2,1,0)</f>
        <v>0</v>
      </c>
      <c r="T53" s="9" t="n">
        <f aca="false">IF(Responses!T53=Responses!T$2,1,0)</f>
        <v>1</v>
      </c>
      <c r="U53" s="9" t="n">
        <f aca="false">IF(Responses!U53=Responses!U$2,1,0)</f>
        <v>1</v>
      </c>
      <c r="V53" s="9" t="n">
        <f aca="false">IF(Responses!V53=Responses!V$2,1,0)</f>
        <v>1</v>
      </c>
      <c r="W53" s="9" t="n">
        <f aca="false">IF(Responses!W53=Responses!W$2,1,0)</f>
        <v>1</v>
      </c>
      <c r="X53" s="9" t="n">
        <f aca="false">IF(Responses!X53=Responses!X$2,1,0)</f>
        <v>1</v>
      </c>
      <c r="Y53" s="9" t="n">
        <f aca="false">IF(Responses!Y53=Responses!Y$2,1,0)</f>
        <v>1</v>
      </c>
      <c r="Z53" s="9" t="n">
        <f aca="false">IF(Responses!Z53=Responses!Z$2,1,0)</f>
        <v>1</v>
      </c>
      <c r="AA53" s="9" t="n">
        <f aca="false">IF(Responses!AA53=Responses!AA$2,1,0)</f>
        <v>1</v>
      </c>
      <c r="AB53" s="9" t="n">
        <f aca="false">IF(Responses!AB53=Responses!AB$2,1,0)</f>
        <v>1</v>
      </c>
      <c r="AC53" s="9" t="n">
        <f aca="false">IF(Responses!AC53=Responses!AC$2,1,0)</f>
        <v>1</v>
      </c>
      <c r="AD53" s="9" t="n">
        <f aca="false">IF(Responses!AD53=Responses!AD$2,1,0)</f>
        <v>1</v>
      </c>
      <c r="AE53" s="9" t="n">
        <f aca="false">IF(Responses!AE53=Responses!AE$2,1,0)</f>
        <v>1</v>
      </c>
      <c r="AF53" s="9" t="n">
        <f aca="false">SUM(B53:AE53)</f>
        <v>27</v>
      </c>
    </row>
    <row r="54" customFormat="false" ht="15" hidden="false" customHeight="false" outlineLevel="0" collapsed="false">
      <c r="A54" s="0" t="str">
        <f aca="false">Responses!A54</f>
        <v>S052</v>
      </c>
      <c r="B54" s="9" t="n">
        <f aca="false">IF(Responses!B54=Responses!B$2,1,0)</f>
        <v>1</v>
      </c>
      <c r="C54" s="9" t="n">
        <f aca="false">IF(Responses!C54=Responses!C$2,1,0)</f>
        <v>1</v>
      </c>
      <c r="D54" s="9" t="n">
        <f aca="false">IF(Responses!D54=Responses!D$2,1,0)</f>
        <v>0</v>
      </c>
      <c r="E54" s="9" t="n">
        <f aca="false">IF(Responses!E54=Responses!E$2,1,0)</f>
        <v>1</v>
      </c>
      <c r="F54" s="9" t="n">
        <f aca="false">IF(Responses!F54=Responses!F$2,1,0)</f>
        <v>0</v>
      </c>
      <c r="G54" s="9" t="n">
        <f aca="false">IF(Responses!G54=Responses!G$2,1,0)</f>
        <v>0</v>
      </c>
      <c r="H54" s="9" t="n">
        <f aca="false">IF(Responses!H54=Responses!H$2,1,0)</f>
        <v>0</v>
      </c>
      <c r="I54" s="9" t="n">
        <f aca="false">IF(Responses!I54=Responses!I$2,1,0)</f>
        <v>1</v>
      </c>
      <c r="J54" s="9" t="n">
        <f aca="false">IF(Responses!J54=Responses!J$2,1,0)</f>
        <v>1</v>
      </c>
      <c r="K54" s="9" t="n">
        <f aca="false">IF(Responses!K54=Responses!K$2,1,0)</f>
        <v>1</v>
      </c>
      <c r="L54" s="9" t="n">
        <f aca="false">IF(Responses!L54=Responses!L$2,1,0)</f>
        <v>1</v>
      </c>
      <c r="M54" s="9" t="n">
        <f aca="false">IF(Responses!M54=Responses!M$2,1,0)</f>
        <v>1</v>
      </c>
      <c r="N54" s="9" t="n">
        <f aca="false">IF(Responses!N54=Responses!N$2,1,0)</f>
        <v>0</v>
      </c>
      <c r="O54" s="9" t="n">
        <f aca="false">IF(Responses!O54=Responses!O$2,1,0)</f>
        <v>0</v>
      </c>
      <c r="P54" s="9" t="n">
        <f aca="false">IF(Responses!P54=Responses!P$2,1,0)</f>
        <v>1</v>
      </c>
      <c r="Q54" s="9" t="n">
        <f aca="false">IF(Responses!Q54=Responses!Q$2,1,0)</f>
        <v>1</v>
      </c>
      <c r="R54" s="9" t="n">
        <f aca="false">IF(Responses!R54=Responses!R$2,1,0)</f>
        <v>1</v>
      </c>
      <c r="S54" s="9" t="n">
        <f aca="false">IF(Responses!S54=Responses!S$2,1,0)</f>
        <v>0</v>
      </c>
      <c r="T54" s="9" t="n">
        <f aca="false">IF(Responses!T54=Responses!T$2,1,0)</f>
        <v>1</v>
      </c>
      <c r="U54" s="9" t="n">
        <f aca="false">IF(Responses!U54=Responses!U$2,1,0)</f>
        <v>1</v>
      </c>
      <c r="V54" s="9" t="n">
        <f aca="false">IF(Responses!V54=Responses!V$2,1,0)</f>
        <v>1</v>
      </c>
      <c r="W54" s="9" t="n">
        <f aca="false">IF(Responses!W54=Responses!W$2,1,0)</f>
        <v>0</v>
      </c>
      <c r="X54" s="9" t="n">
        <f aca="false">IF(Responses!X54=Responses!X$2,1,0)</f>
        <v>1</v>
      </c>
      <c r="Y54" s="9" t="n">
        <f aca="false">IF(Responses!Y54=Responses!Y$2,1,0)</f>
        <v>1</v>
      </c>
      <c r="Z54" s="9" t="n">
        <f aca="false">IF(Responses!Z54=Responses!Z$2,1,0)</f>
        <v>1</v>
      </c>
      <c r="AA54" s="9" t="n">
        <f aca="false">IF(Responses!AA54=Responses!AA$2,1,0)</f>
        <v>1</v>
      </c>
      <c r="AB54" s="9" t="n">
        <f aca="false">IF(Responses!AB54=Responses!AB$2,1,0)</f>
        <v>1</v>
      </c>
      <c r="AC54" s="9" t="n">
        <f aca="false">IF(Responses!AC54=Responses!AC$2,1,0)</f>
        <v>1</v>
      </c>
      <c r="AD54" s="9" t="n">
        <f aca="false">IF(Responses!AD54=Responses!AD$2,1,0)</f>
        <v>0</v>
      </c>
      <c r="AE54" s="9" t="n">
        <f aca="false">IF(Responses!AE54=Responses!AE$2,1,0)</f>
        <v>1</v>
      </c>
      <c r="AF54" s="9" t="n">
        <f aca="false">SUM(B54:AE54)</f>
        <v>21</v>
      </c>
    </row>
    <row r="55" customFormat="false" ht="15" hidden="false" customHeight="false" outlineLevel="0" collapsed="false">
      <c r="A55" s="0" t="str">
        <f aca="false">Responses!A55</f>
        <v>S053</v>
      </c>
      <c r="B55" s="9" t="n">
        <f aca="false">IF(Responses!B55=Responses!B$2,1,0)</f>
        <v>0</v>
      </c>
      <c r="C55" s="9" t="n">
        <f aca="false">IF(Responses!C55=Responses!C$2,1,0)</f>
        <v>0</v>
      </c>
      <c r="D55" s="9" t="n">
        <f aca="false">IF(Responses!D55=Responses!D$2,1,0)</f>
        <v>0</v>
      </c>
      <c r="E55" s="9" t="n">
        <f aca="false">IF(Responses!E55=Responses!E$2,1,0)</f>
        <v>1</v>
      </c>
      <c r="F55" s="9" t="n">
        <f aca="false">IF(Responses!F55=Responses!F$2,1,0)</f>
        <v>0</v>
      </c>
      <c r="G55" s="9" t="n">
        <f aca="false">IF(Responses!G55=Responses!G$2,1,0)</f>
        <v>1</v>
      </c>
      <c r="H55" s="9" t="n">
        <f aca="false">IF(Responses!H55=Responses!H$2,1,0)</f>
        <v>0</v>
      </c>
      <c r="I55" s="9" t="n">
        <f aca="false">IF(Responses!I55=Responses!I$2,1,0)</f>
        <v>1</v>
      </c>
      <c r="J55" s="9" t="n">
        <f aca="false">IF(Responses!J55=Responses!J$2,1,0)</f>
        <v>1</v>
      </c>
      <c r="K55" s="9" t="n">
        <f aca="false">IF(Responses!K55=Responses!K$2,1,0)</f>
        <v>1</v>
      </c>
      <c r="L55" s="9" t="n">
        <f aca="false">IF(Responses!L55=Responses!L$2,1,0)</f>
        <v>0</v>
      </c>
      <c r="M55" s="9" t="n">
        <f aca="false">IF(Responses!M55=Responses!M$2,1,0)</f>
        <v>1</v>
      </c>
      <c r="N55" s="9" t="n">
        <f aca="false">IF(Responses!N55=Responses!N$2,1,0)</f>
        <v>1</v>
      </c>
      <c r="O55" s="9" t="n">
        <f aca="false">IF(Responses!O55=Responses!O$2,1,0)</f>
        <v>0</v>
      </c>
      <c r="P55" s="9" t="n">
        <f aca="false">IF(Responses!P55=Responses!P$2,1,0)</f>
        <v>0</v>
      </c>
      <c r="Q55" s="9" t="n">
        <f aca="false">IF(Responses!Q55=Responses!Q$2,1,0)</f>
        <v>1</v>
      </c>
      <c r="R55" s="9" t="n">
        <f aca="false">IF(Responses!R55=Responses!R$2,1,0)</f>
        <v>1</v>
      </c>
      <c r="S55" s="9" t="n">
        <f aca="false">IF(Responses!S55=Responses!S$2,1,0)</f>
        <v>0</v>
      </c>
      <c r="T55" s="9" t="n">
        <f aca="false">IF(Responses!T55=Responses!T$2,1,0)</f>
        <v>1</v>
      </c>
      <c r="U55" s="9" t="n">
        <f aca="false">IF(Responses!U55=Responses!U$2,1,0)</f>
        <v>0</v>
      </c>
      <c r="V55" s="9" t="n">
        <f aca="false">IF(Responses!V55=Responses!V$2,1,0)</f>
        <v>0</v>
      </c>
      <c r="W55" s="9" t="n">
        <f aca="false">IF(Responses!W55=Responses!W$2,1,0)</f>
        <v>0</v>
      </c>
      <c r="X55" s="9" t="n">
        <f aca="false">IF(Responses!X55=Responses!X$2,1,0)</f>
        <v>0</v>
      </c>
      <c r="Y55" s="9" t="n">
        <f aca="false">IF(Responses!Y55=Responses!Y$2,1,0)</f>
        <v>1</v>
      </c>
      <c r="Z55" s="9" t="n">
        <f aca="false">IF(Responses!Z55=Responses!Z$2,1,0)</f>
        <v>1</v>
      </c>
      <c r="AA55" s="9" t="n">
        <f aca="false">IF(Responses!AA55=Responses!AA$2,1,0)</f>
        <v>1</v>
      </c>
      <c r="AB55" s="9" t="n">
        <f aca="false">IF(Responses!AB55=Responses!AB$2,1,0)</f>
        <v>0</v>
      </c>
      <c r="AC55" s="9" t="n">
        <f aca="false">IF(Responses!AC55=Responses!AC$2,1,0)</f>
        <v>1</v>
      </c>
      <c r="AD55" s="9" t="n">
        <f aca="false">IF(Responses!AD55=Responses!AD$2,1,0)</f>
        <v>0</v>
      </c>
      <c r="AE55" s="9" t="n">
        <f aca="false">IF(Responses!AE55=Responses!AE$2,1,0)</f>
        <v>0</v>
      </c>
      <c r="AF55" s="9" t="n">
        <f aca="false">SUM(B55:AE55)</f>
        <v>14</v>
      </c>
    </row>
    <row r="56" customFormat="false" ht="15" hidden="false" customHeight="false" outlineLevel="0" collapsed="false">
      <c r="A56" s="0" t="str">
        <f aca="false">Responses!A56</f>
        <v>S054</v>
      </c>
      <c r="B56" s="9" t="n">
        <f aca="false">IF(Responses!B56=Responses!B$2,1,0)</f>
        <v>0</v>
      </c>
      <c r="C56" s="9" t="n">
        <f aca="false">IF(Responses!C56=Responses!C$2,1,0)</f>
        <v>1</v>
      </c>
      <c r="D56" s="9" t="n">
        <f aca="false">IF(Responses!D56=Responses!D$2,1,0)</f>
        <v>1</v>
      </c>
      <c r="E56" s="9" t="n">
        <f aca="false">IF(Responses!E56=Responses!E$2,1,0)</f>
        <v>1</v>
      </c>
      <c r="F56" s="9" t="n">
        <f aca="false">IF(Responses!F56=Responses!F$2,1,0)</f>
        <v>0</v>
      </c>
      <c r="G56" s="9" t="n">
        <f aca="false">IF(Responses!G56=Responses!G$2,1,0)</f>
        <v>1</v>
      </c>
      <c r="H56" s="9" t="n">
        <f aca="false">IF(Responses!H56=Responses!H$2,1,0)</f>
        <v>0</v>
      </c>
      <c r="I56" s="9" t="n">
        <f aca="false">IF(Responses!I56=Responses!I$2,1,0)</f>
        <v>1</v>
      </c>
      <c r="J56" s="9" t="n">
        <f aca="false">IF(Responses!J56=Responses!J$2,1,0)</f>
        <v>1</v>
      </c>
      <c r="K56" s="9" t="n">
        <f aca="false">IF(Responses!K56=Responses!K$2,1,0)</f>
        <v>1</v>
      </c>
      <c r="L56" s="9" t="n">
        <f aca="false">IF(Responses!L56=Responses!L$2,1,0)</f>
        <v>1</v>
      </c>
      <c r="M56" s="9" t="n">
        <f aca="false">IF(Responses!M56=Responses!M$2,1,0)</f>
        <v>1</v>
      </c>
      <c r="N56" s="9" t="n">
        <f aca="false">IF(Responses!N56=Responses!N$2,1,0)</f>
        <v>0</v>
      </c>
      <c r="O56" s="9" t="n">
        <f aca="false">IF(Responses!O56=Responses!O$2,1,0)</f>
        <v>0</v>
      </c>
      <c r="P56" s="9" t="n">
        <f aca="false">IF(Responses!P56=Responses!P$2,1,0)</f>
        <v>0</v>
      </c>
      <c r="Q56" s="9" t="n">
        <f aca="false">IF(Responses!Q56=Responses!Q$2,1,0)</f>
        <v>1</v>
      </c>
      <c r="R56" s="9" t="n">
        <f aca="false">IF(Responses!R56=Responses!R$2,1,0)</f>
        <v>1</v>
      </c>
      <c r="S56" s="9" t="n">
        <f aca="false">IF(Responses!S56=Responses!S$2,1,0)</f>
        <v>1</v>
      </c>
      <c r="T56" s="9" t="n">
        <f aca="false">IF(Responses!T56=Responses!T$2,1,0)</f>
        <v>0</v>
      </c>
      <c r="U56" s="9" t="n">
        <f aca="false">IF(Responses!U56=Responses!U$2,1,0)</f>
        <v>1</v>
      </c>
      <c r="V56" s="9" t="n">
        <f aca="false">IF(Responses!V56=Responses!V$2,1,0)</f>
        <v>1</v>
      </c>
      <c r="W56" s="9" t="n">
        <f aca="false">IF(Responses!W56=Responses!W$2,1,0)</f>
        <v>1</v>
      </c>
      <c r="X56" s="9" t="n">
        <f aca="false">IF(Responses!X56=Responses!X$2,1,0)</f>
        <v>1</v>
      </c>
      <c r="Y56" s="9" t="n">
        <f aca="false">IF(Responses!Y56=Responses!Y$2,1,0)</f>
        <v>1</v>
      </c>
      <c r="Z56" s="9" t="n">
        <f aca="false">IF(Responses!Z56=Responses!Z$2,1,0)</f>
        <v>1</v>
      </c>
      <c r="AA56" s="9" t="n">
        <f aca="false">IF(Responses!AA56=Responses!AA$2,1,0)</f>
        <v>0</v>
      </c>
      <c r="AB56" s="9" t="n">
        <f aca="false">IF(Responses!AB56=Responses!AB$2,1,0)</f>
        <v>1</v>
      </c>
      <c r="AC56" s="9" t="n">
        <f aca="false">IF(Responses!AC56=Responses!AC$2,1,0)</f>
        <v>1</v>
      </c>
      <c r="AD56" s="9" t="n">
        <f aca="false">IF(Responses!AD56=Responses!AD$2,1,0)</f>
        <v>1</v>
      </c>
      <c r="AE56" s="9" t="n">
        <f aca="false">IF(Responses!AE56=Responses!AE$2,1,0)</f>
        <v>1</v>
      </c>
      <c r="AF56" s="9" t="n">
        <f aca="false">SUM(B56:AE56)</f>
        <v>22</v>
      </c>
    </row>
    <row r="57" customFormat="false" ht="15" hidden="false" customHeight="false" outlineLevel="0" collapsed="false">
      <c r="A57" s="0" t="str">
        <f aca="false">Responses!A57</f>
        <v>S055</v>
      </c>
      <c r="B57" s="9" t="n">
        <f aca="false">IF(Responses!B57=Responses!B$2,1,0)</f>
        <v>0</v>
      </c>
      <c r="C57" s="9" t="n">
        <f aca="false">IF(Responses!C57=Responses!C$2,1,0)</f>
        <v>0</v>
      </c>
      <c r="D57" s="9" t="n">
        <f aca="false">IF(Responses!D57=Responses!D$2,1,0)</f>
        <v>0</v>
      </c>
      <c r="E57" s="9" t="n">
        <f aca="false">IF(Responses!E57=Responses!E$2,1,0)</f>
        <v>1</v>
      </c>
      <c r="F57" s="9" t="n">
        <f aca="false">IF(Responses!F57=Responses!F$2,1,0)</f>
        <v>0</v>
      </c>
      <c r="G57" s="9" t="n">
        <f aca="false">IF(Responses!G57=Responses!G$2,1,0)</f>
        <v>0</v>
      </c>
      <c r="H57" s="9" t="n">
        <f aca="false">IF(Responses!H57=Responses!H$2,1,0)</f>
        <v>0</v>
      </c>
      <c r="I57" s="9" t="n">
        <f aca="false">IF(Responses!I57=Responses!I$2,1,0)</f>
        <v>0</v>
      </c>
      <c r="J57" s="9" t="n">
        <f aca="false">IF(Responses!J57=Responses!J$2,1,0)</f>
        <v>1</v>
      </c>
      <c r="K57" s="9" t="n">
        <f aca="false">IF(Responses!K57=Responses!K$2,1,0)</f>
        <v>0</v>
      </c>
      <c r="L57" s="9" t="n">
        <f aca="false">IF(Responses!L57=Responses!L$2,1,0)</f>
        <v>0</v>
      </c>
      <c r="M57" s="9" t="n">
        <f aca="false">IF(Responses!M57=Responses!M$2,1,0)</f>
        <v>1</v>
      </c>
      <c r="N57" s="9" t="n">
        <f aca="false">IF(Responses!N57=Responses!N$2,1,0)</f>
        <v>0</v>
      </c>
      <c r="O57" s="9" t="n">
        <f aca="false">IF(Responses!O57=Responses!O$2,1,0)</f>
        <v>1</v>
      </c>
      <c r="P57" s="9" t="n">
        <f aca="false">IF(Responses!P57=Responses!P$2,1,0)</f>
        <v>0</v>
      </c>
      <c r="Q57" s="9" t="n">
        <f aca="false">IF(Responses!Q57=Responses!Q$2,1,0)</f>
        <v>1</v>
      </c>
      <c r="R57" s="9" t="n">
        <f aca="false">IF(Responses!R57=Responses!R$2,1,0)</f>
        <v>1</v>
      </c>
      <c r="S57" s="9" t="n">
        <f aca="false">IF(Responses!S57=Responses!S$2,1,0)</f>
        <v>0</v>
      </c>
      <c r="T57" s="9" t="n">
        <f aca="false">IF(Responses!T57=Responses!T$2,1,0)</f>
        <v>0</v>
      </c>
      <c r="U57" s="9" t="n">
        <f aca="false">IF(Responses!U57=Responses!U$2,1,0)</f>
        <v>0</v>
      </c>
      <c r="V57" s="9" t="n">
        <f aca="false">IF(Responses!V57=Responses!V$2,1,0)</f>
        <v>1</v>
      </c>
      <c r="W57" s="9" t="n">
        <f aca="false">IF(Responses!W57=Responses!W$2,1,0)</f>
        <v>0</v>
      </c>
      <c r="X57" s="9" t="n">
        <f aca="false">IF(Responses!X57=Responses!X$2,1,0)</f>
        <v>0</v>
      </c>
      <c r="Y57" s="9" t="n">
        <f aca="false">IF(Responses!Y57=Responses!Y$2,1,0)</f>
        <v>0</v>
      </c>
      <c r="Z57" s="9" t="n">
        <f aca="false">IF(Responses!Z57=Responses!Z$2,1,0)</f>
        <v>0</v>
      </c>
      <c r="AA57" s="9" t="n">
        <f aca="false">IF(Responses!AA57=Responses!AA$2,1,0)</f>
        <v>0</v>
      </c>
      <c r="AB57" s="9" t="n">
        <f aca="false">IF(Responses!AB57=Responses!AB$2,1,0)</f>
        <v>0</v>
      </c>
      <c r="AC57" s="9" t="n">
        <f aca="false">IF(Responses!AC57=Responses!AC$2,1,0)</f>
        <v>1</v>
      </c>
      <c r="AD57" s="9" t="n">
        <f aca="false">IF(Responses!AD57=Responses!AD$2,1,0)</f>
        <v>1</v>
      </c>
      <c r="AE57" s="9" t="n">
        <f aca="false">IF(Responses!AE57=Responses!AE$2,1,0)</f>
        <v>1</v>
      </c>
      <c r="AF57" s="9" t="n">
        <f aca="false">SUM(B57:AE57)</f>
        <v>10</v>
      </c>
    </row>
    <row r="58" customFormat="false" ht="15" hidden="false" customHeight="false" outlineLevel="0" collapsed="false">
      <c r="A58" s="0" t="str">
        <f aca="false">Responses!A58</f>
        <v>S056</v>
      </c>
      <c r="B58" s="9" t="n">
        <f aca="false">IF(Responses!B58=Responses!B$2,1,0)</f>
        <v>1</v>
      </c>
      <c r="C58" s="9" t="n">
        <f aca="false">IF(Responses!C58=Responses!C$2,1,0)</f>
        <v>0</v>
      </c>
      <c r="D58" s="9" t="n">
        <f aca="false">IF(Responses!D58=Responses!D$2,1,0)</f>
        <v>0</v>
      </c>
      <c r="E58" s="9" t="n">
        <f aca="false">IF(Responses!E58=Responses!E$2,1,0)</f>
        <v>0</v>
      </c>
      <c r="F58" s="9" t="n">
        <f aca="false">IF(Responses!F58=Responses!F$2,1,0)</f>
        <v>0</v>
      </c>
      <c r="G58" s="9" t="n">
        <f aca="false">IF(Responses!G58=Responses!G$2,1,0)</f>
        <v>1</v>
      </c>
      <c r="H58" s="9" t="n">
        <f aca="false">IF(Responses!H58=Responses!H$2,1,0)</f>
        <v>0</v>
      </c>
      <c r="I58" s="9" t="n">
        <f aca="false">IF(Responses!I58=Responses!I$2,1,0)</f>
        <v>1</v>
      </c>
      <c r="J58" s="9" t="n">
        <f aca="false">IF(Responses!J58=Responses!J$2,1,0)</f>
        <v>1</v>
      </c>
      <c r="K58" s="9" t="n">
        <f aca="false">IF(Responses!K58=Responses!K$2,1,0)</f>
        <v>0</v>
      </c>
      <c r="L58" s="9" t="n">
        <f aca="false">IF(Responses!L58=Responses!L$2,1,0)</f>
        <v>0</v>
      </c>
      <c r="M58" s="9" t="n">
        <f aca="false">IF(Responses!M58=Responses!M$2,1,0)</f>
        <v>1</v>
      </c>
      <c r="N58" s="9" t="n">
        <f aca="false">IF(Responses!N58=Responses!N$2,1,0)</f>
        <v>1</v>
      </c>
      <c r="O58" s="9" t="n">
        <f aca="false">IF(Responses!O58=Responses!O$2,1,0)</f>
        <v>1</v>
      </c>
      <c r="P58" s="9" t="n">
        <f aca="false">IF(Responses!P58=Responses!P$2,1,0)</f>
        <v>1</v>
      </c>
      <c r="Q58" s="9" t="n">
        <f aca="false">IF(Responses!Q58=Responses!Q$2,1,0)</f>
        <v>1</v>
      </c>
      <c r="R58" s="9" t="n">
        <f aca="false">IF(Responses!R58=Responses!R$2,1,0)</f>
        <v>1</v>
      </c>
      <c r="S58" s="9" t="n">
        <f aca="false">IF(Responses!S58=Responses!S$2,1,0)</f>
        <v>0</v>
      </c>
      <c r="T58" s="9" t="n">
        <f aca="false">IF(Responses!T58=Responses!T$2,1,0)</f>
        <v>0</v>
      </c>
      <c r="U58" s="9" t="n">
        <f aca="false">IF(Responses!U58=Responses!U$2,1,0)</f>
        <v>1</v>
      </c>
      <c r="V58" s="9" t="n">
        <f aca="false">IF(Responses!V58=Responses!V$2,1,0)</f>
        <v>1</v>
      </c>
      <c r="W58" s="9" t="n">
        <f aca="false">IF(Responses!W58=Responses!W$2,1,0)</f>
        <v>0</v>
      </c>
      <c r="X58" s="9" t="n">
        <f aca="false">IF(Responses!X58=Responses!X$2,1,0)</f>
        <v>1</v>
      </c>
      <c r="Y58" s="9" t="n">
        <f aca="false">IF(Responses!Y58=Responses!Y$2,1,0)</f>
        <v>0</v>
      </c>
      <c r="Z58" s="9" t="n">
        <f aca="false">IF(Responses!Z58=Responses!Z$2,1,0)</f>
        <v>0</v>
      </c>
      <c r="AA58" s="9" t="n">
        <f aca="false">IF(Responses!AA58=Responses!AA$2,1,0)</f>
        <v>1</v>
      </c>
      <c r="AB58" s="9" t="n">
        <f aca="false">IF(Responses!AB58=Responses!AB$2,1,0)</f>
        <v>1</v>
      </c>
      <c r="AC58" s="9" t="n">
        <f aca="false">IF(Responses!AC58=Responses!AC$2,1,0)</f>
        <v>1</v>
      </c>
      <c r="AD58" s="9" t="n">
        <f aca="false">IF(Responses!AD58=Responses!AD$2,1,0)</f>
        <v>1</v>
      </c>
      <c r="AE58" s="9" t="n">
        <f aca="false">IF(Responses!AE58=Responses!AE$2,1,0)</f>
        <v>0</v>
      </c>
      <c r="AF58" s="9" t="n">
        <f aca="false">SUM(B58:AE58)</f>
        <v>17</v>
      </c>
    </row>
    <row r="59" customFormat="false" ht="15" hidden="false" customHeight="false" outlineLevel="0" collapsed="false">
      <c r="A59" s="0" t="str">
        <f aca="false">Responses!A59</f>
        <v>S057</v>
      </c>
      <c r="B59" s="9" t="n">
        <f aca="false">IF(Responses!B59=Responses!B$2,1,0)</f>
        <v>0</v>
      </c>
      <c r="C59" s="9" t="n">
        <f aca="false">IF(Responses!C59=Responses!C$2,1,0)</f>
        <v>0</v>
      </c>
      <c r="D59" s="9" t="n">
        <f aca="false">IF(Responses!D59=Responses!D$2,1,0)</f>
        <v>0</v>
      </c>
      <c r="E59" s="9" t="n">
        <f aca="false">IF(Responses!E59=Responses!E$2,1,0)</f>
        <v>1</v>
      </c>
      <c r="F59" s="9" t="n">
        <f aca="false">IF(Responses!F59=Responses!F$2,1,0)</f>
        <v>0</v>
      </c>
      <c r="G59" s="9" t="n">
        <f aca="false">IF(Responses!G59=Responses!G$2,1,0)</f>
        <v>0</v>
      </c>
      <c r="H59" s="9" t="n">
        <f aca="false">IF(Responses!H59=Responses!H$2,1,0)</f>
        <v>0</v>
      </c>
      <c r="I59" s="9" t="n">
        <f aca="false">IF(Responses!I59=Responses!I$2,1,0)</f>
        <v>1</v>
      </c>
      <c r="J59" s="9" t="n">
        <f aca="false">IF(Responses!J59=Responses!J$2,1,0)</f>
        <v>1</v>
      </c>
      <c r="K59" s="9" t="n">
        <f aca="false">IF(Responses!K59=Responses!K$2,1,0)</f>
        <v>0</v>
      </c>
      <c r="L59" s="9" t="n">
        <f aca="false">IF(Responses!L59=Responses!L$2,1,0)</f>
        <v>1</v>
      </c>
      <c r="M59" s="9" t="n">
        <f aca="false">IF(Responses!M59=Responses!M$2,1,0)</f>
        <v>1</v>
      </c>
      <c r="N59" s="9" t="n">
        <f aca="false">IF(Responses!N59=Responses!N$2,1,0)</f>
        <v>0</v>
      </c>
      <c r="O59" s="9" t="n">
        <f aca="false">IF(Responses!O59=Responses!O$2,1,0)</f>
        <v>0</v>
      </c>
      <c r="P59" s="9" t="n">
        <f aca="false">IF(Responses!P59=Responses!P$2,1,0)</f>
        <v>1</v>
      </c>
      <c r="Q59" s="9" t="n">
        <f aca="false">IF(Responses!Q59=Responses!Q$2,1,0)</f>
        <v>1</v>
      </c>
      <c r="R59" s="9" t="n">
        <f aca="false">IF(Responses!R59=Responses!R$2,1,0)</f>
        <v>1</v>
      </c>
      <c r="S59" s="9" t="n">
        <f aca="false">IF(Responses!S59=Responses!S$2,1,0)</f>
        <v>1</v>
      </c>
      <c r="T59" s="9" t="n">
        <f aca="false">IF(Responses!T59=Responses!T$2,1,0)</f>
        <v>0</v>
      </c>
      <c r="U59" s="9" t="n">
        <f aca="false">IF(Responses!U59=Responses!U$2,1,0)</f>
        <v>0</v>
      </c>
      <c r="V59" s="9" t="n">
        <f aca="false">IF(Responses!V59=Responses!V$2,1,0)</f>
        <v>0</v>
      </c>
      <c r="W59" s="9" t="n">
        <f aca="false">IF(Responses!W59=Responses!W$2,1,0)</f>
        <v>1</v>
      </c>
      <c r="X59" s="9" t="n">
        <f aca="false">IF(Responses!X59=Responses!X$2,1,0)</f>
        <v>1</v>
      </c>
      <c r="Y59" s="9" t="n">
        <f aca="false">IF(Responses!Y59=Responses!Y$2,1,0)</f>
        <v>0</v>
      </c>
      <c r="Z59" s="9" t="n">
        <f aca="false">IF(Responses!Z59=Responses!Z$2,1,0)</f>
        <v>1</v>
      </c>
      <c r="AA59" s="9" t="n">
        <f aca="false">IF(Responses!AA59=Responses!AA$2,1,0)</f>
        <v>0</v>
      </c>
      <c r="AB59" s="9" t="n">
        <f aca="false">IF(Responses!AB59=Responses!AB$2,1,0)</f>
        <v>0</v>
      </c>
      <c r="AC59" s="9" t="n">
        <f aca="false">IF(Responses!AC59=Responses!AC$2,1,0)</f>
        <v>0</v>
      </c>
      <c r="AD59" s="9" t="n">
        <f aca="false">IF(Responses!AD59=Responses!AD$2,1,0)</f>
        <v>0</v>
      </c>
      <c r="AE59" s="9" t="n">
        <f aca="false">IF(Responses!AE59=Responses!AE$2,1,0)</f>
        <v>0</v>
      </c>
      <c r="AF59" s="9" t="n">
        <f aca="false">SUM(B59:AE59)</f>
        <v>12</v>
      </c>
    </row>
    <row r="60" customFormat="false" ht="15" hidden="false" customHeight="false" outlineLevel="0" collapsed="false">
      <c r="A60" s="0" t="str">
        <f aca="false">Responses!A60</f>
        <v>S058</v>
      </c>
      <c r="B60" s="9" t="n">
        <f aca="false">IF(Responses!B60=Responses!B$2,1,0)</f>
        <v>1</v>
      </c>
      <c r="C60" s="9" t="n">
        <f aca="false">IF(Responses!C60=Responses!C$2,1,0)</f>
        <v>0</v>
      </c>
      <c r="D60" s="9" t="n">
        <f aca="false">IF(Responses!D60=Responses!D$2,1,0)</f>
        <v>0</v>
      </c>
      <c r="E60" s="9" t="n">
        <f aca="false">IF(Responses!E60=Responses!E$2,1,0)</f>
        <v>1</v>
      </c>
      <c r="F60" s="9" t="n">
        <f aca="false">IF(Responses!F60=Responses!F$2,1,0)</f>
        <v>0</v>
      </c>
      <c r="G60" s="9" t="n">
        <f aca="false">IF(Responses!G60=Responses!G$2,1,0)</f>
        <v>1</v>
      </c>
      <c r="H60" s="9" t="n">
        <f aca="false">IF(Responses!H60=Responses!H$2,1,0)</f>
        <v>1</v>
      </c>
      <c r="I60" s="9" t="n">
        <f aca="false">IF(Responses!I60=Responses!I$2,1,0)</f>
        <v>1</v>
      </c>
      <c r="J60" s="9" t="n">
        <f aca="false">IF(Responses!J60=Responses!J$2,1,0)</f>
        <v>0</v>
      </c>
      <c r="K60" s="9" t="n">
        <f aca="false">IF(Responses!K60=Responses!K$2,1,0)</f>
        <v>1</v>
      </c>
      <c r="L60" s="9" t="n">
        <f aca="false">IF(Responses!L60=Responses!L$2,1,0)</f>
        <v>1</v>
      </c>
      <c r="M60" s="9" t="n">
        <f aca="false">IF(Responses!M60=Responses!M$2,1,0)</f>
        <v>1</v>
      </c>
      <c r="N60" s="9" t="n">
        <f aca="false">IF(Responses!N60=Responses!N$2,1,0)</f>
        <v>0</v>
      </c>
      <c r="O60" s="9" t="n">
        <f aca="false">IF(Responses!O60=Responses!O$2,1,0)</f>
        <v>1</v>
      </c>
      <c r="P60" s="9" t="n">
        <f aca="false">IF(Responses!P60=Responses!P$2,1,0)</f>
        <v>0</v>
      </c>
      <c r="Q60" s="9" t="n">
        <f aca="false">IF(Responses!Q60=Responses!Q$2,1,0)</f>
        <v>1</v>
      </c>
      <c r="R60" s="9" t="n">
        <f aca="false">IF(Responses!R60=Responses!R$2,1,0)</f>
        <v>1</v>
      </c>
      <c r="S60" s="9" t="n">
        <f aca="false">IF(Responses!S60=Responses!S$2,1,0)</f>
        <v>1</v>
      </c>
      <c r="T60" s="9" t="n">
        <f aca="false">IF(Responses!T60=Responses!T$2,1,0)</f>
        <v>1</v>
      </c>
      <c r="U60" s="9" t="n">
        <f aca="false">IF(Responses!U60=Responses!U$2,1,0)</f>
        <v>1</v>
      </c>
      <c r="V60" s="9" t="n">
        <f aca="false">IF(Responses!V60=Responses!V$2,1,0)</f>
        <v>0</v>
      </c>
      <c r="W60" s="9" t="n">
        <f aca="false">IF(Responses!W60=Responses!W$2,1,0)</f>
        <v>1</v>
      </c>
      <c r="X60" s="9" t="n">
        <f aca="false">IF(Responses!X60=Responses!X$2,1,0)</f>
        <v>1</v>
      </c>
      <c r="Y60" s="9" t="n">
        <f aca="false">IF(Responses!Y60=Responses!Y$2,1,0)</f>
        <v>0</v>
      </c>
      <c r="Z60" s="9" t="n">
        <f aca="false">IF(Responses!Z60=Responses!Z$2,1,0)</f>
        <v>1</v>
      </c>
      <c r="AA60" s="9" t="n">
        <f aca="false">IF(Responses!AA60=Responses!AA$2,1,0)</f>
        <v>1</v>
      </c>
      <c r="AB60" s="9" t="n">
        <f aca="false">IF(Responses!AB60=Responses!AB$2,1,0)</f>
        <v>1</v>
      </c>
      <c r="AC60" s="9" t="n">
        <f aca="false">IF(Responses!AC60=Responses!AC$2,1,0)</f>
        <v>0</v>
      </c>
      <c r="AD60" s="9" t="n">
        <f aca="false">IF(Responses!AD60=Responses!AD$2,1,0)</f>
        <v>1</v>
      </c>
      <c r="AE60" s="9" t="n">
        <f aca="false">IF(Responses!AE60=Responses!AE$2,1,0)</f>
        <v>0</v>
      </c>
      <c r="AF60" s="9" t="n">
        <f aca="false">SUM(B60:AE60)</f>
        <v>20</v>
      </c>
    </row>
    <row r="61" customFormat="false" ht="15" hidden="false" customHeight="false" outlineLevel="0" collapsed="false">
      <c r="A61" s="0" t="str">
        <f aca="false">Responses!A61</f>
        <v>S059</v>
      </c>
      <c r="B61" s="9" t="n">
        <f aca="false">IF(Responses!B61=Responses!B$2,1,0)</f>
        <v>1</v>
      </c>
      <c r="C61" s="9" t="n">
        <f aca="false">IF(Responses!C61=Responses!C$2,1,0)</f>
        <v>0</v>
      </c>
      <c r="D61" s="9" t="n">
        <f aca="false">IF(Responses!D61=Responses!D$2,1,0)</f>
        <v>0</v>
      </c>
      <c r="E61" s="9" t="n">
        <f aca="false">IF(Responses!E61=Responses!E$2,1,0)</f>
        <v>1</v>
      </c>
      <c r="F61" s="9" t="n">
        <f aca="false">IF(Responses!F61=Responses!F$2,1,0)</f>
        <v>1</v>
      </c>
      <c r="G61" s="9" t="n">
        <f aca="false">IF(Responses!G61=Responses!G$2,1,0)</f>
        <v>1</v>
      </c>
      <c r="H61" s="9" t="n">
        <f aca="false">IF(Responses!H61=Responses!H$2,1,0)</f>
        <v>0</v>
      </c>
      <c r="I61" s="9" t="n">
        <f aca="false">IF(Responses!I61=Responses!I$2,1,0)</f>
        <v>1</v>
      </c>
      <c r="J61" s="9" t="n">
        <f aca="false">IF(Responses!J61=Responses!J$2,1,0)</f>
        <v>1</v>
      </c>
      <c r="K61" s="9" t="n">
        <f aca="false">IF(Responses!K61=Responses!K$2,1,0)</f>
        <v>1</v>
      </c>
      <c r="L61" s="9" t="n">
        <f aca="false">IF(Responses!L61=Responses!L$2,1,0)</f>
        <v>1</v>
      </c>
      <c r="M61" s="9" t="n">
        <f aca="false">IF(Responses!M61=Responses!M$2,1,0)</f>
        <v>1</v>
      </c>
      <c r="N61" s="9" t="n">
        <f aca="false">IF(Responses!N61=Responses!N$2,1,0)</f>
        <v>1</v>
      </c>
      <c r="O61" s="9" t="n">
        <f aca="false">IF(Responses!O61=Responses!O$2,1,0)</f>
        <v>1</v>
      </c>
      <c r="P61" s="9" t="n">
        <f aca="false">IF(Responses!P61=Responses!P$2,1,0)</f>
        <v>1</v>
      </c>
      <c r="Q61" s="9" t="n">
        <f aca="false">IF(Responses!Q61=Responses!Q$2,1,0)</f>
        <v>1</v>
      </c>
      <c r="R61" s="9" t="n">
        <f aca="false">IF(Responses!R61=Responses!R$2,1,0)</f>
        <v>1</v>
      </c>
      <c r="S61" s="9" t="n">
        <f aca="false">IF(Responses!S61=Responses!S$2,1,0)</f>
        <v>0</v>
      </c>
      <c r="T61" s="9" t="n">
        <f aca="false">IF(Responses!T61=Responses!T$2,1,0)</f>
        <v>1</v>
      </c>
      <c r="U61" s="9" t="n">
        <f aca="false">IF(Responses!U61=Responses!U$2,1,0)</f>
        <v>1</v>
      </c>
      <c r="V61" s="9" t="n">
        <f aca="false">IF(Responses!V61=Responses!V$2,1,0)</f>
        <v>1</v>
      </c>
      <c r="W61" s="9" t="n">
        <f aca="false">IF(Responses!W61=Responses!W$2,1,0)</f>
        <v>1</v>
      </c>
      <c r="X61" s="9" t="n">
        <f aca="false">IF(Responses!X61=Responses!X$2,1,0)</f>
        <v>1</v>
      </c>
      <c r="Y61" s="9" t="n">
        <f aca="false">IF(Responses!Y61=Responses!Y$2,1,0)</f>
        <v>1</v>
      </c>
      <c r="Z61" s="9" t="n">
        <f aca="false">IF(Responses!Z61=Responses!Z$2,1,0)</f>
        <v>1</v>
      </c>
      <c r="AA61" s="9" t="n">
        <f aca="false">IF(Responses!AA61=Responses!AA$2,1,0)</f>
        <v>1</v>
      </c>
      <c r="AB61" s="9" t="n">
        <f aca="false">IF(Responses!AB61=Responses!AB$2,1,0)</f>
        <v>0</v>
      </c>
      <c r="AC61" s="9" t="n">
        <f aca="false">IF(Responses!AC61=Responses!AC$2,1,0)</f>
        <v>1</v>
      </c>
      <c r="AD61" s="9" t="n">
        <f aca="false">IF(Responses!AD61=Responses!AD$2,1,0)</f>
        <v>0</v>
      </c>
      <c r="AE61" s="9" t="n">
        <f aca="false">IF(Responses!AE61=Responses!AE$2,1,0)</f>
        <v>1</v>
      </c>
      <c r="AF61" s="9" t="n">
        <f aca="false">SUM(B61:AE61)</f>
        <v>24</v>
      </c>
    </row>
    <row r="62" customFormat="false" ht="15" hidden="false" customHeight="false" outlineLevel="0" collapsed="false">
      <c r="A62" s="0" t="str">
        <f aca="false">Responses!A62</f>
        <v>S060</v>
      </c>
      <c r="B62" s="9" t="n">
        <f aca="false">IF(Responses!B62=Responses!B$2,1,0)</f>
        <v>1</v>
      </c>
      <c r="C62" s="9" t="n">
        <f aca="false">IF(Responses!C62=Responses!C$2,1,0)</f>
        <v>0</v>
      </c>
      <c r="D62" s="9" t="n">
        <f aca="false">IF(Responses!D62=Responses!D$2,1,0)</f>
        <v>0</v>
      </c>
      <c r="E62" s="9" t="n">
        <f aca="false">IF(Responses!E62=Responses!E$2,1,0)</f>
        <v>1</v>
      </c>
      <c r="F62" s="9" t="n">
        <f aca="false">IF(Responses!F62=Responses!F$2,1,0)</f>
        <v>1</v>
      </c>
      <c r="G62" s="9" t="n">
        <f aca="false">IF(Responses!G62=Responses!G$2,1,0)</f>
        <v>1</v>
      </c>
      <c r="H62" s="9" t="n">
        <f aca="false">IF(Responses!H62=Responses!H$2,1,0)</f>
        <v>0</v>
      </c>
      <c r="I62" s="9" t="n">
        <f aca="false">IF(Responses!I62=Responses!I$2,1,0)</f>
        <v>0</v>
      </c>
      <c r="J62" s="9" t="n">
        <f aca="false">IF(Responses!J62=Responses!J$2,1,0)</f>
        <v>1</v>
      </c>
      <c r="K62" s="9" t="n">
        <f aca="false">IF(Responses!K62=Responses!K$2,1,0)</f>
        <v>1</v>
      </c>
      <c r="L62" s="9" t="n">
        <f aca="false">IF(Responses!L62=Responses!L$2,1,0)</f>
        <v>1</v>
      </c>
      <c r="M62" s="9" t="n">
        <f aca="false">IF(Responses!M62=Responses!M$2,1,0)</f>
        <v>1</v>
      </c>
      <c r="N62" s="9" t="n">
        <f aca="false">IF(Responses!N62=Responses!N$2,1,0)</f>
        <v>0</v>
      </c>
      <c r="O62" s="9" t="n">
        <f aca="false">IF(Responses!O62=Responses!O$2,1,0)</f>
        <v>1</v>
      </c>
      <c r="P62" s="9" t="n">
        <f aca="false">IF(Responses!P62=Responses!P$2,1,0)</f>
        <v>1</v>
      </c>
      <c r="Q62" s="9" t="n">
        <f aca="false">IF(Responses!Q62=Responses!Q$2,1,0)</f>
        <v>1</v>
      </c>
      <c r="R62" s="9" t="n">
        <f aca="false">IF(Responses!R62=Responses!R$2,1,0)</f>
        <v>1</v>
      </c>
      <c r="S62" s="9" t="n">
        <f aca="false">IF(Responses!S62=Responses!S$2,1,0)</f>
        <v>0</v>
      </c>
      <c r="T62" s="9" t="n">
        <f aca="false">IF(Responses!T62=Responses!T$2,1,0)</f>
        <v>0</v>
      </c>
      <c r="U62" s="9" t="n">
        <f aca="false">IF(Responses!U62=Responses!U$2,1,0)</f>
        <v>0</v>
      </c>
      <c r="V62" s="9" t="n">
        <f aca="false">IF(Responses!V62=Responses!V$2,1,0)</f>
        <v>0</v>
      </c>
      <c r="W62" s="9" t="n">
        <f aca="false">IF(Responses!W62=Responses!W$2,1,0)</f>
        <v>1</v>
      </c>
      <c r="X62" s="9" t="n">
        <f aca="false">IF(Responses!X62=Responses!X$2,1,0)</f>
        <v>0</v>
      </c>
      <c r="Y62" s="9" t="n">
        <f aca="false">IF(Responses!Y62=Responses!Y$2,1,0)</f>
        <v>1</v>
      </c>
      <c r="Z62" s="9" t="n">
        <f aca="false">IF(Responses!Z62=Responses!Z$2,1,0)</f>
        <v>0</v>
      </c>
      <c r="AA62" s="9" t="n">
        <f aca="false">IF(Responses!AA62=Responses!AA$2,1,0)</f>
        <v>1</v>
      </c>
      <c r="AB62" s="9" t="n">
        <f aca="false">IF(Responses!AB62=Responses!AB$2,1,0)</f>
        <v>1</v>
      </c>
      <c r="AC62" s="9" t="n">
        <f aca="false">IF(Responses!AC62=Responses!AC$2,1,0)</f>
        <v>0</v>
      </c>
      <c r="AD62" s="9" t="n">
        <f aca="false">IF(Responses!AD62=Responses!AD$2,1,0)</f>
        <v>0</v>
      </c>
      <c r="AE62" s="9" t="n">
        <f aca="false">IF(Responses!AE62=Responses!AE$2,1,0)</f>
        <v>0</v>
      </c>
      <c r="AF62" s="9" t="n">
        <f aca="false">SUM(B62:AE62)</f>
        <v>16</v>
      </c>
    </row>
    <row r="63" customFormat="false" ht="15" hidden="false" customHeight="false" outlineLevel="0" collapsed="false">
      <c r="A63" s="0" t="str">
        <f aca="false">Responses!A63</f>
        <v>S061</v>
      </c>
      <c r="B63" s="9" t="n">
        <f aca="false">IF(Responses!B63=Responses!B$2,1,0)</f>
        <v>0</v>
      </c>
      <c r="C63" s="9" t="n">
        <f aca="false">IF(Responses!C63=Responses!C$2,1,0)</f>
        <v>0</v>
      </c>
      <c r="D63" s="9" t="n">
        <f aca="false">IF(Responses!D63=Responses!D$2,1,0)</f>
        <v>0</v>
      </c>
      <c r="E63" s="9" t="n">
        <f aca="false">IF(Responses!E63=Responses!E$2,1,0)</f>
        <v>1</v>
      </c>
      <c r="F63" s="9" t="n">
        <f aca="false">IF(Responses!F63=Responses!F$2,1,0)</f>
        <v>0</v>
      </c>
      <c r="G63" s="9" t="n">
        <f aca="false">IF(Responses!G63=Responses!G$2,1,0)</f>
        <v>0</v>
      </c>
      <c r="H63" s="9" t="n">
        <f aca="false">IF(Responses!H63=Responses!H$2,1,0)</f>
        <v>0</v>
      </c>
      <c r="I63" s="9" t="n">
        <f aca="false">IF(Responses!I63=Responses!I$2,1,0)</f>
        <v>0</v>
      </c>
      <c r="J63" s="9" t="n">
        <f aca="false">IF(Responses!J63=Responses!J$2,1,0)</f>
        <v>1</v>
      </c>
      <c r="K63" s="9" t="n">
        <f aca="false">IF(Responses!K63=Responses!K$2,1,0)</f>
        <v>0</v>
      </c>
      <c r="L63" s="9" t="n">
        <f aca="false">IF(Responses!L63=Responses!L$2,1,0)</f>
        <v>0</v>
      </c>
      <c r="M63" s="9" t="n">
        <f aca="false">IF(Responses!M63=Responses!M$2,1,0)</f>
        <v>1</v>
      </c>
      <c r="N63" s="9" t="n">
        <f aca="false">IF(Responses!N63=Responses!N$2,1,0)</f>
        <v>0</v>
      </c>
      <c r="O63" s="9" t="n">
        <f aca="false">IF(Responses!O63=Responses!O$2,1,0)</f>
        <v>0</v>
      </c>
      <c r="P63" s="9" t="n">
        <f aca="false">IF(Responses!P63=Responses!P$2,1,0)</f>
        <v>0</v>
      </c>
      <c r="Q63" s="9" t="n">
        <f aca="false">IF(Responses!Q63=Responses!Q$2,1,0)</f>
        <v>0</v>
      </c>
      <c r="R63" s="9" t="n">
        <f aca="false">IF(Responses!R63=Responses!R$2,1,0)</f>
        <v>0</v>
      </c>
      <c r="S63" s="9" t="n">
        <f aca="false">IF(Responses!S63=Responses!S$2,1,0)</f>
        <v>1</v>
      </c>
      <c r="T63" s="9" t="n">
        <f aca="false">IF(Responses!T63=Responses!T$2,1,0)</f>
        <v>1</v>
      </c>
      <c r="U63" s="9" t="n">
        <f aca="false">IF(Responses!U63=Responses!U$2,1,0)</f>
        <v>0</v>
      </c>
      <c r="V63" s="9" t="n">
        <f aca="false">IF(Responses!V63=Responses!V$2,1,0)</f>
        <v>1</v>
      </c>
      <c r="W63" s="9" t="n">
        <f aca="false">IF(Responses!W63=Responses!W$2,1,0)</f>
        <v>0</v>
      </c>
      <c r="X63" s="9" t="n">
        <f aca="false">IF(Responses!X63=Responses!X$2,1,0)</f>
        <v>1</v>
      </c>
      <c r="Y63" s="9" t="n">
        <f aca="false">IF(Responses!Y63=Responses!Y$2,1,0)</f>
        <v>1</v>
      </c>
      <c r="Z63" s="9" t="n">
        <f aca="false">IF(Responses!Z63=Responses!Z$2,1,0)</f>
        <v>0</v>
      </c>
      <c r="AA63" s="9" t="n">
        <f aca="false">IF(Responses!AA63=Responses!AA$2,1,0)</f>
        <v>0</v>
      </c>
      <c r="AB63" s="9" t="n">
        <f aca="false">IF(Responses!AB63=Responses!AB$2,1,0)</f>
        <v>0</v>
      </c>
      <c r="AC63" s="9" t="n">
        <f aca="false">IF(Responses!AC63=Responses!AC$2,1,0)</f>
        <v>1</v>
      </c>
      <c r="AD63" s="9" t="n">
        <f aca="false">IF(Responses!AD63=Responses!AD$2,1,0)</f>
        <v>0</v>
      </c>
      <c r="AE63" s="9" t="n">
        <f aca="false">IF(Responses!AE63=Responses!AE$2,1,0)</f>
        <v>1</v>
      </c>
      <c r="AF63" s="9" t="n">
        <f aca="false">SUM(B63:AE63)</f>
        <v>10</v>
      </c>
    </row>
    <row r="64" customFormat="false" ht="15" hidden="false" customHeight="false" outlineLevel="0" collapsed="false">
      <c r="A64" s="0" t="str">
        <f aca="false">Responses!A64</f>
        <v>S062</v>
      </c>
      <c r="B64" s="9" t="n">
        <f aca="false">IF(Responses!B64=Responses!B$2,1,0)</f>
        <v>0</v>
      </c>
      <c r="C64" s="9" t="n">
        <f aca="false">IF(Responses!C64=Responses!C$2,1,0)</f>
        <v>0</v>
      </c>
      <c r="D64" s="9" t="n">
        <f aca="false">IF(Responses!D64=Responses!D$2,1,0)</f>
        <v>0</v>
      </c>
      <c r="E64" s="9" t="n">
        <f aca="false">IF(Responses!E64=Responses!E$2,1,0)</f>
        <v>0</v>
      </c>
      <c r="F64" s="9" t="n">
        <f aca="false">IF(Responses!F64=Responses!F$2,1,0)</f>
        <v>0</v>
      </c>
      <c r="G64" s="9" t="n">
        <f aca="false">IF(Responses!G64=Responses!G$2,1,0)</f>
        <v>1</v>
      </c>
      <c r="H64" s="9" t="n">
        <f aca="false">IF(Responses!H64=Responses!H$2,1,0)</f>
        <v>1</v>
      </c>
      <c r="I64" s="9" t="n">
        <f aca="false">IF(Responses!I64=Responses!I$2,1,0)</f>
        <v>0</v>
      </c>
      <c r="J64" s="9" t="n">
        <f aca="false">IF(Responses!J64=Responses!J$2,1,0)</f>
        <v>1</v>
      </c>
      <c r="K64" s="9" t="n">
        <f aca="false">IF(Responses!K64=Responses!K$2,1,0)</f>
        <v>0</v>
      </c>
      <c r="L64" s="9" t="n">
        <f aca="false">IF(Responses!L64=Responses!L$2,1,0)</f>
        <v>0</v>
      </c>
      <c r="M64" s="9" t="n">
        <f aca="false">IF(Responses!M64=Responses!M$2,1,0)</f>
        <v>1</v>
      </c>
      <c r="N64" s="9" t="n">
        <f aca="false">IF(Responses!N64=Responses!N$2,1,0)</f>
        <v>0</v>
      </c>
      <c r="O64" s="9" t="n">
        <f aca="false">IF(Responses!O64=Responses!O$2,1,0)</f>
        <v>1</v>
      </c>
      <c r="P64" s="9" t="n">
        <f aca="false">IF(Responses!P64=Responses!P$2,1,0)</f>
        <v>0</v>
      </c>
      <c r="Q64" s="9" t="n">
        <f aca="false">IF(Responses!Q64=Responses!Q$2,1,0)</f>
        <v>1</v>
      </c>
      <c r="R64" s="9" t="n">
        <f aca="false">IF(Responses!R64=Responses!R$2,1,0)</f>
        <v>0</v>
      </c>
      <c r="S64" s="9" t="n">
        <f aca="false">IF(Responses!S64=Responses!S$2,1,0)</f>
        <v>0</v>
      </c>
      <c r="T64" s="9" t="n">
        <f aca="false">IF(Responses!T64=Responses!T$2,1,0)</f>
        <v>0</v>
      </c>
      <c r="U64" s="9" t="n">
        <f aca="false">IF(Responses!U64=Responses!U$2,1,0)</f>
        <v>0</v>
      </c>
      <c r="V64" s="9" t="n">
        <f aca="false">IF(Responses!V64=Responses!V$2,1,0)</f>
        <v>0</v>
      </c>
      <c r="W64" s="9" t="n">
        <f aca="false">IF(Responses!W64=Responses!W$2,1,0)</f>
        <v>0</v>
      </c>
      <c r="X64" s="9" t="n">
        <f aca="false">IF(Responses!X64=Responses!X$2,1,0)</f>
        <v>0</v>
      </c>
      <c r="Y64" s="9" t="n">
        <f aca="false">IF(Responses!Y64=Responses!Y$2,1,0)</f>
        <v>0</v>
      </c>
      <c r="Z64" s="9" t="n">
        <f aca="false">IF(Responses!Z64=Responses!Z$2,1,0)</f>
        <v>0</v>
      </c>
      <c r="AA64" s="9" t="n">
        <f aca="false">IF(Responses!AA64=Responses!AA$2,1,0)</f>
        <v>1</v>
      </c>
      <c r="AB64" s="9" t="n">
        <f aca="false">IF(Responses!AB64=Responses!AB$2,1,0)</f>
        <v>0</v>
      </c>
      <c r="AC64" s="9" t="n">
        <f aca="false">IF(Responses!AC64=Responses!AC$2,1,0)</f>
        <v>0</v>
      </c>
      <c r="AD64" s="9" t="n">
        <f aca="false">IF(Responses!AD64=Responses!AD$2,1,0)</f>
        <v>0</v>
      </c>
      <c r="AE64" s="9" t="n">
        <f aca="false">IF(Responses!AE64=Responses!AE$2,1,0)</f>
        <v>0</v>
      </c>
      <c r="AF64" s="9" t="n">
        <f aca="false">SUM(B64:AE64)</f>
        <v>7</v>
      </c>
    </row>
    <row r="65" customFormat="false" ht="15" hidden="false" customHeight="false" outlineLevel="0" collapsed="false">
      <c r="A65" s="0" t="str">
        <f aca="false">Responses!A65</f>
        <v>S063</v>
      </c>
      <c r="B65" s="9" t="n">
        <f aca="false">IF(Responses!B65=Responses!B$2,1,0)</f>
        <v>0</v>
      </c>
      <c r="C65" s="9" t="n">
        <f aca="false">IF(Responses!C65=Responses!C$2,1,0)</f>
        <v>0</v>
      </c>
      <c r="D65" s="9" t="n">
        <f aca="false">IF(Responses!D65=Responses!D$2,1,0)</f>
        <v>1</v>
      </c>
      <c r="E65" s="9" t="n">
        <f aca="false">IF(Responses!E65=Responses!E$2,1,0)</f>
        <v>0</v>
      </c>
      <c r="F65" s="9" t="n">
        <f aca="false">IF(Responses!F65=Responses!F$2,1,0)</f>
        <v>0</v>
      </c>
      <c r="G65" s="9" t="n">
        <f aca="false">IF(Responses!G65=Responses!G$2,1,0)</f>
        <v>0</v>
      </c>
      <c r="H65" s="9" t="n">
        <f aca="false">IF(Responses!H65=Responses!H$2,1,0)</f>
        <v>0</v>
      </c>
      <c r="I65" s="9" t="n">
        <f aca="false">IF(Responses!I65=Responses!I$2,1,0)</f>
        <v>0</v>
      </c>
      <c r="J65" s="9" t="n">
        <f aca="false">IF(Responses!J65=Responses!J$2,1,0)</f>
        <v>1</v>
      </c>
      <c r="K65" s="9" t="n">
        <f aca="false">IF(Responses!K65=Responses!K$2,1,0)</f>
        <v>0</v>
      </c>
      <c r="L65" s="9" t="n">
        <f aca="false">IF(Responses!L65=Responses!L$2,1,0)</f>
        <v>1</v>
      </c>
      <c r="M65" s="9" t="n">
        <f aca="false">IF(Responses!M65=Responses!M$2,1,0)</f>
        <v>1</v>
      </c>
      <c r="N65" s="9" t="n">
        <f aca="false">IF(Responses!N65=Responses!N$2,1,0)</f>
        <v>0</v>
      </c>
      <c r="O65" s="9" t="n">
        <f aca="false">IF(Responses!O65=Responses!O$2,1,0)</f>
        <v>1</v>
      </c>
      <c r="P65" s="9" t="n">
        <f aca="false">IF(Responses!P65=Responses!P$2,1,0)</f>
        <v>0</v>
      </c>
      <c r="Q65" s="9" t="n">
        <f aca="false">IF(Responses!Q65=Responses!Q$2,1,0)</f>
        <v>1</v>
      </c>
      <c r="R65" s="9" t="n">
        <f aca="false">IF(Responses!R65=Responses!R$2,1,0)</f>
        <v>1</v>
      </c>
      <c r="S65" s="9" t="n">
        <f aca="false">IF(Responses!S65=Responses!S$2,1,0)</f>
        <v>0</v>
      </c>
      <c r="T65" s="9" t="n">
        <f aca="false">IF(Responses!T65=Responses!T$2,1,0)</f>
        <v>0</v>
      </c>
      <c r="U65" s="9" t="n">
        <f aca="false">IF(Responses!U65=Responses!U$2,1,0)</f>
        <v>0</v>
      </c>
      <c r="V65" s="9" t="n">
        <f aca="false">IF(Responses!V65=Responses!V$2,1,0)</f>
        <v>0</v>
      </c>
      <c r="W65" s="9" t="n">
        <f aca="false">IF(Responses!W65=Responses!W$2,1,0)</f>
        <v>0</v>
      </c>
      <c r="X65" s="9" t="n">
        <f aca="false">IF(Responses!X65=Responses!X$2,1,0)</f>
        <v>1</v>
      </c>
      <c r="Y65" s="9" t="n">
        <f aca="false">IF(Responses!Y65=Responses!Y$2,1,0)</f>
        <v>0</v>
      </c>
      <c r="Z65" s="9" t="n">
        <f aca="false">IF(Responses!Z65=Responses!Z$2,1,0)</f>
        <v>0</v>
      </c>
      <c r="AA65" s="9" t="n">
        <f aca="false">IF(Responses!AA65=Responses!AA$2,1,0)</f>
        <v>0</v>
      </c>
      <c r="AB65" s="9" t="n">
        <f aca="false">IF(Responses!AB65=Responses!AB$2,1,0)</f>
        <v>0</v>
      </c>
      <c r="AC65" s="9" t="n">
        <f aca="false">IF(Responses!AC65=Responses!AC$2,1,0)</f>
        <v>0</v>
      </c>
      <c r="AD65" s="9" t="n">
        <f aca="false">IF(Responses!AD65=Responses!AD$2,1,0)</f>
        <v>0</v>
      </c>
      <c r="AE65" s="9" t="n">
        <f aca="false">IF(Responses!AE65=Responses!AE$2,1,0)</f>
        <v>0</v>
      </c>
      <c r="AF65" s="9" t="n">
        <f aca="false">SUM(B65:AE65)</f>
        <v>8</v>
      </c>
    </row>
    <row r="66" customFormat="false" ht="15" hidden="false" customHeight="false" outlineLevel="0" collapsed="false">
      <c r="A66" s="0" t="str">
        <f aca="false">Responses!A66</f>
        <v>S064</v>
      </c>
      <c r="B66" s="9" t="n">
        <f aca="false">IF(Responses!B66=Responses!B$2,1,0)</f>
        <v>1</v>
      </c>
      <c r="C66" s="9" t="n">
        <f aca="false">IF(Responses!C66=Responses!C$2,1,0)</f>
        <v>0</v>
      </c>
      <c r="D66" s="9" t="n">
        <f aca="false">IF(Responses!D66=Responses!D$2,1,0)</f>
        <v>0</v>
      </c>
      <c r="E66" s="9" t="n">
        <f aca="false">IF(Responses!E66=Responses!E$2,1,0)</f>
        <v>1</v>
      </c>
      <c r="F66" s="9" t="n">
        <f aca="false">IF(Responses!F66=Responses!F$2,1,0)</f>
        <v>0</v>
      </c>
      <c r="G66" s="9" t="n">
        <f aca="false">IF(Responses!G66=Responses!G$2,1,0)</f>
        <v>0</v>
      </c>
      <c r="H66" s="9" t="n">
        <f aca="false">IF(Responses!H66=Responses!H$2,1,0)</f>
        <v>1</v>
      </c>
      <c r="I66" s="9" t="n">
        <f aca="false">IF(Responses!I66=Responses!I$2,1,0)</f>
        <v>1</v>
      </c>
      <c r="J66" s="9" t="n">
        <f aca="false">IF(Responses!J66=Responses!J$2,1,0)</f>
        <v>1</v>
      </c>
      <c r="K66" s="9" t="n">
        <f aca="false">IF(Responses!K66=Responses!K$2,1,0)</f>
        <v>0</v>
      </c>
      <c r="L66" s="9" t="n">
        <f aca="false">IF(Responses!L66=Responses!L$2,1,0)</f>
        <v>1</v>
      </c>
      <c r="M66" s="9" t="n">
        <f aca="false">IF(Responses!M66=Responses!M$2,1,0)</f>
        <v>1</v>
      </c>
      <c r="N66" s="9" t="n">
        <f aca="false">IF(Responses!N66=Responses!N$2,1,0)</f>
        <v>0</v>
      </c>
      <c r="O66" s="9" t="n">
        <f aca="false">IF(Responses!O66=Responses!O$2,1,0)</f>
        <v>0</v>
      </c>
      <c r="P66" s="9" t="n">
        <f aca="false">IF(Responses!P66=Responses!P$2,1,0)</f>
        <v>1</v>
      </c>
      <c r="Q66" s="9" t="n">
        <f aca="false">IF(Responses!Q66=Responses!Q$2,1,0)</f>
        <v>1</v>
      </c>
      <c r="R66" s="9" t="n">
        <f aca="false">IF(Responses!R66=Responses!R$2,1,0)</f>
        <v>1</v>
      </c>
      <c r="S66" s="9" t="n">
        <f aca="false">IF(Responses!S66=Responses!S$2,1,0)</f>
        <v>0</v>
      </c>
      <c r="T66" s="9" t="n">
        <f aca="false">IF(Responses!T66=Responses!T$2,1,0)</f>
        <v>1</v>
      </c>
      <c r="U66" s="9" t="n">
        <f aca="false">IF(Responses!U66=Responses!U$2,1,0)</f>
        <v>0</v>
      </c>
      <c r="V66" s="9" t="n">
        <f aca="false">IF(Responses!V66=Responses!V$2,1,0)</f>
        <v>0</v>
      </c>
      <c r="W66" s="9" t="n">
        <f aca="false">IF(Responses!W66=Responses!W$2,1,0)</f>
        <v>0</v>
      </c>
      <c r="X66" s="9" t="n">
        <f aca="false">IF(Responses!X66=Responses!X$2,1,0)</f>
        <v>0</v>
      </c>
      <c r="Y66" s="9" t="n">
        <f aca="false">IF(Responses!Y66=Responses!Y$2,1,0)</f>
        <v>0</v>
      </c>
      <c r="Z66" s="9" t="n">
        <f aca="false">IF(Responses!Z66=Responses!Z$2,1,0)</f>
        <v>1</v>
      </c>
      <c r="AA66" s="9" t="n">
        <f aca="false">IF(Responses!AA66=Responses!AA$2,1,0)</f>
        <v>1</v>
      </c>
      <c r="AB66" s="9" t="n">
        <f aca="false">IF(Responses!AB66=Responses!AB$2,1,0)</f>
        <v>0</v>
      </c>
      <c r="AC66" s="9" t="n">
        <f aca="false">IF(Responses!AC66=Responses!AC$2,1,0)</f>
        <v>1</v>
      </c>
      <c r="AD66" s="9" t="n">
        <f aca="false">IF(Responses!AD66=Responses!AD$2,1,0)</f>
        <v>0</v>
      </c>
      <c r="AE66" s="9" t="n">
        <f aca="false">IF(Responses!AE66=Responses!AE$2,1,0)</f>
        <v>0</v>
      </c>
      <c r="AF66" s="9" t="n">
        <f aca="false">SUM(B66:AE66)</f>
        <v>14</v>
      </c>
    </row>
    <row r="67" customFormat="false" ht="15" hidden="false" customHeight="false" outlineLevel="0" collapsed="false">
      <c r="A67" s="0" t="str">
        <f aca="false">Responses!A67</f>
        <v>S065</v>
      </c>
      <c r="B67" s="9" t="n">
        <f aca="false">IF(Responses!B67=Responses!B$2,1,0)</f>
        <v>0</v>
      </c>
      <c r="C67" s="9" t="n">
        <f aca="false">IF(Responses!C67=Responses!C$2,1,0)</f>
        <v>0</v>
      </c>
      <c r="D67" s="9" t="n">
        <f aca="false">IF(Responses!D67=Responses!D$2,1,0)</f>
        <v>0</v>
      </c>
      <c r="E67" s="9" t="n">
        <f aca="false">IF(Responses!E67=Responses!E$2,1,0)</f>
        <v>0</v>
      </c>
      <c r="F67" s="9" t="n">
        <f aca="false">IF(Responses!F67=Responses!F$2,1,0)</f>
        <v>0</v>
      </c>
      <c r="G67" s="9" t="n">
        <f aca="false">IF(Responses!G67=Responses!G$2,1,0)</f>
        <v>0</v>
      </c>
      <c r="H67" s="9" t="n">
        <f aca="false">IF(Responses!H67=Responses!H$2,1,0)</f>
        <v>0</v>
      </c>
      <c r="I67" s="9" t="n">
        <f aca="false">IF(Responses!I67=Responses!I$2,1,0)</f>
        <v>0</v>
      </c>
      <c r="J67" s="9" t="n">
        <f aca="false">IF(Responses!J67=Responses!J$2,1,0)</f>
        <v>1</v>
      </c>
      <c r="K67" s="9" t="n">
        <f aca="false">IF(Responses!K67=Responses!K$2,1,0)</f>
        <v>0</v>
      </c>
      <c r="L67" s="9" t="n">
        <f aca="false">IF(Responses!L67=Responses!L$2,1,0)</f>
        <v>0</v>
      </c>
      <c r="M67" s="9" t="n">
        <f aca="false">IF(Responses!M67=Responses!M$2,1,0)</f>
        <v>1</v>
      </c>
      <c r="N67" s="9" t="n">
        <f aca="false">IF(Responses!N67=Responses!N$2,1,0)</f>
        <v>0</v>
      </c>
      <c r="O67" s="9" t="n">
        <f aca="false">IF(Responses!O67=Responses!O$2,1,0)</f>
        <v>0</v>
      </c>
      <c r="P67" s="9" t="n">
        <f aca="false">IF(Responses!P67=Responses!P$2,1,0)</f>
        <v>0</v>
      </c>
      <c r="Q67" s="9" t="n">
        <f aca="false">IF(Responses!Q67=Responses!Q$2,1,0)</f>
        <v>1</v>
      </c>
      <c r="R67" s="9" t="n">
        <f aca="false">IF(Responses!R67=Responses!R$2,1,0)</f>
        <v>1</v>
      </c>
      <c r="S67" s="9" t="n">
        <f aca="false">IF(Responses!S67=Responses!S$2,1,0)</f>
        <v>0</v>
      </c>
      <c r="T67" s="9" t="n">
        <f aca="false">IF(Responses!T67=Responses!T$2,1,0)</f>
        <v>0</v>
      </c>
      <c r="U67" s="9" t="n">
        <f aca="false">IF(Responses!U67=Responses!U$2,1,0)</f>
        <v>0</v>
      </c>
      <c r="V67" s="9" t="n">
        <f aca="false">IF(Responses!V67=Responses!V$2,1,0)</f>
        <v>0</v>
      </c>
      <c r="W67" s="9" t="n">
        <f aca="false">IF(Responses!W67=Responses!W$2,1,0)</f>
        <v>0</v>
      </c>
      <c r="X67" s="9" t="n">
        <f aca="false">IF(Responses!X67=Responses!X$2,1,0)</f>
        <v>1</v>
      </c>
      <c r="Y67" s="9" t="n">
        <f aca="false">IF(Responses!Y67=Responses!Y$2,1,0)</f>
        <v>0</v>
      </c>
      <c r="Z67" s="9" t="n">
        <f aca="false">IF(Responses!Z67=Responses!Z$2,1,0)</f>
        <v>0</v>
      </c>
      <c r="AA67" s="9" t="n">
        <f aca="false">IF(Responses!AA67=Responses!AA$2,1,0)</f>
        <v>0</v>
      </c>
      <c r="AB67" s="9" t="n">
        <f aca="false">IF(Responses!AB67=Responses!AB$2,1,0)</f>
        <v>1</v>
      </c>
      <c r="AC67" s="9" t="n">
        <f aca="false">IF(Responses!AC67=Responses!AC$2,1,0)</f>
        <v>0</v>
      </c>
      <c r="AD67" s="9" t="n">
        <f aca="false">IF(Responses!AD67=Responses!AD$2,1,0)</f>
        <v>0</v>
      </c>
      <c r="AE67" s="9" t="n">
        <f aca="false">IF(Responses!AE67=Responses!AE$2,1,0)</f>
        <v>0</v>
      </c>
      <c r="AF67" s="9" t="n">
        <f aca="false">SUM(B67:AE67)</f>
        <v>6</v>
      </c>
    </row>
    <row r="68" customFormat="false" ht="15" hidden="false" customHeight="false" outlineLevel="0" collapsed="false">
      <c r="A68" s="0" t="str">
        <f aca="false">Responses!A68</f>
        <v>S066</v>
      </c>
      <c r="B68" s="9" t="n">
        <f aca="false">IF(Responses!B68=Responses!B$2,1,0)</f>
        <v>1</v>
      </c>
      <c r="C68" s="9" t="n">
        <f aca="false">IF(Responses!C68=Responses!C$2,1,0)</f>
        <v>0</v>
      </c>
      <c r="D68" s="9" t="n">
        <f aca="false">IF(Responses!D68=Responses!D$2,1,0)</f>
        <v>0</v>
      </c>
      <c r="E68" s="9" t="n">
        <f aca="false">IF(Responses!E68=Responses!E$2,1,0)</f>
        <v>1</v>
      </c>
      <c r="F68" s="9" t="n">
        <f aca="false">IF(Responses!F68=Responses!F$2,1,0)</f>
        <v>1</v>
      </c>
      <c r="G68" s="9" t="n">
        <f aca="false">IF(Responses!G68=Responses!G$2,1,0)</f>
        <v>1</v>
      </c>
      <c r="H68" s="9" t="n">
        <f aca="false">IF(Responses!H68=Responses!H$2,1,0)</f>
        <v>0</v>
      </c>
      <c r="I68" s="9" t="n">
        <f aca="false">IF(Responses!I68=Responses!I$2,1,0)</f>
        <v>1</v>
      </c>
      <c r="J68" s="9" t="n">
        <f aca="false">IF(Responses!J68=Responses!J$2,1,0)</f>
        <v>1</v>
      </c>
      <c r="K68" s="9" t="n">
        <f aca="false">IF(Responses!K68=Responses!K$2,1,0)</f>
        <v>1</v>
      </c>
      <c r="L68" s="9" t="n">
        <f aca="false">IF(Responses!L68=Responses!L$2,1,0)</f>
        <v>1</v>
      </c>
      <c r="M68" s="9" t="n">
        <f aca="false">IF(Responses!M68=Responses!M$2,1,0)</f>
        <v>1</v>
      </c>
      <c r="N68" s="9" t="n">
        <f aca="false">IF(Responses!N68=Responses!N$2,1,0)</f>
        <v>1</v>
      </c>
      <c r="O68" s="9" t="n">
        <f aca="false">IF(Responses!O68=Responses!O$2,1,0)</f>
        <v>1</v>
      </c>
      <c r="P68" s="9" t="n">
        <f aca="false">IF(Responses!P68=Responses!P$2,1,0)</f>
        <v>0</v>
      </c>
      <c r="Q68" s="9" t="n">
        <f aca="false">IF(Responses!Q68=Responses!Q$2,1,0)</f>
        <v>1</v>
      </c>
      <c r="R68" s="9" t="n">
        <f aca="false">IF(Responses!R68=Responses!R$2,1,0)</f>
        <v>1</v>
      </c>
      <c r="S68" s="9" t="n">
        <f aca="false">IF(Responses!S68=Responses!S$2,1,0)</f>
        <v>0</v>
      </c>
      <c r="T68" s="9" t="n">
        <f aca="false">IF(Responses!T68=Responses!T$2,1,0)</f>
        <v>0</v>
      </c>
      <c r="U68" s="9" t="n">
        <f aca="false">IF(Responses!U68=Responses!U$2,1,0)</f>
        <v>1</v>
      </c>
      <c r="V68" s="9" t="n">
        <f aca="false">IF(Responses!V68=Responses!V$2,1,0)</f>
        <v>1</v>
      </c>
      <c r="W68" s="9" t="n">
        <f aca="false">IF(Responses!W68=Responses!W$2,1,0)</f>
        <v>1</v>
      </c>
      <c r="X68" s="9" t="n">
        <f aca="false">IF(Responses!X68=Responses!X$2,1,0)</f>
        <v>1</v>
      </c>
      <c r="Y68" s="9" t="n">
        <f aca="false">IF(Responses!Y68=Responses!Y$2,1,0)</f>
        <v>1</v>
      </c>
      <c r="Z68" s="9" t="n">
        <f aca="false">IF(Responses!Z68=Responses!Z$2,1,0)</f>
        <v>1</v>
      </c>
      <c r="AA68" s="9" t="n">
        <f aca="false">IF(Responses!AA68=Responses!AA$2,1,0)</f>
        <v>1</v>
      </c>
      <c r="AB68" s="9" t="n">
        <f aca="false">IF(Responses!AB68=Responses!AB$2,1,0)</f>
        <v>0</v>
      </c>
      <c r="AC68" s="9" t="n">
        <f aca="false">IF(Responses!AC68=Responses!AC$2,1,0)</f>
        <v>1</v>
      </c>
      <c r="AD68" s="9" t="n">
        <f aca="false">IF(Responses!AD68=Responses!AD$2,1,0)</f>
        <v>1</v>
      </c>
      <c r="AE68" s="9" t="n">
        <f aca="false">IF(Responses!AE68=Responses!AE$2,1,0)</f>
        <v>1</v>
      </c>
      <c r="AF68" s="9" t="n">
        <f aca="false">SUM(B68:AE68)</f>
        <v>23</v>
      </c>
    </row>
    <row r="69" customFormat="false" ht="15" hidden="false" customHeight="false" outlineLevel="0" collapsed="false">
      <c r="A69" s="0" t="str">
        <f aca="false">Responses!A69</f>
        <v>S067</v>
      </c>
      <c r="B69" s="9" t="n">
        <f aca="false">IF(Responses!B69=Responses!B$2,1,0)</f>
        <v>1</v>
      </c>
      <c r="C69" s="9" t="n">
        <f aca="false">IF(Responses!C69=Responses!C$2,1,0)</f>
        <v>0</v>
      </c>
      <c r="D69" s="9" t="n">
        <f aca="false">IF(Responses!D69=Responses!D$2,1,0)</f>
        <v>0</v>
      </c>
      <c r="E69" s="9" t="n">
        <f aca="false">IF(Responses!E69=Responses!E$2,1,0)</f>
        <v>1</v>
      </c>
      <c r="F69" s="9" t="n">
        <f aca="false">IF(Responses!F69=Responses!F$2,1,0)</f>
        <v>1</v>
      </c>
      <c r="G69" s="9" t="n">
        <f aca="false">IF(Responses!G69=Responses!G$2,1,0)</f>
        <v>0</v>
      </c>
      <c r="H69" s="9" t="n">
        <f aca="false">IF(Responses!H69=Responses!H$2,1,0)</f>
        <v>1</v>
      </c>
      <c r="I69" s="9" t="n">
        <f aca="false">IF(Responses!I69=Responses!I$2,1,0)</f>
        <v>0</v>
      </c>
      <c r="J69" s="9" t="n">
        <f aca="false">IF(Responses!J69=Responses!J$2,1,0)</f>
        <v>1</v>
      </c>
      <c r="K69" s="9" t="n">
        <f aca="false">IF(Responses!K69=Responses!K$2,1,0)</f>
        <v>0</v>
      </c>
      <c r="L69" s="9" t="n">
        <f aca="false">IF(Responses!L69=Responses!L$2,1,0)</f>
        <v>0</v>
      </c>
      <c r="M69" s="9" t="n">
        <f aca="false">IF(Responses!M69=Responses!M$2,1,0)</f>
        <v>1</v>
      </c>
      <c r="N69" s="9" t="n">
        <f aca="false">IF(Responses!N69=Responses!N$2,1,0)</f>
        <v>0</v>
      </c>
      <c r="O69" s="9" t="n">
        <f aca="false">IF(Responses!O69=Responses!O$2,1,0)</f>
        <v>1</v>
      </c>
      <c r="P69" s="9" t="n">
        <f aca="false">IF(Responses!P69=Responses!P$2,1,0)</f>
        <v>0</v>
      </c>
      <c r="Q69" s="9" t="n">
        <f aca="false">IF(Responses!Q69=Responses!Q$2,1,0)</f>
        <v>1</v>
      </c>
      <c r="R69" s="9" t="n">
        <f aca="false">IF(Responses!R69=Responses!R$2,1,0)</f>
        <v>1</v>
      </c>
      <c r="S69" s="9" t="n">
        <f aca="false">IF(Responses!S69=Responses!S$2,1,0)</f>
        <v>1</v>
      </c>
      <c r="T69" s="9" t="n">
        <f aca="false">IF(Responses!T69=Responses!T$2,1,0)</f>
        <v>0</v>
      </c>
      <c r="U69" s="9" t="n">
        <f aca="false">IF(Responses!U69=Responses!U$2,1,0)</f>
        <v>1</v>
      </c>
      <c r="V69" s="9" t="n">
        <f aca="false">IF(Responses!V69=Responses!V$2,1,0)</f>
        <v>1</v>
      </c>
      <c r="W69" s="9" t="n">
        <f aca="false">IF(Responses!W69=Responses!W$2,1,0)</f>
        <v>1</v>
      </c>
      <c r="X69" s="9" t="n">
        <f aca="false">IF(Responses!X69=Responses!X$2,1,0)</f>
        <v>0</v>
      </c>
      <c r="Y69" s="9" t="n">
        <f aca="false">IF(Responses!Y69=Responses!Y$2,1,0)</f>
        <v>1</v>
      </c>
      <c r="Z69" s="9" t="n">
        <f aca="false">IF(Responses!Z69=Responses!Z$2,1,0)</f>
        <v>0</v>
      </c>
      <c r="AA69" s="9" t="n">
        <f aca="false">IF(Responses!AA69=Responses!AA$2,1,0)</f>
        <v>1</v>
      </c>
      <c r="AB69" s="9" t="n">
        <f aca="false">IF(Responses!AB69=Responses!AB$2,1,0)</f>
        <v>0</v>
      </c>
      <c r="AC69" s="9" t="n">
        <f aca="false">IF(Responses!AC69=Responses!AC$2,1,0)</f>
        <v>0</v>
      </c>
      <c r="AD69" s="9" t="n">
        <f aca="false">IF(Responses!AD69=Responses!AD$2,1,0)</f>
        <v>0</v>
      </c>
      <c r="AE69" s="9" t="n">
        <f aca="false">IF(Responses!AE69=Responses!AE$2,1,0)</f>
        <v>0</v>
      </c>
      <c r="AF69" s="9" t="n">
        <f aca="false">SUM(B69:AE69)</f>
        <v>15</v>
      </c>
    </row>
    <row r="70" customFormat="false" ht="15" hidden="false" customHeight="false" outlineLevel="0" collapsed="false">
      <c r="A70" s="0" t="str">
        <f aca="false">Responses!A70</f>
        <v>S068</v>
      </c>
      <c r="B70" s="9" t="n">
        <f aca="false">IF(Responses!B70=Responses!B$2,1,0)</f>
        <v>1</v>
      </c>
      <c r="C70" s="9" t="n">
        <f aca="false">IF(Responses!C70=Responses!C$2,1,0)</f>
        <v>1</v>
      </c>
      <c r="D70" s="9" t="n">
        <f aca="false">IF(Responses!D70=Responses!D$2,1,0)</f>
        <v>0</v>
      </c>
      <c r="E70" s="9" t="n">
        <f aca="false">IF(Responses!E70=Responses!E$2,1,0)</f>
        <v>1</v>
      </c>
      <c r="F70" s="9" t="n">
        <f aca="false">IF(Responses!F70=Responses!F$2,1,0)</f>
        <v>1</v>
      </c>
      <c r="G70" s="9" t="n">
        <f aca="false">IF(Responses!G70=Responses!G$2,1,0)</f>
        <v>0</v>
      </c>
      <c r="H70" s="9" t="n">
        <f aca="false">IF(Responses!H70=Responses!H$2,1,0)</f>
        <v>0</v>
      </c>
      <c r="I70" s="9" t="n">
        <f aca="false">IF(Responses!I70=Responses!I$2,1,0)</f>
        <v>1</v>
      </c>
      <c r="J70" s="9" t="n">
        <f aca="false">IF(Responses!J70=Responses!J$2,1,0)</f>
        <v>1</v>
      </c>
      <c r="K70" s="9" t="n">
        <f aca="false">IF(Responses!K70=Responses!K$2,1,0)</f>
        <v>0</v>
      </c>
      <c r="L70" s="9" t="n">
        <f aca="false">IF(Responses!L70=Responses!L$2,1,0)</f>
        <v>1</v>
      </c>
      <c r="M70" s="9" t="n">
        <f aca="false">IF(Responses!M70=Responses!M$2,1,0)</f>
        <v>1</v>
      </c>
      <c r="N70" s="9" t="n">
        <f aca="false">IF(Responses!N70=Responses!N$2,1,0)</f>
        <v>0</v>
      </c>
      <c r="O70" s="9" t="n">
        <f aca="false">IF(Responses!O70=Responses!O$2,1,0)</f>
        <v>1</v>
      </c>
      <c r="P70" s="9" t="n">
        <f aca="false">IF(Responses!P70=Responses!P$2,1,0)</f>
        <v>0</v>
      </c>
      <c r="Q70" s="9" t="n">
        <f aca="false">IF(Responses!Q70=Responses!Q$2,1,0)</f>
        <v>0</v>
      </c>
      <c r="R70" s="9" t="n">
        <f aca="false">IF(Responses!R70=Responses!R$2,1,0)</f>
        <v>1</v>
      </c>
      <c r="S70" s="9" t="n">
        <f aca="false">IF(Responses!S70=Responses!S$2,1,0)</f>
        <v>0</v>
      </c>
      <c r="T70" s="9" t="n">
        <f aca="false">IF(Responses!T70=Responses!T$2,1,0)</f>
        <v>1</v>
      </c>
      <c r="U70" s="9" t="n">
        <f aca="false">IF(Responses!U70=Responses!U$2,1,0)</f>
        <v>1</v>
      </c>
      <c r="V70" s="9" t="n">
        <f aca="false">IF(Responses!V70=Responses!V$2,1,0)</f>
        <v>1</v>
      </c>
      <c r="W70" s="9" t="n">
        <f aca="false">IF(Responses!W70=Responses!W$2,1,0)</f>
        <v>0</v>
      </c>
      <c r="X70" s="9" t="n">
        <f aca="false">IF(Responses!X70=Responses!X$2,1,0)</f>
        <v>0</v>
      </c>
      <c r="Y70" s="9" t="n">
        <f aca="false">IF(Responses!Y70=Responses!Y$2,1,0)</f>
        <v>1</v>
      </c>
      <c r="Z70" s="9" t="n">
        <f aca="false">IF(Responses!Z70=Responses!Z$2,1,0)</f>
        <v>0</v>
      </c>
      <c r="AA70" s="9" t="n">
        <f aca="false">IF(Responses!AA70=Responses!AA$2,1,0)</f>
        <v>0</v>
      </c>
      <c r="AB70" s="9" t="n">
        <f aca="false">IF(Responses!AB70=Responses!AB$2,1,0)</f>
        <v>0</v>
      </c>
      <c r="AC70" s="9" t="n">
        <f aca="false">IF(Responses!AC70=Responses!AC$2,1,0)</f>
        <v>1</v>
      </c>
      <c r="AD70" s="9" t="n">
        <f aca="false">IF(Responses!AD70=Responses!AD$2,1,0)</f>
        <v>1</v>
      </c>
      <c r="AE70" s="9" t="n">
        <f aca="false">IF(Responses!AE70=Responses!AE$2,1,0)</f>
        <v>0</v>
      </c>
      <c r="AF70" s="9" t="n">
        <f aca="false">SUM(B70:AE70)</f>
        <v>16</v>
      </c>
    </row>
    <row r="71" customFormat="false" ht="15" hidden="false" customHeight="false" outlineLevel="0" collapsed="false">
      <c r="A71" s="0" t="str">
        <f aca="false">Responses!A71</f>
        <v>S069</v>
      </c>
      <c r="B71" s="9" t="n">
        <f aca="false">IF(Responses!B71=Responses!B$2,1,0)</f>
        <v>0</v>
      </c>
      <c r="C71" s="9" t="n">
        <f aca="false">IF(Responses!C71=Responses!C$2,1,0)</f>
        <v>1</v>
      </c>
      <c r="D71" s="9" t="n">
        <f aca="false">IF(Responses!D71=Responses!D$2,1,0)</f>
        <v>1</v>
      </c>
      <c r="E71" s="9" t="n">
        <f aca="false">IF(Responses!E71=Responses!E$2,1,0)</f>
        <v>0</v>
      </c>
      <c r="F71" s="9" t="n">
        <f aca="false">IF(Responses!F71=Responses!F$2,1,0)</f>
        <v>0</v>
      </c>
      <c r="G71" s="9" t="n">
        <f aca="false">IF(Responses!G71=Responses!G$2,1,0)</f>
        <v>1</v>
      </c>
      <c r="H71" s="9" t="n">
        <f aca="false">IF(Responses!H71=Responses!H$2,1,0)</f>
        <v>1</v>
      </c>
      <c r="I71" s="9" t="n">
        <f aca="false">IF(Responses!I71=Responses!I$2,1,0)</f>
        <v>0</v>
      </c>
      <c r="J71" s="9" t="n">
        <f aca="false">IF(Responses!J71=Responses!J$2,1,0)</f>
        <v>1</v>
      </c>
      <c r="K71" s="9" t="n">
        <f aca="false">IF(Responses!K71=Responses!K$2,1,0)</f>
        <v>0</v>
      </c>
      <c r="L71" s="9" t="n">
        <f aca="false">IF(Responses!L71=Responses!L$2,1,0)</f>
        <v>0</v>
      </c>
      <c r="M71" s="9" t="n">
        <f aca="false">IF(Responses!M71=Responses!M$2,1,0)</f>
        <v>1</v>
      </c>
      <c r="N71" s="9" t="n">
        <f aca="false">IF(Responses!N71=Responses!N$2,1,0)</f>
        <v>0</v>
      </c>
      <c r="O71" s="9" t="n">
        <f aca="false">IF(Responses!O71=Responses!O$2,1,0)</f>
        <v>0</v>
      </c>
      <c r="P71" s="9" t="n">
        <f aca="false">IF(Responses!P71=Responses!P$2,1,0)</f>
        <v>0</v>
      </c>
      <c r="Q71" s="9" t="n">
        <f aca="false">IF(Responses!Q71=Responses!Q$2,1,0)</f>
        <v>1</v>
      </c>
      <c r="R71" s="9" t="n">
        <f aca="false">IF(Responses!R71=Responses!R$2,1,0)</f>
        <v>1</v>
      </c>
      <c r="S71" s="9" t="n">
        <f aca="false">IF(Responses!S71=Responses!S$2,1,0)</f>
        <v>0</v>
      </c>
      <c r="T71" s="9" t="n">
        <f aca="false">IF(Responses!T71=Responses!T$2,1,0)</f>
        <v>0</v>
      </c>
      <c r="U71" s="9" t="n">
        <f aca="false">IF(Responses!U71=Responses!U$2,1,0)</f>
        <v>0</v>
      </c>
      <c r="V71" s="9" t="n">
        <f aca="false">IF(Responses!V71=Responses!V$2,1,0)</f>
        <v>1</v>
      </c>
      <c r="W71" s="9" t="n">
        <f aca="false">IF(Responses!W71=Responses!W$2,1,0)</f>
        <v>0</v>
      </c>
      <c r="X71" s="9" t="n">
        <f aca="false">IF(Responses!X71=Responses!X$2,1,0)</f>
        <v>0</v>
      </c>
      <c r="Y71" s="9" t="n">
        <f aca="false">IF(Responses!Y71=Responses!Y$2,1,0)</f>
        <v>0</v>
      </c>
      <c r="Z71" s="9" t="n">
        <f aca="false">IF(Responses!Z71=Responses!Z$2,1,0)</f>
        <v>0</v>
      </c>
      <c r="AA71" s="9" t="n">
        <f aca="false">IF(Responses!AA71=Responses!AA$2,1,0)</f>
        <v>0</v>
      </c>
      <c r="AB71" s="9" t="n">
        <f aca="false">IF(Responses!AB71=Responses!AB$2,1,0)</f>
        <v>1</v>
      </c>
      <c r="AC71" s="9" t="n">
        <f aca="false">IF(Responses!AC71=Responses!AC$2,1,0)</f>
        <v>0</v>
      </c>
      <c r="AD71" s="9" t="n">
        <f aca="false">IF(Responses!AD71=Responses!AD$2,1,0)</f>
        <v>0</v>
      </c>
      <c r="AE71" s="9" t="n">
        <f aca="false">IF(Responses!AE71=Responses!AE$2,1,0)</f>
        <v>0</v>
      </c>
      <c r="AF71" s="9" t="n">
        <f aca="false">SUM(B71:AE71)</f>
        <v>10</v>
      </c>
    </row>
    <row r="72" customFormat="false" ht="15" hidden="false" customHeight="false" outlineLevel="0" collapsed="false">
      <c r="A72" s="0" t="str">
        <f aca="false">Responses!A72</f>
        <v>S070</v>
      </c>
      <c r="B72" s="9" t="n">
        <f aca="false">IF(Responses!B72=Responses!B$2,1,0)</f>
        <v>1</v>
      </c>
      <c r="C72" s="9" t="n">
        <f aca="false">IF(Responses!C72=Responses!C$2,1,0)</f>
        <v>1</v>
      </c>
      <c r="D72" s="9" t="n">
        <f aca="false">IF(Responses!D72=Responses!D$2,1,0)</f>
        <v>1</v>
      </c>
      <c r="E72" s="9" t="n">
        <f aca="false">IF(Responses!E72=Responses!E$2,1,0)</f>
        <v>1</v>
      </c>
      <c r="F72" s="9" t="n">
        <f aca="false">IF(Responses!F72=Responses!F$2,1,0)</f>
        <v>1</v>
      </c>
      <c r="G72" s="9" t="n">
        <f aca="false">IF(Responses!G72=Responses!G$2,1,0)</f>
        <v>0</v>
      </c>
      <c r="H72" s="9" t="n">
        <f aca="false">IF(Responses!H72=Responses!H$2,1,0)</f>
        <v>0</v>
      </c>
      <c r="I72" s="9" t="n">
        <f aca="false">IF(Responses!I72=Responses!I$2,1,0)</f>
        <v>1</v>
      </c>
      <c r="J72" s="9" t="n">
        <f aca="false">IF(Responses!J72=Responses!J$2,1,0)</f>
        <v>1</v>
      </c>
      <c r="K72" s="9" t="n">
        <f aca="false">IF(Responses!K72=Responses!K$2,1,0)</f>
        <v>0</v>
      </c>
      <c r="L72" s="9" t="n">
        <f aca="false">IF(Responses!L72=Responses!L$2,1,0)</f>
        <v>1</v>
      </c>
      <c r="M72" s="9" t="n">
        <f aca="false">IF(Responses!M72=Responses!M$2,1,0)</f>
        <v>1</v>
      </c>
      <c r="N72" s="9" t="n">
        <f aca="false">IF(Responses!N72=Responses!N$2,1,0)</f>
        <v>0</v>
      </c>
      <c r="O72" s="9" t="n">
        <f aca="false">IF(Responses!O72=Responses!O$2,1,0)</f>
        <v>1</v>
      </c>
      <c r="P72" s="9" t="n">
        <f aca="false">IF(Responses!P72=Responses!P$2,1,0)</f>
        <v>1</v>
      </c>
      <c r="Q72" s="9" t="n">
        <f aca="false">IF(Responses!Q72=Responses!Q$2,1,0)</f>
        <v>1</v>
      </c>
      <c r="R72" s="9" t="n">
        <f aca="false">IF(Responses!R72=Responses!R$2,1,0)</f>
        <v>1</v>
      </c>
      <c r="S72" s="9" t="n">
        <f aca="false">IF(Responses!S72=Responses!S$2,1,0)</f>
        <v>0</v>
      </c>
      <c r="T72" s="9" t="n">
        <f aca="false">IF(Responses!T72=Responses!T$2,1,0)</f>
        <v>0</v>
      </c>
      <c r="U72" s="9" t="n">
        <f aca="false">IF(Responses!U72=Responses!U$2,1,0)</f>
        <v>0</v>
      </c>
      <c r="V72" s="9" t="n">
        <f aca="false">IF(Responses!V72=Responses!V$2,1,0)</f>
        <v>1</v>
      </c>
      <c r="W72" s="9" t="n">
        <f aca="false">IF(Responses!W72=Responses!W$2,1,0)</f>
        <v>0</v>
      </c>
      <c r="X72" s="9" t="n">
        <f aca="false">IF(Responses!X72=Responses!X$2,1,0)</f>
        <v>1</v>
      </c>
      <c r="Y72" s="9" t="n">
        <f aca="false">IF(Responses!Y72=Responses!Y$2,1,0)</f>
        <v>0</v>
      </c>
      <c r="Z72" s="9" t="n">
        <f aca="false">IF(Responses!Z72=Responses!Z$2,1,0)</f>
        <v>0</v>
      </c>
      <c r="AA72" s="9" t="n">
        <f aca="false">IF(Responses!AA72=Responses!AA$2,1,0)</f>
        <v>0</v>
      </c>
      <c r="AB72" s="9" t="n">
        <f aca="false">IF(Responses!AB72=Responses!AB$2,1,0)</f>
        <v>1</v>
      </c>
      <c r="AC72" s="9" t="n">
        <f aca="false">IF(Responses!AC72=Responses!AC$2,1,0)</f>
        <v>0</v>
      </c>
      <c r="AD72" s="9" t="n">
        <f aca="false">IF(Responses!AD72=Responses!AD$2,1,0)</f>
        <v>1</v>
      </c>
      <c r="AE72" s="9" t="n">
        <f aca="false">IF(Responses!AE72=Responses!AE$2,1,0)</f>
        <v>1</v>
      </c>
      <c r="AF72" s="9" t="n">
        <f aca="false">SUM(B72:AE72)</f>
        <v>18</v>
      </c>
    </row>
    <row r="73" customFormat="false" ht="15" hidden="false" customHeight="false" outlineLevel="0" collapsed="false">
      <c r="A73" s="0" t="str">
        <f aca="false">Responses!A73</f>
        <v>S071</v>
      </c>
      <c r="B73" s="9" t="n">
        <f aca="false">IF(Responses!B73=Responses!B$2,1,0)</f>
        <v>0</v>
      </c>
      <c r="C73" s="9" t="n">
        <f aca="false">IF(Responses!C73=Responses!C$2,1,0)</f>
        <v>0</v>
      </c>
      <c r="D73" s="9" t="n">
        <f aca="false">IF(Responses!D73=Responses!D$2,1,0)</f>
        <v>0</v>
      </c>
      <c r="E73" s="9" t="n">
        <f aca="false">IF(Responses!E73=Responses!E$2,1,0)</f>
        <v>0</v>
      </c>
      <c r="F73" s="9" t="n">
        <f aca="false">IF(Responses!F73=Responses!F$2,1,0)</f>
        <v>0</v>
      </c>
      <c r="G73" s="9" t="n">
        <f aca="false">IF(Responses!G73=Responses!G$2,1,0)</f>
        <v>0</v>
      </c>
      <c r="H73" s="9" t="n">
        <f aca="false">IF(Responses!H73=Responses!H$2,1,0)</f>
        <v>1</v>
      </c>
      <c r="I73" s="9" t="n">
        <f aca="false">IF(Responses!I73=Responses!I$2,1,0)</f>
        <v>1</v>
      </c>
      <c r="J73" s="9" t="n">
        <f aca="false">IF(Responses!J73=Responses!J$2,1,0)</f>
        <v>1</v>
      </c>
      <c r="K73" s="9" t="n">
        <f aca="false">IF(Responses!K73=Responses!K$2,1,0)</f>
        <v>1</v>
      </c>
      <c r="L73" s="9" t="n">
        <f aca="false">IF(Responses!L73=Responses!L$2,1,0)</f>
        <v>0</v>
      </c>
      <c r="M73" s="9" t="n">
        <f aca="false">IF(Responses!M73=Responses!M$2,1,0)</f>
        <v>1</v>
      </c>
      <c r="N73" s="9" t="n">
        <f aca="false">IF(Responses!N73=Responses!N$2,1,0)</f>
        <v>0</v>
      </c>
      <c r="O73" s="9" t="n">
        <f aca="false">IF(Responses!O73=Responses!O$2,1,0)</f>
        <v>1</v>
      </c>
      <c r="P73" s="9" t="n">
        <f aca="false">IF(Responses!P73=Responses!P$2,1,0)</f>
        <v>1</v>
      </c>
      <c r="Q73" s="9" t="n">
        <f aca="false">IF(Responses!Q73=Responses!Q$2,1,0)</f>
        <v>1</v>
      </c>
      <c r="R73" s="9" t="n">
        <f aca="false">IF(Responses!R73=Responses!R$2,1,0)</f>
        <v>0</v>
      </c>
      <c r="S73" s="9" t="n">
        <f aca="false">IF(Responses!S73=Responses!S$2,1,0)</f>
        <v>0</v>
      </c>
      <c r="T73" s="9" t="n">
        <f aca="false">IF(Responses!T73=Responses!T$2,1,0)</f>
        <v>0</v>
      </c>
      <c r="U73" s="9" t="n">
        <f aca="false">IF(Responses!U73=Responses!U$2,1,0)</f>
        <v>0</v>
      </c>
      <c r="V73" s="9" t="n">
        <f aca="false">IF(Responses!V73=Responses!V$2,1,0)</f>
        <v>0</v>
      </c>
      <c r="W73" s="9" t="n">
        <f aca="false">IF(Responses!W73=Responses!W$2,1,0)</f>
        <v>0</v>
      </c>
      <c r="X73" s="9" t="n">
        <f aca="false">IF(Responses!X73=Responses!X$2,1,0)</f>
        <v>0</v>
      </c>
      <c r="Y73" s="9" t="n">
        <f aca="false">IF(Responses!Y73=Responses!Y$2,1,0)</f>
        <v>0</v>
      </c>
      <c r="Z73" s="9" t="n">
        <f aca="false">IF(Responses!Z73=Responses!Z$2,1,0)</f>
        <v>0</v>
      </c>
      <c r="AA73" s="9" t="n">
        <f aca="false">IF(Responses!AA73=Responses!AA$2,1,0)</f>
        <v>0</v>
      </c>
      <c r="AB73" s="9" t="n">
        <f aca="false">IF(Responses!AB73=Responses!AB$2,1,0)</f>
        <v>1</v>
      </c>
      <c r="AC73" s="9" t="n">
        <f aca="false">IF(Responses!AC73=Responses!AC$2,1,0)</f>
        <v>1</v>
      </c>
      <c r="AD73" s="9" t="n">
        <f aca="false">IF(Responses!AD73=Responses!AD$2,1,0)</f>
        <v>0</v>
      </c>
      <c r="AE73" s="9" t="n">
        <f aca="false">IF(Responses!AE73=Responses!AE$2,1,0)</f>
        <v>0</v>
      </c>
      <c r="AF73" s="9" t="n">
        <f aca="false">SUM(B73:AE73)</f>
        <v>10</v>
      </c>
    </row>
    <row r="74" customFormat="false" ht="15" hidden="false" customHeight="false" outlineLevel="0" collapsed="false">
      <c r="A74" s="0" t="str">
        <f aca="false">Responses!A74</f>
        <v>S072</v>
      </c>
      <c r="B74" s="9" t="n">
        <f aca="false">IF(Responses!B74=Responses!B$2,1,0)</f>
        <v>0</v>
      </c>
      <c r="C74" s="9" t="n">
        <f aca="false">IF(Responses!C74=Responses!C$2,1,0)</f>
        <v>1</v>
      </c>
      <c r="D74" s="9" t="n">
        <f aca="false">IF(Responses!D74=Responses!D$2,1,0)</f>
        <v>0</v>
      </c>
      <c r="E74" s="9" t="n">
        <f aca="false">IF(Responses!E74=Responses!E$2,1,0)</f>
        <v>0</v>
      </c>
      <c r="F74" s="9" t="n">
        <f aca="false">IF(Responses!F74=Responses!F$2,1,0)</f>
        <v>0</v>
      </c>
      <c r="G74" s="9" t="n">
        <f aca="false">IF(Responses!G74=Responses!G$2,1,0)</f>
        <v>1</v>
      </c>
      <c r="H74" s="9" t="n">
        <f aca="false">IF(Responses!H74=Responses!H$2,1,0)</f>
        <v>1</v>
      </c>
      <c r="I74" s="9" t="n">
        <f aca="false">IF(Responses!I74=Responses!I$2,1,0)</f>
        <v>0</v>
      </c>
      <c r="J74" s="9" t="n">
        <f aca="false">IF(Responses!J74=Responses!J$2,1,0)</f>
        <v>1</v>
      </c>
      <c r="K74" s="9" t="n">
        <f aca="false">IF(Responses!K74=Responses!K$2,1,0)</f>
        <v>0</v>
      </c>
      <c r="L74" s="9" t="n">
        <f aca="false">IF(Responses!L74=Responses!L$2,1,0)</f>
        <v>1</v>
      </c>
      <c r="M74" s="9" t="n">
        <f aca="false">IF(Responses!M74=Responses!M$2,1,0)</f>
        <v>1</v>
      </c>
      <c r="N74" s="9" t="n">
        <f aca="false">IF(Responses!N74=Responses!N$2,1,0)</f>
        <v>0</v>
      </c>
      <c r="O74" s="9" t="n">
        <f aca="false">IF(Responses!O74=Responses!O$2,1,0)</f>
        <v>1</v>
      </c>
      <c r="P74" s="9" t="n">
        <f aca="false">IF(Responses!P74=Responses!P$2,1,0)</f>
        <v>1</v>
      </c>
      <c r="Q74" s="9" t="n">
        <f aca="false">IF(Responses!Q74=Responses!Q$2,1,0)</f>
        <v>1</v>
      </c>
      <c r="R74" s="9" t="n">
        <f aca="false">IF(Responses!R74=Responses!R$2,1,0)</f>
        <v>1</v>
      </c>
      <c r="S74" s="9" t="n">
        <f aca="false">IF(Responses!S74=Responses!S$2,1,0)</f>
        <v>0</v>
      </c>
      <c r="T74" s="9" t="n">
        <f aca="false">IF(Responses!T74=Responses!T$2,1,0)</f>
        <v>0</v>
      </c>
      <c r="U74" s="9" t="n">
        <f aca="false">IF(Responses!U74=Responses!U$2,1,0)</f>
        <v>1</v>
      </c>
      <c r="V74" s="9" t="n">
        <f aca="false">IF(Responses!V74=Responses!V$2,1,0)</f>
        <v>1</v>
      </c>
      <c r="W74" s="9" t="n">
        <f aca="false">IF(Responses!W74=Responses!W$2,1,0)</f>
        <v>0</v>
      </c>
      <c r="X74" s="9" t="n">
        <f aca="false">IF(Responses!X74=Responses!X$2,1,0)</f>
        <v>0</v>
      </c>
      <c r="Y74" s="9" t="n">
        <f aca="false">IF(Responses!Y74=Responses!Y$2,1,0)</f>
        <v>0</v>
      </c>
      <c r="Z74" s="9" t="n">
        <f aca="false">IF(Responses!Z74=Responses!Z$2,1,0)</f>
        <v>0</v>
      </c>
      <c r="AA74" s="9" t="n">
        <f aca="false">IF(Responses!AA74=Responses!AA$2,1,0)</f>
        <v>1</v>
      </c>
      <c r="AB74" s="9" t="n">
        <f aca="false">IF(Responses!AB74=Responses!AB$2,1,0)</f>
        <v>1</v>
      </c>
      <c r="AC74" s="9" t="n">
        <f aca="false">IF(Responses!AC74=Responses!AC$2,1,0)</f>
        <v>1</v>
      </c>
      <c r="AD74" s="9" t="n">
        <f aca="false">IF(Responses!AD74=Responses!AD$2,1,0)</f>
        <v>0</v>
      </c>
      <c r="AE74" s="9" t="n">
        <f aca="false">IF(Responses!AE74=Responses!AE$2,1,0)</f>
        <v>0</v>
      </c>
      <c r="AF74" s="9" t="n">
        <f aca="false">SUM(B74:AE74)</f>
        <v>15</v>
      </c>
    </row>
    <row r="75" customFormat="false" ht="15" hidden="false" customHeight="false" outlineLevel="0" collapsed="false">
      <c r="A75" s="0" t="str">
        <f aca="false">Responses!A75</f>
        <v>S073</v>
      </c>
      <c r="B75" s="9" t="n">
        <f aca="false">IF(Responses!B75=Responses!B$2,1,0)</f>
        <v>1</v>
      </c>
      <c r="C75" s="9" t="n">
        <f aca="false">IF(Responses!C75=Responses!C$2,1,0)</f>
        <v>1</v>
      </c>
      <c r="D75" s="9" t="n">
        <f aca="false">IF(Responses!D75=Responses!D$2,1,0)</f>
        <v>1</v>
      </c>
      <c r="E75" s="9" t="n">
        <f aca="false">IF(Responses!E75=Responses!E$2,1,0)</f>
        <v>1</v>
      </c>
      <c r="F75" s="9" t="n">
        <f aca="false">IF(Responses!F75=Responses!F$2,1,0)</f>
        <v>1</v>
      </c>
      <c r="G75" s="9" t="n">
        <f aca="false">IF(Responses!G75=Responses!G$2,1,0)</f>
        <v>1</v>
      </c>
      <c r="H75" s="9" t="n">
        <f aca="false">IF(Responses!H75=Responses!H$2,1,0)</f>
        <v>0</v>
      </c>
      <c r="I75" s="9" t="n">
        <f aca="false">IF(Responses!I75=Responses!I$2,1,0)</f>
        <v>1</v>
      </c>
      <c r="J75" s="9" t="n">
        <f aca="false">IF(Responses!J75=Responses!J$2,1,0)</f>
        <v>1</v>
      </c>
      <c r="K75" s="9" t="n">
        <f aca="false">IF(Responses!K75=Responses!K$2,1,0)</f>
        <v>1</v>
      </c>
      <c r="L75" s="9" t="n">
        <f aca="false">IF(Responses!L75=Responses!L$2,1,0)</f>
        <v>1</v>
      </c>
      <c r="M75" s="9" t="n">
        <f aca="false">IF(Responses!M75=Responses!M$2,1,0)</f>
        <v>1</v>
      </c>
      <c r="N75" s="9" t="n">
        <f aca="false">IF(Responses!N75=Responses!N$2,1,0)</f>
        <v>1</v>
      </c>
      <c r="O75" s="9" t="n">
        <f aca="false">IF(Responses!O75=Responses!O$2,1,0)</f>
        <v>1</v>
      </c>
      <c r="P75" s="9" t="n">
        <f aca="false">IF(Responses!P75=Responses!P$2,1,0)</f>
        <v>0</v>
      </c>
      <c r="Q75" s="9" t="n">
        <f aca="false">IF(Responses!Q75=Responses!Q$2,1,0)</f>
        <v>1</v>
      </c>
      <c r="R75" s="9" t="n">
        <f aca="false">IF(Responses!R75=Responses!R$2,1,0)</f>
        <v>1</v>
      </c>
      <c r="S75" s="9" t="n">
        <f aca="false">IF(Responses!S75=Responses!S$2,1,0)</f>
        <v>0</v>
      </c>
      <c r="T75" s="9" t="n">
        <f aca="false">IF(Responses!T75=Responses!T$2,1,0)</f>
        <v>1</v>
      </c>
      <c r="U75" s="9" t="n">
        <f aca="false">IF(Responses!U75=Responses!U$2,1,0)</f>
        <v>1</v>
      </c>
      <c r="V75" s="9" t="n">
        <f aca="false">IF(Responses!V75=Responses!V$2,1,0)</f>
        <v>1</v>
      </c>
      <c r="W75" s="9" t="n">
        <f aca="false">IF(Responses!W75=Responses!W$2,1,0)</f>
        <v>1</v>
      </c>
      <c r="X75" s="9" t="n">
        <f aca="false">IF(Responses!X75=Responses!X$2,1,0)</f>
        <v>1</v>
      </c>
      <c r="Y75" s="9" t="n">
        <f aca="false">IF(Responses!Y75=Responses!Y$2,1,0)</f>
        <v>1</v>
      </c>
      <c r="Z75" s="9" t="n">
        <f aca="false">IF(Responses!Z75=Responses!Z$2,1,0)</f>
        <v>1</v>
      </c>
      <c r="AA75" s="9" t="n">
        <f aca="false">IF(Responses!AA75=Responses!AA$2,1,0)</f>
        <v>1</v>
      </c>
      <c r="AB75" s="9" t="n">
        <f aca="false">IF(Responses!AB75=Responses!AB$2,1,0)</f>
        <v>1</v>
      </c>
      <c r="AC75" s="9" t="n">
        <f aca="false">IF(Responses!AC75=Responses!AC$2,1,0)</f>
        <v>1</v>
      </c>
      <c r="AD75" s="9" t="n">
        <f aca="false">IF(Responses!AD75=Responses!AD$2,1,0)</f>
        <v>1</v>
      </c>
      <c r="AE75" s="9" t="n">
        <f aca="false">IF(Responses!AE75=Responses!AE$2,1,0)</f>
        <v>1</v>
      </c>
      <c r="AF75" s="9" t="n">
        <f aca="false">SUM(B75:AE75)</f>
        <v>27</v>
      </c>
    </row>
    <row r="76" customFormat="false" ht="15" hidden="false" customHeight="false" outlineLevel="0" collapsed="false">
      <c r="A76" s="0" t="str">
        <f aca="false">Responses!A76</f>
        <v>S074</v>
      </c>
      <c r="B76" s="9" t="n">
        <f aca="false">IF(Responses!B76=Responses!B$2,1,0)</f>
        <v>0</v>
      </c>
      <c r="C76" s="9" t="n">
        <f aca="false">IF(Responses!C76=Responses!C$2,1,0)</f>
        <v>0</v>
      </c>
      <c r="D76" s="9" t="n">
        <f aca="false">IF(Responses!D76=Responses!D$2,1,0)</f>
        <v>0</v>
      </c>
      <c r="E76" s="9" t="n">
        <f aca="false">IF(Responses!E76=Responses!E$2,1,0)</f>
        <v>1</v>
      </c>
      <c r="F76" s="9" t="n">
        <f aca="false">IF(Responses!F76=Responses!F$2,1,0)</f>
        <v>1</v>
      </c>
      <c r="G76" s="9" t="n">
        <f aca="false">IF(Responses!G76=Responses!G$2,1,0)</f>
        <v>0</v>
      </c>
      <c r="H76" s="9" t="n">
        <f aca="false">IF(Responses!H76=Responses!H$2,1,0)</f>
        <v>0</v>
      </c>
      <c r="I76" s="9" t="n">
        <f aca="false">IF(Responses!I76=Responses!I$2,1,0)</f>
        <v>1</v>
      </c>
      <c r="J76" s="9" t="n">
        <f aca="false">IF(Responses!J76=Responses!J$2,1,0)</f>
        <v>1</v>
      </c>
      <c r="K76" s="9" t="n">
        <f aca="false">IF(Responses!K76=Responses!K$2,1,0)</f>
        <v>0</v>
      </c>
      <c r="L76" s="9" t="n">
        <f aca="false">IF(Responses!L76=Responses!L$2,1,0)</f>
        <v>0</v>
      </c>
      <c r="M76" s="9" t="n">
        <f aca="false">IF(Responses!M76=Responses!M$2,1,0)</f>
        <v>1</v>
      </c>
      <c r="N76" s="9" t="n">
        <f aca="false">IF(Responses!N76=Responses!N$2,1,0)</f>
        <v>0</v>
      </c>
      <c r="O76" s="9" t="n">
        <f aca="false">IF(Responses!O76=Responses!O$2,1,0)</f>
        <v>0</v>
      </c>
      <c r="P76" s="9" t="n">
        <f aca="false">IF(Responses!P76=Responses!P$2,1,0)</f>
        <v>0</v>
      </c>
      <c r="Q76" s="9" t="n">
        <f aca="false">IF(Responses!Q76=Responses!Q$2,1,0)</f>
        <v>0</v>
      </c>
      <c r="R76" s="9" t="n">
        <f aca="false">IF(Responses!R76=Responses!R$2,1,0)</f>
        <v>1</v>
      </c>
      <c r="S76" s="9" t="n">
        <f aca="false">IF(Responses!S76=Responses!S$2,1,0)</f>
        <v>0</v>
      </c>
      <c r="T76" s="9" t="n">
        <f aca="false">IF(Responses!T76=Responses!T$2,1,0)</f>
        <v>1</v>
      </c>
      <c r="U76" s="9" t="n">
        <f aca="false">IF(Responses!U76=Responses!U$2,1,0)</f>
        <v>0</v>
      </c>
      <c r="V76" s="9" t="n">
        <f aca="false">IF(Responses!V76=Responses!V$2,1,0)</f>
        <v>0</v>
      </c>
      <c r="W76" s="9" t="n">
        <f aca="false">IF(Responses!W76=Responses!W$2,1,0)</f>
        <v>0</v>
      </c>
      <c r="X76" s="9" t="n">
        <f aca="false">IF(Responses!X76=Responses!X$2,1,0)</f>
        <v>1</v>
      </c>
      <c r="Y76" s="9" t="n">
        <f aca="false">IF(Responses!Y76=Responses!Y$2,1,0)</f>
        <v>0</v>
      </c>
      <c r="Z76" s="9" t="n">
        <f aca="false">IF(Responses!Z76=Responses!Z$2,1,0)</f>
        <v>1</v>
      </c>
      <c r="AA76" s="9" t="n">
        <f aca="false">IF(Responses!AA76=Responses!AA$2,1,0)</f>
        <v>0</v>
      </c>
      <c r="AB76" s="9" t="n">
        <f aca="false">IF(Responses!AB76=Responses!AB$2,1,0)</f>
        <v>1</v>
      </c>
      <c r="AC76" s="9" t="n">
        <f aca="false">IF(Responses!AC76=Responses!AC$2,1,0)</f>
        <v>0</v>
      </c>
      <c r="AD76" s="9" t="n">
        <f aca="false">IF(Responses!AD76=Responses!AD$2,1,0)</f>
        <v>0</v>
      </c>
      <c r="AE76" s="9" t="n">
        <f aca="false">IF(Responses!AE76=Responses!AE$2,1,0)</f>
        <v>0</v>
      </c>
      <c r="AF76" s="9" t="n">
        <f aca="false">SUM(B76:AE76)</f>
        <v>10</v>
      </c>
    </row>
    <row r="77" customFormat="false" ht="15" hidden="false" customHeight="false" outlineLevel="0" collapsed="false">
      <c r="A77" s="0" t="str">
        <f aca="false">Responses!A77</f>
        <v>S075</v>
      </c>
      <c r="B77" s="9" t="n">
        <f aca="false">IF(Responses!B77=Responses!B$2,1,0)</f>
        <v>1</v>
      </c>
      <c r="C77" s="9" t="n">
        <f aca="false">IF(Responses!C77=Responses!C$2,1,0)</f>
        <v>1</v>
      </c>
      <c r="D77" s="9" t="n">
        <f aca="false">IF(Responses!D77=Responses!D$2,1,0)</f>
        <v>1</v>
      </c>
      <c r="E77" s="9" t="n">
        <f aca="false">IF(Responses!E77=Responses!E$2,1,0)</f>
        <v>1</v>
      </c>
      <c r="F77" s="9" t="n">
        <f aca="false">IF(Responses!F77=Responses!F$2,1,0)</f>
        <v>1</v>
      </c>
      <c r="G77" s="9" t="n">
        <f aca="false">IF(Responses!G77=Responses!G$2,1,0)</f>
        <v>1</v>
      </c>
      <c r="H77" s="9" t="n">
        <f aca="false">IF(Responses!H77=Responses!H$2,1,0)</f>
        <v>0</v>
      </c>
      <c r="I77" s="9" t="n">
        <f aca="false">IF(Responses!I77=Responses!I$2,1,0)</f>
        <v>1</v>
      </c>
      <c r="J77" s="9" t="n">
        <f aca="false">IF(Responses!J77=Responses!J$2,1,0)</f>
        <v>1</v>
      </c>
      <c r="K77" s="9" t="n">
        <f aca="false">IF(Responses!K77=Responses!K$2,1,0)</f>
        <v>1</v>
      </c>
      <c r="L77" s="9" t="n">
        <f aca="false">IF(Responses!L77=Responses!L$2,1,0)</f>
        <v>1</v>
      </c>
      <c r="M77" s="9" t="n">
        <f aca="false">IF(Responses!M77=Responses!M$2,1,0)</f>
        <v>1</v>
      </c>
      <c r="N77" s="9" t="n">
        <f aca="false">IF(Responses!N77=Responses!N$2,1,0)</f>
        <v>1</v>
      </c>
      <c r="O77" s="9" t="n">
        <f aca="false">IF(Responses!O77=Responses!O$2,1,0)</f>
        <v>1</v>
      </c>
      <c r="P77" s="9" t="n">
        <f aca="false">IF(Responses!P77=Responses!P$2,1,0)</f>
        <v>0</v>
      </c>
      <c r="Q77" s="9" t="n">
        <f aca="false">IF(Responses!Q77=Responses!Q$2,1,0)</f>
        <v>1</v>
      </c>
      <c r="R77" s="9" t="n">
        <f aca="false">IF(Responses!R77=Responses!R$2,1,0)</f>
        <v>1</v>
      </c>
      <c r="S77" s="9" t="n">
        <f aca="false">IF(Responses!S77=Responses!S$2,1,0)</f>
        <v>0</v>
      </c>
      <c r="T77" s="9" t="n">
        <f aca="false">IF(Responses!T77=Responses!T$2,1,0)</f>
        <v>1</v>
      </c>
      <c r="U77" s="9" t="n">
        <f aca="false">IF(Responses!U77=Responses!U$2,1,0)</f>
        <v>1</v>
      </c>
      <c r="V77" s="9" t="n">
        <f aca="false">IF(Responses!V77=Responses!V$2,1,0)</f>
        <v>1</v>
      </c>
      <c r="W77" s="9" t="n">
        <f aca="false">IF(Responses!W77=Responses!W$2,1,0)</f>
        <v>1</v>
      </c>
      <c r="X77" s="9" t="n">
        <f aca="false">IF(Responses!X77=Responses!X$2,1,0)</f>
        <v>1</v>
      </c>
      <c r="Y77" s="9" t="n">
        <f aca="false">IF(Responses!Y77=Responses!Y$2,1,0)</f>
        <v>1</v>
      </c>
      <c r="Z77" s="9" t="n">
        <f aca="false">IF(Responses!Z77=Responses!Z$2,1,0)</f>
        <v>1</v>
      </c>
      <c r="AA77" s="9" t="n">
        <f aca="false">IF(Responses!AA77=Responses!AA$2,1,0)</f>
        <v>1</v>
      </c>
      <c r="AB77" s="9" t="n">
        <f aca="false">IF(Responses!AB77=Responses!AB$2,1,0)</f>
        <v>1</v>
      </c>
      <c r="AC77" s="9" t="n">
        <f aca="false">IF(Responses!AC77=Responses!AC$2,1,0)</f>
        <v>1</v>
      </c>
      <c r="AD77" s="9" t="n">
        <f aca="false">IF(Responses!AD77=Responses!AD$2,1,0)</f>
        <v>1</v>
      </c>
      <c r="AE77" s="9" t="n">
        <f aca="false">IF(Responses!AE77=Responses!AE$2,1,0)</f>
        <v>1</v>
      </c>
      <c r="AF77" s="9" t="n">
        <f aca="false">SUM(B77:AE77)</f>
        <v>27</v>
      </c>
    </row>
    <row r="78" customFormat="false" ht="15" hidden="false" customHeight="false" outlineLevel="0" collapsed="false">
      <c r="A78" s="0" t="str">
        <f aca="false">Responses!A78</f>
        <v>S076</v>
      </c>
      <c r="B78" s="9" t="n">
        <f aca="false">IF(Responses!B78=Responses!B$2,1,0)</f>
        <v>1</v>
      </c>
      <c r="C78" s="9" t="n">
        <f aca="false">IF(Responses!C78=Responses!C$2,1,0)</f>
        <v>1</v>
      </c>
      <c r="D78" s="9" t="n">
        <f aca="false">IF(Responses!D78=Responses!D$2,1,0)</f>
        <v>0</v>
      </c>
      <c r="E78" s="9" t="n">
        <f aca="false">IF(Responses!E78=Responses!E$2,1,0)</f>
        <v>1</v>
      </c>
      <c r="F78" s="9" t="n">
        <f aca="false">IF(Responses!F78=Responses!F$2,1,0)</f>
        <v>1</v>
      </c>
      <c r="G78" s="9" t="n">
        <f aca="false">IF(Responses!G78=Responses!G$2,1,0)</f>
        <v>0</v>
      </c>
      <c r="H78" s="9" t="n">
        <f aca="false">IF(Responses!H78=Responses!H$2,1,0)</f>
        <v>1</v>
      </c>
      <c r="I78" s="9" t="n">
        <f aca="false">IF(Responses!I78=Responses!I$2,1,0)</f>
        <v>1</v>
      </c>
      <c r="J78" s="9" t="n">
        <f aca="false">IF(Responses!J78=Responses!J$2,1,0)</f>
        <v>1</v>
      </c>
      <c r="K78" s="9" t="n">
        <f aca="false">IF(Responses!K78=Responses!K$2,1,0)</f>
        <v>0</v>
      </c>
      <c r="L78" s="9" t="n">
        <f aca="false">IF(Responses!L78=Responses!L$2,1,0)</f>
        <v>1</v>
      </c>
      <c r="M78" s="9" t="n">
        <f aca="false">IF(Responses!M78=Responses!M$2,1,0)</f>
        <v>1</v>
      </c>
      <c r="N78" s="9" t="n">
        <f aca="false">IF(Responses!N78=Responses!N$2,1,0)</f>
        <v>0</v>
      </c>
      <c r="O78" s="9" t="n">
        <f aca="false">IF(Responses!O78=Responses!O$2,1,0)</f>
        <v>0</v>
      </c>
      <c r="P78" s="9" t="n">
        <f aca="false">IF(Responses!P78=Responses!P$2,1,0)</f>
        <v>0</v>
      </c>
      <c r="Q78" s="9" t="n">
        <f aca="false">IF(Responses!Q78=Responses!Q$2,1,0)</f>
        <v>1</v>
      </c>
      <c r="R78" s="9" t="n">
        <f aca="false">IF(Responses!R78=Responses!R$2,1,0)</f>
        <v>1</v>
      </c>
      <c r="S78" s="9" t="n">
        <f aca="false">IF(Responses!S78=Responses!S$2,1,0)</f>
        <v>0</v>
      </c>
      <c r="T78" s="9" t="n">
        <f aca="false">IF(Responses!T78=Responses!T$2,1,0)</f>
        <v>1</v>
      </c>
      <c r="U78" s="9" t="n">
        <f aca="false">IF(Responses!U78=Responses!U$2,1,0)</f>
        <v>1</v>
      </c>
      <c r="V78" s="9" t="n">
        <f aca="false">IF(Responses!V78=Responses!V$2,1,0)</f>
        <v>1</v>
      </c>
      <c r="W78" s="9" t="n">
        <f aca="false">IF(Responses!W78=Responses!W$2,1,0)</f>
        <v>1</v>
      </c>
      <c r="X78" s="9" t="n">
        <f aca="false">IF(Responses!X78=Responses!X$2,1,0)</f>
        <v>0</v>
      </c>
      <c r="Y78" s="9" t="n">
        <f aca="false">IF(Responses!Y78=Responses!Y$2,1,0)</f>
        <v>1</v>
      </c>
      <c r="Z78" s="9" t="n">
        <f aca="false">IF(Responses!Z78=Responses!Z$2,1,0)</f>
        <v>1</v>
      </c>
      <c r="AA78" s="9" t="n">
        <f aca="false">IF(Responses!AA78=Responses!AA$2,1,0)</f>
        <v>0</v>
      </c>
      <c r="AB78" s="9" t="n">
        <f aca="false">IF(Responses!AB78=Responses!AB$2,1,0)</f>
        <v>1</v>
      </c>
      <c r="AC78" s="9" t="n">
        <f aca="false">IF(Responses!AC78=Responses!AC$2,1,0)</f>
        <v>0</v>
      </c>
      <c r="AD78" s="9" t="n">
        <f aca="false">IF(Responses!AD78=Responses!AD$2,1,0)</f>
        <v>1</v>
      </c>
      <c r="AE78" s="9" t="n">
        <f aca="false">IF(Responses!AE78=Responses!AE$2,1,0)</f>
        <v>0</v>
      </c>
      <c r="AF78" s="9" t="n">
        <f aca="false">SUM(B78:AE78)</f>
        <v>19</v>
      </c>
    </row>
    <row r="79" customFormat="false" ht="15" hidden="false" customHeight="false" outlineLevel="0" collapsed="false">
      <c r="A79" s="0" t="str">
        <f aca="false">Responses!A79</f>
        <v>S077</v>
      </c>
      <c r="B79" s="9" t="n">
        <f aca="false">IF(Responses!B79=Responses!B$2,1,0)</f>
        <v>1</v>
      </c>
      <c r="C79" s="9" t="n">
        <f aca="false">IF(Responses!C79=Responses!C$2,1,0)</f>
        <v>0</v>
      </c>
      <c r="D79" s="9" t="n">
        <f aca="false">IF(Responses!D79=Responses!D$2,1,0)</f>
        <v>0</v>
      </c>
      <c r="E79" s="9" t="n">
        <f aca="false">IF(Responses!E79=Responses!E$2,1,0)</f>
        <v>1</v>
      </c>
      <c r="F79" s="9" t="n">
        <f aca="false">IF(Responses!F79=Responses!F$2,1,0)</f>
        <v>1</v>
      </c>
      <c r="G79" s="9" t="n">
        <f aca="false">IF(Responses!G79=Responses!G$2,1,0)</f>
        <v>0</v>
      </c>
      <c r="H79" s="9" t="n">
        <f aca="false">IF(Responses!H79=Responses!H$2,1,0)</f>
        <v>0</v>
      </c>
      <c r="I79" s="9" t="n">
        <f aca="false">IF(Responses!I79=Responses!I$2,1,0)</f>
        <v>0</v>
      </c>
      <c r="J79" s="9" t="n">
        <f aca="false">IF(Responses!J79=Responses!J$2,1,0)</f>
        <v>1</v>
      </c>
      <c r="K79" s="9" t="n">
        <f aca="false">IF(Responses!K79=Responses!K$2,1,0)</f>
        <v>0</v>
      </c>
      <c r="L79" s="9" t="n">
        <f aca="false">IF(Responses!L79=Responses!L$2,1,0)</f>
        <v>1</v>
      </c>
      <c r="M79" s="9" t="n">
        <f aca="false">IF(Responses!M79=Responses!M$2,1,0)</f>
        <v>1</v>
      </c>
      <c r="N79" s="9" t="n">
        <f aca="false">IF(Responses!N79=Responses!N$2,1,0)</f>
        <v>0</v>
      </c>
      <c r="O79" s="9" t="n">
        <f aca="false">IF(Responses!O79=Responses!O$2,1,0)</f>
        <v>0</v>
      </c>
      <c r="P79" s="9" t="n">
        <f aca="false">IF(Responses!P79=Responses!P$2,1,0)</f>
        <v>0</v>
      </c>
      <c r="Q79" s="9" t="n">
        <f aca="false">IF(Responses!Q79=Responses!Q$2,1,0)</f>
        <v>1</v>
      </c>
      <c r="R79" s="9" t="n">
        <f aca="false">IF(Responses!R79=Responses!R$2,1,0)</f>
        <v>1</v>
      </c>
      <c r="S79" s="9" t="n">
        <f aca="false">IF(Responses!S79=Responses!S$2,1,0)</f>
        <v>1</v>
      </c>
      <c r="T79" s="9" t="n">
        <f aca="false">IF(Responses!T79=Responses!T$2,1,0)</f>
        <v>1</v>
      </c>
      <c r="U79" s="9" t="n">
        <f aca="false">IF(Responses!U79=Responses!U$2,1,0)</f>
        <v>0</v>
      </c>
      <c r="V79" s="9" t="n">
        <f aca="false">IF(Responses!V79=Responses!V$2,1,0)</f>
        <v>1</v>
      </c>
      <c r="W79" s="9" t="n">
        <f aca="false">IF(Responses!W79=Responses!W$2,1,0)</f>
        <v>1</v>
      </c>
      <c r="X79" s="9" t="n">
        <f aca="false">IF(Responses!X79=Responses!X$2,1,0)</f>
        <v>0</v>
      </c>
      <c r="Y79" s="9" t="n">
        <f aca="false">IF(Responses!Y79=Responses!Y$2,1,0)</f>
        <v>0</v>
      </c>
      <c r="Z79" s="9" t="n">
        <f aca="false">IF(Responses!Z79=Responses!Z$2,1,0)</f>
        <v>0</v>
      </c>
      <c r="AA79" s="9" t="n">
        <f aca="false">IF(Responses!AA79=Responses!AA$2,1,0)</f>
        <v>0</v>
      </c>
      <c r="AB79" s="9" t="n">
        <f aca="false">IF(Responses!AB79=Responses!AB$2,1,0)</f>
        <v>0</v>
      </c>
      <c r="AC79" s="9" t="n">
        <f aca="false">IF(Responses!AC79=Responses!AC$2,1,0)</f>
        <v>0</v>
      </c>
      <c r="AD79" s="9" t="n">
        <f aca="false">IF(Responses!AD79=Responses!AD$2,1,0)</f>
        <v>0</v>
      </c>
      <c r="AE79" s="9" t="n">
        <f aca="false">IF(Responses!AE79=Responses!AE$2,1,0)</f>
        <v>0</v>
      </c>
      <c r="AF79" s="9" t="n">
        <f aca="false">SUM(B79:AE79)</f>
        <v>12</v>
      </c>
    </row>
    <row r="80" customFormat="false" ht="15" hidden="false" customHeight="false" outlineLevel="0" collapsed="false">
      <c r="A80" s="0" t="str">
        <f aca="false">Responses!A80</f>
        <v>S078</v>
      </c>
      <c r="B80" s="9" t="n">
        <f aca="false">IF(Responses!B80=Responses!B$2,1,0)</f>
        <v>0</v>
      </c>
      <c r="C80" s="9" t="n">
        <f aca="false">IF(Responses!C80=Responses!C$2,1,0)</f>
        <v>0</v>
      </c>
      <c r="D80" s="9" t="n">
        <f aca="false">IF(Responses!D80=Responses!D$2,1,0)</f>
        <v>0</v>
      </c>
      <c r="E80" s="9" t="n">
        <f aca="false">IF(Responses!E80=Responses!E$2,1,0)</f>
        <v>1</v>
      </c>
      <c r="F80" s="9" t="n">
        <f aca="false">IF(Responses!F80=Responses!F$2,1,0)</f>
        <v>0</v>
      </c>
      <c r="G80" s="9" t="n">
        <f aca="false">IF(Responses!G80=Responses!G$2,1,0)</f>
        <v>0</v>
      </c>
      <c r="H80" s="9" t="n">
        <f aca="false">IF(Responses!H80=Responses!H$2,1,0)</f>
        <v>1</v>
      </c>
      <c r="I80" s="9" t="n">
        <f aca="false">IF(Responses!I80=Responses!I$2,1,0)</f>
        <v>1</v>
      </c>
      <c r="J80" s="9" t="n">
        <f aca="false">IF(Responses!J80=Responses!J$2,1,0)</f>
        <v>0</v>
      </c>
      <c r="K80" s="9" t="n">
        <f aca="false">IF(Responses!K80=Responses!K$2,1,0)</f>
        <v>0</v>
      </c>
      <c r="L80" s="9" t="n">
        <f aca="false">IF(Responses!L80=Responses!L$2,1,0)</f>
        <v>0</v>
      </c>
      <c r="M80" s="9" t="n">
        <f aca="false">IF(Responses!M80=Responses!M$2,1,0)</f>
        <v>1</v>
      </c>
      <c r="N80" s="9" t="n">
        <f aca="false">IF(Responses!N80=Responses!N$2,1,0)</f>
        <v>0</v>
      </c>
      <c r="O80" s="9" t="n">
        <f aca="false">IF(Responses!O80=Responses!O$2,1,0)</f>
        <v>1</v>
      </c>
      <c r="P80" s="9" t="n">
        <f aca="false">IF(Responses!P80=Responses!P$2,1,0)</f>
        <v>0</v>
      </c>
      <c r="Q80" s="9" t="n">
        <f aca="false">IF(Responses!Q80=Responses!Q$2,1,0)</f>
        <v>1</v>
      </c>
      <c r="R80" s="9" t="n">
        <f aca="false">IF(Responses!R80=Responses!R$2,1,0)</f>
        <v>1</v>
      </c>
      <c r="S80" s="9" t="n">
        <f aca="false">IF(Responses!S80=Responses!S$2,1,0)</f>
        <v>0</v>
      </c>
      <c r="T80" s="9" t="n">
        <f aca="false">IF(Responses!T80=Responses!T$2,1,0)</f>
        <v>1</v>
      </c>
      <c r="U80" s="9" t="n">
        <f aca="false">IF(Responses!U80=Responses!U$2,1,0)</f>
        <v>0</v>
      </c>
      <c r="V80" s="9" t="n">
        <f aca="false">IF(Responses!V80=Responses!V$2,1,0)</f>
        <v>0</v>
      </c>
      <c r="W80" s="9" t="n">
        <f aca="false">IF(Responses!W80=Responses!W$2,1,0)</f>
        <v>1</v>
      </c>
      <c r="X80" s="9" t="n">
        <f aca="false">IF(Responses!X80=Responses!X$2,1,0)</f>
        <v>0</v>
      </c>
      <c r="Y80" s="9" t="n">
        <f aca="false">IF(Responses!Y80=Responses!Y$2,1,0)</f>
        <v>0</v>
      </c>
      <c r="Z80" s="9" t="n">
        <f aca="false">IF(Responses!Z80=Responses!Z$2,1,0)</f>
        <v>1</v>
      </c>
      <c r="AA80" s="9" t="n">
        <f aca="false">IF(Responses!AA80=Responses!AA$2,1,0)</f>
        <v>1</v>
      </c>
      <c r="AB80" s="9" t="n">
        <f aca="false">IF(Responses!AB80=Responses!AB$2,1,0)</f>
        <v>1</v>
      </c>
      <c r="AC80" s="9" t="n">
        <f aca="false">IF(Responses!AC80=Responses!AC$2,1,0)</f>
        <v>0</v>
      </c>
      <c r="AD80" s="9" t="n">
        <f aca="false">IF(Responses!AD80=Responses!AD$2,1,0)</f>
        <v>1</v>
      </c>
      <c r="AE80" s="9" t="n">
        <f aca="false">IF(Responses!AE80=Responses!AE$2,1,0)</f>
        <v>1</v>
      </c>
      <c r="AF80" s="9" t="n">
        <f aca="false">SUM(B80:AE80)</f>
        <v>14</v>
      </c>
    </row>
    <row r="81" customFormat="false" ht="15" hidden="false" customHeight="false" outlineLevel="0" collapsed="false">
      <c r="A81" s="0" t="str">
        <f aca="false">Responses!A81</f>
        <v>S079</v>
      </c>
      <c r="B81" s="9" t="n">
        <f aca="false">IF(Responses!B81=Responses!B$2,1,0)</f>
        <v>1</v>
      </c>
      <c r="C81" s="9" t="n">
        <f aca="false">IF(Responses!C81=Responses!C$2,1,0)</f>
        <v>0</v>
      </c>
      <c r="D81" s="9" t="n">
        <f aca="false">IF(Responses!D81=Responses!D$2,1,0)</f>
        <v>1</v>
      </c>
      <c r="E81" s="9" t="n">
        <f aca="false">IF(Responses!E81=Responses!E$2,1,0)</f>
        <v>1</v>
      </c>
      <c r="F81" s="9" t="n">
        <f aca="false">IF(Responses!F81=Responses!F$2,1,0)</f>
        <v>1</v>
      </c>
      <c r="G81" s="9" t="n">
        <f aca="false">IF(Responses!G81=Responses!G$2,1,0)</f>
        <v>1</v>
      </c>
      <c r="H81" s="9" t="n">
        <f aca="false">IF(Responses!H81=Responses!H$2,1,0)</f>
        <v>0</v>
      </c>
      <c r="I81" s="9" t="n">
        <f aca="false">IF(Responses!I81=Responses!I$2,1,0)</f>
        <v>1</v>
      </c>
      <c r="J81" s="9" t="n">
        <f aca="false">IF(Responses!J81=Responses!J$2,1,0)</f>
        <v>1</v>
      </c>
      <c r="K81" s="9" t="n">
        <f aca="false">IF(Responses!K81=Responses!K$2,1,0)</f>
        <v>1</v>
      </c>
      <c r="L81" s="9" t="n">
        <f aca="false">IF(Responses!L81=Responses!L$2,1,0)</f>
        <v>1</v>
      </c>
      <c r="M81" s="9" t="n">
        <f aca="false">IF(Responses!M81=Responses!M$2,1,0)</f>
        <v>1</v>
      </c>
      <c r="N81" s="9" t="n">
        <f aca="false">IF(Responses!N81=Responses!N$2,1,0)</f>
        <v>0</v>
      </c>
      <c r="O81" s="9" t="n">
        <f aca="false">IF(Responses!O81=Responses!O$2,1,0)</f>
        <v>1</v>
      </c>
      <c r="P81" s="9" t="n">
        <f aca="false">IF(Responses!P81=Responses!P$2,1,0)</f>
        <v>0</v>
      </c>
      <c r="Q81" s="9" t="n">
        <f aca="false">IF(Responses!Q81=Responses!Q$2,1,0)</f>
        <v>1</v>
      </c>
      <c r="R81" s="9" t="n">
        <f aca="false">IF(Responses!R81=Responses!R$2,1,0)</f>
        <v>1</v>
      </c>
      <c r="S81" s="9" t="n">
        <f aca="false">IF(Responses!S81=Responses!S$2,1,0)</f>
        <v>1</v>
      </c>
      <c r="T81" s="9" t="n">
        <f aca="false">IF(Responses!T81=Responses!T$2,1,0)</f>
        <v>1</v>
      </c>
      <c r="U81" s="9" t="n">
        <f aca="false">IF(Responses!U81=Responses!U$2,1,0)</f>
        <v>1</v>
      </c>
      <c r="V81" s="9" t="n">
        <f aca="false">IF(Responses!V81=Responses!V$2,1,0)</f>
        <v>1</v>
      </c>
      <c r="W81" s="9" t="n">
        <f aca="false">IF(Responses!W81=Responses!W$2,1,0)</f>
        <v>1</v>
      </c>
      <c r="X81" s="9" t="n">
        <f aca="false">IF(Responses!X81=Responses!X$2,1,0)</f>
        <v>1</v>
      </c>
      <c r="Y81" s="9" t="n">
        <f aca="false">IF(Responses!Y81=Responses!Y$2,1,0)</f>
        <v>1</v>
      </c>
      <c r="Z81" s="9" t="n">
        <f aca="false">IF(Responses!Z81=Responses!Z$2,1,0)</f>
        <v>1</v>
      </c>
      <c r="AA81" s="9" t="n">
        <f aca="false">IF(Responses!AA81=Responses!AA$2,1,0)</f>
        <v>1</v>
      </c>
      <c r="AB81" s="9" t="n">
        <f aca="false">IF(Responses!AB81=Responses!AB$2,1,0)</f>
        <v>0</v>
      </c>
      <c r="AC81" s="9" t="n">
        <f aca="false">IF(Responses!AC81=Responses!AC$2,1,0)</f>
        <v>1</v>
      </c>
      <c r="AD81" s="9" t="n">
        <f aca="false">IF(Responses!AD81=Responses!AD$2,1,0)</f>
        <v>1</v>
      </c>
      <c r="AE81" s="9" t="n">
        <f aca="false">IF(Responses!AE81=Responses!AE$2,1,0)</f>
        <v>1</v>
      </c>
      <c r="AF81" s="9" t="n">
        <f aca="false">SUM(B81:AE81)</f>
        <v>25</v>
      </c>
    </row>
    <row r="82" customFormat="false" ht="15" hidden="false" customHeight="false" outlineLevel="0" collapsed="false">
      <c r="A82" s="0" t="str">
        <f aca="false">Responses!A82</f>
        <v>S080</v>
      </c>
      <c r="B82" s="9" t="n">
        <f aca="false">IF(Responses!B82=Responses!B$2,1,0)</f>
        <v>0</v>
      </c>
      <c r="C82" s="9" t="n">
        <f aca="false">IF(Responses!C82=Responses!C$2,1,0)</f>
        <v>0</v>
      </c>
      <c r="D82" s="9" t="n">
        <f aca="false">IF(Responses!D82=Responses!D$2,1,0)</f>
        <v>1</v>
      </c>
      <c r="E82" s="9" t="n">
        <f aca="false">IF(Responses!E82=Responses!E$2,1,0)</f>
        <v>0</v>
      </c>
      <c r="F82" s="9" t="n">
        <f aca="false">IF(Responses!F82=Responses!F$2,1,0)</f>
        <v>0</v>
      </c>
      <c r="G82" s="9" t="n">
        <f aca="false">IF(Responses!G82=Responses!G$2,1,0)</f>
        <v>0</v>
      </c>
      <c r="H82" s="9" t="n">
        <f aca="false">IF(Responses!H82=Responses!H$2,1,0)</f>
        <v>0</v>
      </c>
      <c r="I82" s="9" t="n">
        <f aca="false">IF(Responses!I82=Responses!I$2,1,0)</f>
        <v>0</v>
      </c>
      <c r="J82" s="9" t="n">
        <f aca="false">IF(Responses!J82=Responses!J$2,1,0)</f>
        <v>1</v>
      </c>
      <c r="K82" s="9" t="n">
        <f aca="false">IF(Responses!K82=Responses!K$2,1,0)</f>
        <v>0</v>
      </c>
      <c r="L82" s="9" t="n">
        <f aca="false">IF(Responses!L82=Responses!L$2,1,0)</f>
        <v>0</v>
      </c>
      <c r="M82" s="9" t="n">
        <f aca="false">IF(Responses!M82=Responses!M$2,1,0)</f>
        <v>1</v>
      </c>
      <c r="N82" s="9" t="n">
        <f aca="false">IF(Responses!N82=Responses!N$2,1,0)</f>
        <v>0</v>
      </c>
      <c r="O82" s="9" t="n">
        <f aca="false">IF(Responses!O82=Responses!O$2,1,0)</f>
        <v>0</v>
      </c>
      <c r="P82" s="9" t="n">
        <f aca="false">IF(Responses!P82=Responses!P$2,1,0)</f>
        <v>0</v>
      </c>
      <c r="Q82" s="9" t="n">
        <f aca="false">IF(Responses!Q82=Responses!Q$2,1,0)</f>
        <v>1</v>
      </c>
      <c r="R82" s="9" t="n">
        <f aca="false">IF(Responses!R82=Responses!R$2,1,0)</f>
        <v>1</v>
      </c>
      <c r="S82" s="9" t="n">
        <f aca="false">IF(Responses!S82=Responses!S$2,1,0)</f>
        <v>1</v>
      </c>
      <c r="T82" s="9" t="n">
        <f aca="false">IF(Responses!T82=Responses!T$2,1,0)</f>
        <v>1</v>
      </c>
      <c r="U82" s="9" t="n">
        <f aca="false">IF(Responses!U82=Responses!U$2,1,0)</f>
        <v>0</v>
      </c>
      <c r="V82" s="9" t="n">
        <f aca="false">IF(Responses!V82=Responses!V$2,1,0)</f>
        <v>1</v>
      </c>
      <c r="W82" s="9" t="n">
        <f aca="false">IF(Responses!W82=Responses!W$2,1,0)</f>
        <v>0</v>
      </c>
      <c r="X82" s="9" t="n">
        <f aca="false">IF(Responses!X82=Responses!X$2,1,0)</f>
        <v>1</v>
      </c>
      <c r="Y82" s="9" t="n">
        <f aca="false">IF(Responses!Y82=Responses!Y$2,1,0)</f>
        <v>1</v>
      </c>
      <c r="Z82" s="9" t="n">
        <f aca="false">IF(Responses!Z82=Responses!Z$2,1,0)</f>
        <v>0</v>
      </c>
      <c r="AA82" s="9" t="n">
        <f aca="false">IF(Responses!AA82=Responses!AA$2,1,0)</f>
        <v>0</v>
      </c>
      <c r="AB82" s="9" t="n">
        <f aca="false">IF(Responses!AB82=Responses!AB$2,1,0)</f>
        <v>0</v>
      </c>
      <c r="AC82" s="9" t="n">
        <f aca="false">IF(Responses!AC82=Responses!AC$2,1,0)</f>
        <v>0</v>
      </c>
      <c r="AD82" s="9" t="n">
        <f aca="false">IF(Responses!AD82=Responses!AD$2,1,0)</f>
        <v>1</v>
      </c>
      <c r="AE82" s="9" t="n">
        <f aca="false">IF(Responses!AE82=Responses!AE$2,1,0)</f>
        <v>0</v>
      </c>
      <c r="AF82" s="9" t="n">
        <f aca="false">SUM(B82:AE82)</f>
        <v>11</v>
      </c>
    </row>
    <row r="83" customFormat="false" ht="15" hidden="false" customHeight="false" outlineLevel="0" collapsed="false">
      <c r="A83" s="0" t="str">
        <f aca="false">Responses!A83</f>
        <v>S081</v>
      </c>
      <c r="B83" s="9" t="n">
        <f aca="false">IF(Responses!B83=Responses!B$2,1,0)</f>
        <v>1</v>
      </c>
      <c r="C83" s="9" t="n">
        <f aca="false">IF(Responses!C83=Responses!C$2,1,0)</f>
        <v>1</v>
      </c>
      <c r="D83" s="9" t="n">
        <f aca="false">IF(Responses!D83=Responses!D$2,1,0)</f>
        <v>0</v>
      </c>
      <c r="E83" s="9" t="n">
        <f aca="false">IF(Responses!E83=Responses!E$2,1,0)</f>
        <v>1</v>
      </c>
      <c r="F83" s="9" t="n">
        <f aca="false">IF(Responses!F83=Responses!F$2,1,0)</f>
        <v>1</v>
      </c>
      <c r="G83" s="9" t="n">
        <f aca="false">IF(Responses!G83=Responses!G$2,1,0)</f>
        <v>1</v>
      </c>
      <c r="H83" s="9" t="n">
        <f aca="false">IF(Responses!H83=Responses!H$2,1,0)</f>
        <v>0</v>
      </c>
      <c r="I83" s="9" t="n">
        <f aca="false">IF(Responses!I83=Responses!I$2,1,0)</f>
        <v>1</v>
      </c>
      <c r="J83" s="9" t="n">
        <f aca="false">IF(Responses!J83=Responses!J$2,1,0)</f>
        <v>1</v>
      </c>
      <c r="K83" s="9" t="n">
        <f aca="false">IF(Responses!K83=Responses!K$2,1,0)</f>
        <v>1</v>
      </c>
      <c r="L83" s="9" t="n">
        <f aca="false">IF(Responses!L83=Responses!L$2,1,0)</f>
        <v>1</v>
      </c>
      <c r="M83" s="9" t="n">
        <f aca="false">IF(Responses!M83=Responses!M$2,1,0)</f>
        <v>1</v>
      </c>
      <c r="N83" s="9" t="n">
        <f aca="false">IF(Responses!N83=Responses!N$2,1,0)</f>
        <v>1</v>
      </c>
      <c r="O83" s="9" t="n">
        <f aca="false">IF(Responses!O83=Responses!O$2,1,0)</f>
        <v>1</v>
      </c>
      <c r="P83" s="9" t="n">
        <f aca="false">IF(Responses!P83=Responses!P$2,1,0)</f>
        <v>0</v>
      </c>
      <c r="Q83" s="9" t="n">
        <f aca="false">IF(Responses!Q83=Responses!Q$2,1,0)</f>
        <v>1</v>
      </c>
      <c r="R83" s="9" t="n">
        <f aca="false">IF(Responses!R83=Responses!R$2,1,0)</f>
        <v>1</v>
      </c>
      <c r="S83" s="9" t="n">
        <f aca="false">IF(Responses!S83=Responses!S$2,1,0)</f>
        <v>0</v>
      </c>
      <c r="T83" s="9" t="n">
        <f aca="false">IF(Responses!T83=Responses!T$2,1,0)</f>
        <v>1</v>
      </c>
      <c r="U83" s="9" t="n">
        <f aca="false">IF(Responses!U83=Responses!U$2,1,0)</f>
        <v>1</v>
      </c>
      <c r="V83" s="9" t="n">
        <f aca="false">IF(Responses!V83=Responses!V$2,1,0)</f>
        <v>1</v>
      </c>
      <c r="W83" s="9" t="n">
        <f aca="false">IF(Responses!W83=Responses!W$2,1,0)</f>
        <v>1</v>
      </c>
      <c r="X83" s="9" t="n">
        <f aca="false">IF(Responses!X83=Responses!X$2,1,0)</f>
        <v>1</v>
      </c>
      <c r="Y83" s="9" t="n">
        <f aca="false">IF(Responses!Y83=Responses!Y$2,1,0)</f>
        <v>1</v>
      </c>
      <c r="Z83" s="9" t="n">
        <f aca="false">IF(Responses!Z83=Responses!Z$2,1,0)</f>
        <v>1</v>
      </c>
      <c r="AA83" s="9" t="n">
        <f aca="false">IF(Responses!AA83=Responses!AA$2,1,0)</f>
        <v>1</v>
      </c>
      <c r="AB83" s="9" t="n">
        <f aca="false">IF(Responses!AB83=Responses!AB$2,1,0)</f>
        <v>0</v>
      </c>
      <c r="AC83" s="9" t="n">
        <f aca="false">IF(Responses!AC83=Responses!AC$2,1,0)</f>
        <v>1</v>
      </c>
      <c r="AD83" s="9" t="n">
        <f aca="false">IF(Responses!AD83=Responses!AD$2,1,0)</f>
        <v>1</v>
      </c>
      <c r="AE83" s="9" t="n">
        <f aca="false">IF(Responses!AE83=Responses!AE$2,1,0)</f>
        <v>1</v>
      </c>
      <c r="AF83" s="9" t="n">
        <f aca="false">SUM(B83:AE83)</f>
        <v>25</v>
      </c>
    </row>
    <row r="84" customFormat="false" ht="15" hidden="false" customHeight="false" outlineLevel="0" collapsed="false">
      <c r="A84" s="0" t="str">
        <f aca="false">Responses!A84</f>
        <v>S082</v>
      </c>
      <c r="B84" s="9" t="n">
        <f aca="false">IF(Responses!B84=Responses!B$2,1,0)</f>
        <v>1</v>
      </c>
      <c r="C84" s="9" t="n">
        <f aca="false">IF(Responses!C84=Responses!C$2,1,0)</f>
        <v>0</v>
      </c>
      <c r="D84" s="9" t="n">
        <f aca="false">IF(Responses!D84=Responses!D$2,1,0)</f>
        <v>0</v>
      </c>
      <c r="E84" s="9" t="n">
        <f aca="false">IF(Responses!E84=Responses!E$2,1,0)</f>
        <v>0</v>
      </c>
      <c r="F84" s="9" t="n">
        <f aca="false">IF(Responses!F84=Responses!F$2,1,0)</f>
        <v>0</v>
      </c>
      <c r="G84" s="9" t="n">
        <f aca="false">IF(Responses!G84=Responses!G$2,1,0)</f>
        <v>1</v>
      </c>
      <c r="H84" s="9" t="n">
        <f aca="false">IF(Responses!H84=Responses!H$2,1,0)</f>
        <v>1</v>
      </c>
      <c r="I84" s="9" t="n">
        <f aca="false">IF(Responses!I84=Responses!I$2,1,0)</f>
        <v>0</v>
      </c>
      <c r="J84" s="9" t="n">
        <f aca="false">IF(Responses!J84=Responses!J$2,1,0)</f>
        <v>1</v>
      </c>
      <c r="K84" s="9" t="n">
        <f aca="false">IF(Responses!K84=Responses!K$2,1,0)</f>
        <v>1</v>
      </c>
      <c r="L84" s="9" t="n">
        <f aca="false">IF(Responses!L84=Responses!L$2,1,0)</f>
        <v>1</v>
      </c>
      <c r="M84" s="9" t="n">
        <f aca="false">IF(Responses!M84=Responses!M$2,1,0)</f>
        <v>1</v>
      </c>
      <c r="N84" s="9" t="n">
        <f aca="false">IF(Responses!N84=Responses!N$2,1,0)</f>
        <v>0</v>
      </c>
      <c r="O84" s="9" t="n">
        <f aca="false">IF(Responses!O84=Responses!O$2,1,0)</f>
        <v>1</v>
      </c>
      <c r="P84" s="9" t="n">
        <f aca="false">IF(Responses!P84=Responses!P$2,1,0)</f>
        <v>0</v>
      </c>
      <c r="Q84" s="9" t="n">
        <f aca="false">IF(Responses!Q84=Responses!Q$2,1,0)</f>
        <v>1</v>
      </c>
      <c r="R84" s="9" t="n">
        <f aca="false">IF(Responses!R84=Responses!R$2,1,0)</f>
        <v>1</v>
      </c>
      <c r="S84" s="9" t="n">
        <f aca="false">IF(Responses!S84=Responses!S$2,1,0)</f>
        <v>0</v>
      </c>
      <c r="T84" s="9" t="n">
        <f aca="false">IF(Responses!T84=Responses!T$2,1,0)</f>
        <v>1</v>
      </c>
      <c r="U84" s="9" t="n">
        <f aca="false">IF(Responses!U84=Responses!U$2,1,0)</f>
        <v>0</v>
      </c>
      <c r="V84" s="9" t="n">
        <f aca="false">IF(Responses!V84=Responses!V$2,1,0)</f>
        <v>0</v>
      </c>
      <c r="W84" s="9" t="n">
        <f aca="false">IF(Responses!W84=Responses!W$2,1,0)</f>
        <v>0</v>
      </c>
      <c r="X84" s="9" t="n">
        <f aca="false">IF(Responses!X84=Responses!X$2,1,0)</f>
        <v>0</v>
      </c>
      <c r="Y84" s="9" t="n">
        <f aca="false">IF(Responses!Y84=Responses!Y$2,1,0)</f>
        <v>0</v>
      </c>
      <c r="Z84" s="9" t="n">
        <f aca="false">IF(Responses!Z84=Responses!Z$2,1,0)</f>
        <v>0</v>
      </c>
      <c r="AA84" s="9" t="n">
        <f aca="false">IF(Responses!AA84=Responses!AA$2,1,0)</f>
        <v>0</v>
      </c>
      <c r="AB84" s="9" t="n">
        <f aca="false">IF(Responses!AB84=Responses!AB$2,1,0)</f>
        <v>1</v>
      </c>
      <c r="AC84" s="9" t="n">
        <f aca="false">IF(Responses!AC84=Responses!AC$2,1,0)</f>
        <v>0</v>
      </c>
      <c r="AD84" s="9" t="n">
        <f aca="false">IF(Responses!AD84=Responses!AD$2,1,0)</f>
        <v>0</v>
      </c>
      <c r="AE84" s="9" t="n">
        <f aca="false">IF(Responses!AE84=Responses!AE$2,1,0)</f>
        <v>0</v>
      </c>
      <c r="AF84" s="9" t="n">
        <f aca="false">SUM(B84:AE84)</f>
        <v>12</v>
      </c>
    </row>
    <row r="85" customFormat="false" ht="15" hidden="false" customHeight="false" outlineLevel="0" collapsed="false">
      <c r="A85" s="0" t="str">
        <f aca="false">Responses!A85</f>
        <v>S083</v>
      </c>
      <c r="B85" s="9" t="n">
        <f aca="false">IF(Responses!B85=Responses!B$2,1,0)</f>
        <v>0</v>
      </c>
      <c r="C85" s="9" t="n">
        <f aca="false">IF(Responses!C85=Responses!C$2,1,0)</f>
        <v>0</v>
      </c>
      <c r="D85" s="9" t="n">
        <f aca="false">IF(Responses!D85=Responses!D$2,1,0)</f>
        <v>0</v>
      </c>
      <c r="E85" s="9" t="n">
        <f aca="false">IF(Responses!E85=Responses!E$2,1,0)</f>
        <v>1</v>
      </c>
      <c r="F85" s="9" t="n">
        <f aca="false">IF(Responses!F85=Responses!F$2,1,0)</f>
        <v>0</v>
      </c>
      <c r="G85" s="9" t="n">
        <f aca="false">IF(Responses!G85=Responses!G$2,1,0)</f>
        <v>0</v>
      </c>
      <c r="H85" s="9" t="n">
        <f aca="false">IF(Responses!H85=Responses!H$2,1,0)</f>
        <v>0</v>
      </c>
      <c r="I85" s="9" t="n">
        <f aca="false">IF(Responses!I85=Responses!I$2,1,0)</f>
        <v>0</v>
      </c>
      <c r="J85" s="9" t="n">
        <f aca="false">IF(Responses!J85=Responses!J$2,1,0)</f>
        <v>1</v>
      </c>
      <c r="K85" s="9" t="n">
        <f aca="false">IF(Responses!K85=Responses!K$2,1,0)</f>
        <v>0</v>
      </c>
      <c r="L85" s="9" t="n">
        <f aca="false">IF(Responses!L85=Responses!L$2,1,0)</f>
        <v>1</v>
      </c>
      <c r="M85" s="9" t="n">
        <f aca="false">IF(Responses!M85=Responses!M$2,1,0)</f>
        <v>1</v>
      </c>
      <c r="N85" s="9" t="n">
        <f aca="false">IF(Responses!N85=Responses!N$2,1,0)</f>
        <v>1</v>
      </c>
      <c r="O85" s="9" t="n">
        <f aca="false">IF(Responses!O85=Responses!O$2,1,0)</f>
        <v>0</v>
      </c>
      <c r="P85" s="9" t="n">
        <f aca="false">IF(Responses!P85=Responses!P$2,1,0)</f>
        <v>0</v>
      </c>
      <c r="Q85" s="9" t="n">
        <f aca="false">IF(Responses!Q85=Responses!Q$2,1,0)</f>
        <v>1</v>
      </c>
      <c r="R85" s="9" t="n">
        <f aca="false">IF(Responses!R85=Responses!R$2,1,0)</f>
        <v>1</v>
      </c>
      <c r="S85" s="9" t="n">
        <f aca="false">IF(Responses!S85=Responses!S$2,1,0)</f>
        <v>1</v>
      </c>
      <c r="T85" s="9" t="n">
        <f aca="false">IF(Responses!T85=Responses!T$2,1,0)</f>
        <v>1</v>
      </c>
      <c r="U85" s="9" t="n">
        <f aca="false">IF(Responses!U85=Responses!U$2,1,0)</f>
        <v>0</v>
      </c>
      <c r="V85" s="9" t="n">
        <f aca="false">IF(Responses!V85=Responses!V$2,1,0)</f>
        <v>1</v>
      </c>
      <c r="W85" s="9" t="n">
        <f aca="false">IF(Responses!W85=Responses!W$2,1,0)</f>
        <v>0</v>
      </c>
      <c r="X85" s="9" t="n">
        <f aca="false">IF(Responses!X85=Responses!X$2,1,0)</f>
        <v>1</v>
      </c>
      <c r="Y85" s="9" t="n">
        <f aca="false">IF(Responses!Y85=Responses!Y$2,1,0)</f>
        <v>0</v>
      </c>
      <c r="Z85" s="9" t="n">
        <f aca="false">IF(Responses!Z85=Responses!Z$2,1,0)</f>
        <v>1</v>
      </c>
      <c r="AA85" s="9" t="n">
        <f aca="false">IF(Responses!AA85=Responses!AA$2,1,0)</f>
        <v>1</v>
      </c>
      <c r="AB85" s="9" t="n">
        <f aca="false">IF(Responses!AB85=Responses!AB$2,1,0)</f>
        <v>0</v>
      </c>
      <c r="AC85" s="9" t="n">
        <f aca="false">IF(Responses!AC85=Responses!AC$2,1,0)</f>
        <v>0</v>
      </c>
      <c r="AD85" s="9" t="n">
        <f aca="false">IF(Responses!AD85=Responses!AD$2,1,0)</f>
        <v>1</v>
      </c>
      <c r="AE85" s="9" t="n">
        <f aca="false">IF(Responses!AE85=Responses!AE$2,1,0)</f>
        <v>1</v>
      </c>
      <c r="AF85" s="9" t="n">
        <f aca="false">SUM(B85:AE85)</f>
        <v>15</v>
      </c>
    </row>
    <row r="86" customFormat="false" ht="15" hidden="false" customHeight="false" outlineLevel="0" collapsed="false">
      <c r="A86" s="0" t="str">
        <f aca="false">Responses!A86</f>
        <v>S084</v>
      </c>
      <c r="B86" s="9" t="n">
        <f aca="false">IF(Responses!B86=Responses!B$2,1,0)</f>
        <v>1</v>
      </c>
      <c r="C86" s="9" t="n">
        <f aca="false">IF(Responses!C86=Responses!C$2,1,0)</f>
        <v>0</v>
      </c>
      <c r="D86" s="9" t="n">
        <f aca="false">IF(Responses!D86=Responses!D$2,1,0)</f>
        <v>1</v>
      </c>
      <c r="E86" s="9" t="n">
        <f aca="false">IF(Responses!E86=Responses!E$2,1,0)</f>
        <v>1</v>
      </c>
      <c r="F86" s="9" t="n">
        <f aca="false">IF(Responses!F86=Responses!F$2,1,0)</f>
        <v>1</v>
      </c>
      <c r="G86" s="9" t="n">
        <f aca="false">IF(Responses!G86=Responses!G$2,1,0)</f>
        <v>0</v>
      </c>
      <c r="H86" s="9" t="n">
        <f aca="false">IF(Responses!H86=Responses!H$2,1,0)</f>
        <v>0</v>
      </c>
      <c r="I86" s="9" t="n">
        <f aca="false">IF(Responses!I86=Responses!I$2,1,0)</f>
        <v>1</v>
      </c>
      <c r="J86" s="9" t="n">
        <f aca="false">IF(Responses!J86=Responses!J$2,1,0)</f>
        <v>1</v>
      </c>
      <c r="K86" s="9" t="n">
        <f aca="false">IF(Responses!K86=Responses!K$2,1,0)</f>
        <v>1</v>
      </c>
      <c r="L86" s="9" t="n">
        <f aca="false">IF(Responses!L86=Responses!L$2,1,0)</f>
        <v>1</v>
      </c>
      <c r="M86" s="9" t="n">
        <f aca="false">IF(Responses!M86=Responses!M$2,1,0)</f>
        <v>1</v>
      </c>
      <c r="N86" s="9" t="n">
        <f aca="false">IF(Responses!N86=Responses!N$2,1,0)</f>
        <v>0</v>
      </c>
      <c r="O86" s="9" t="n">
        <f aca="false">IF(Responses!O86=Responses!O$2,1,0)</f>
        <v>1</v>
      </c>
      <c r="P86" s="9" t="n">
        <f aca="false">IF(Responses!P86=Responses!P$2,1,0)</f>
        <v>1</v>
      </c>
      <c r="Q86" s="9" t="n">
        <f aca="false">IF(Responses!Q86=Responses!Q$2,1,0)</f>
        <v>1</v>
      </c>
      <c r="R86" s="9" t="n">
        <f aca="false">IF(Responses!R86=Responses!R$2,1,0)</f>
        <v>1</v>
      </c>
      <c r="S86" s="9" t="n">
        <f aca="false">IF(Responses!S86=Responses!S$2,1,0)</f>
        <v>0</v>
      </c>
      <c r="T86" s="9" t="n">
        <f aca="false">IF(Responses!T86=Responses!T$2,1,0)</f>
        <v>1</v>
      </c>
      <c r="U86" s="9" t="n">
        <f aca="false">IF(Responses!U86=Responses!U$2,1,0)</f>
        <v>0</v>
      </c>
      <c r="V86" s="9" t="n">
        <f aca="false">IF(Responses!V86=Responses!V$2,1,0)</f>
        <v>1</v>
      </c>
      <c r="W86" s="9" t="n">
        <f aca="false">IF(Responses!W86=Responses!W$2,1,0)</f>
        <v>1</v>
      </c>
      <c r="X86" s="9" t="n">
        <f aca="false">IF(Responses!X86=Responses!X$2,1,0)</f>
        <v>0</v>
      </c>
      <c r="Y86" s="9" t="n">
        <f aca="false">IF(Responses!Y86=Responses!Y$2,1,0)</f>
        <v>0</v>
      </c>
      <c r="Z86" s="9" t="n">
        <f aca="false">IF(Responses!Z86=Responses!Z$2,1,0)</f>
        <v>1</v>
      </c>
      <c r="AA86" s="9" t="n">
        <f aca="false">IF(Responses!AA86=Responses!AA$2,1,0)</f>
        <v>0</v>
      </c>
      <c r="AB86" s="9" t="n">
        <f aca="false">IF(Responses!AB86=Responses!AB$2,1,0)</f>
        <v>0</v>
      </c>
      <c r="AC86" s="9" t="n">
        <f aca="false">IF(Responses!AC86=Responses!AC$2,1,0)</f>
        <v>1</v>
      </c>
      <c r="AD86" s="9" t="n">
        <f aca="false">IF(Responses!AD86=Responses!AD$2,1,0)</f>
        <v>0</v>
      </c>
      <c r="AE86" s="9" t="n">
        <f aca="false">IF(Responses!AE86=Responses!AE$2,1,0)</f>
        <v>0</v>
      </c>
      <c r="AF86" s="9" t="n">
        <f aca="false">SUM(B86:AE86)</f>
        <v>18</v>
      </c>
    </row>
    <row r="87" customFormat="false" ht="15" hidden="false" customHeight="false" outlineLevel="0" collapsed="false">
      <c r="A87" s="0" t="str">
        <f aca="false">Responses!A87</f>
        <v>S085</v>
      </c>
      <c r="B87" s="9" t="n">
        <f aca="false">IF(Responses!B87=Responses!B$2,1,0)</f>
        <v>0</v>
      </c>
      <c r="C87" s="9" t="n">
        <f aca="false">IF(Responses!C87=Responses!C$2,1,0)</f>
        <v>1</v>
      </c>
      <c r="D87" s="9" t="n">
        <f aca="false">IF(Responses!D87=Responses!D$2,1,0)</f>
        <v>0</v>
      </c>
      <c r="E87" s="9" t="n">
        <f aca="false">IF(Responses!E87=Responses!E$2,1,0)</f>
        <v>1</v>
      </c>
      <c r="F87" s="9" t="n">
        <f aca="false">IF(Responses!F87=Responses!F$2,1,0)</f>
        <v>0</v>
      </c>
      <c r="G87" s="9" t="n">
        <f aca="false">IF(Responses!G87=Responses!G$2,1,0)</f>
        <v>1</v>
      </c>
      <c r="H87" s="9" t="n">
        <f aca="false">IF(Responses!H87=Responses!H$2,1,0)</f>
        <v>0</v>
      </c>
      <c r="I87" s="9" t="n">
        <f aca="false">IF(Responses!I87=Responses!I$2,1,0)</f>
        <v>1</v>
      </c>
      <c r="J87" s="9" t="n">
        <f aca="false">IF(Responses!J87=Responses!J$2,1,0)</f>
        <v>1</v>
      </c>
      <c r="K87" s="9" t="n">
        <f aca="false">IF(Responses!K87=Responses!K$2,1,0)</f>
        <v>0</v>
      </c>
      <c r="L87" s="9" t="n">
        <f aca="false">IF(Responses!L87=Responses!L$2,1,0)</f>
        <v>0</v>
      </c>
      <c r="M87" s="9" t="n">
        <f aca="false">IF(Responses!M87=Responses!M$2,1,0)</f>
        <v>1</v>
      </c>
      <c r="N87" s="9" t="n">
        <f aca="false">IF(Responses!N87=Responses!N$2,1,0)</f>
        <v>1</v>
      </c>
      <c r="O87" s="9" t="n">
        <f aca="false">IF(Responses!O87=Responses!O$2,1,0)</f>
        <v>0</v>
      </c>
      <c r="P87" s="9" t="n">
        <f aca="false">IF(Responses!P87=Responses!P$2,1,0)</f>
        <v>0</v>
      </c>
      <c r="Q87" s="9" t="n">
        <f aca="false">IF(Responses!Q87=Responses!Q$2,1,0)</f>
        <v>1</v>
      </c>
      <c r="R87" s="9" t="n">
        <f aca="false">IF(Responses!R87=Responses!R$2,1,0)</f>
        <v>1</v>
      </c>
      <c r="S87" s="9" t="n">
        <f aca="false">IF(Responses!S87=Responses!S$2,1,0)</f>
        <v>0</v>
      </c>
      <c r="T87" s="9" t="n">
        <f aca="false">IF(Responses!T87=Responses!T$2,1,0)</f>
        <v>0</v>
      </c>
      <c r="U87" s="9" t="n">
        <f aca="false">IF(Responses!U87=Responses!U$2,1,0)</f>
        <v>1</v>
      </c>
      <c r="V87" s="9" t="n">
        <f aca="false">IF(Responses!V87=Responses!V$2,1,0)</f>
        <v>0</v>
      </c>
      <c r="W87" s="9" t="n">
        <f aca="false">IF(Responses!W87=Responses!W$2,1,0)</f>
        <v>0</v>
      </c>
      <c r="X87" s="9" t="n">
        <f aca="false">IF(Responses!X87=Responses!X$2,1,0)</f>
        <v>0</v>
      </c>
      <c r="Y87" s="9" t="n">
        <f aca="false">IF(Responses!Y87=Responses!Y$2,1,0)</f>
        <v>0</v>
      </c>
      <c r="Z87" s="9" t="n">
        <f aca="false">IF(Responses!Z87=Responses!Z$2,1,0)</f>
        <v>1</v>
      </c>
      <c r="AA87" s="9" t="n">
        <f aca="false">IF(Responses!AA87=Responses!AA$2,1,0)</f>
        <v>0</v>
      </c>
      <c r="AB87" s="9" t="n">
        <f aca="false">IF(Responses!AB87=Responses!AB$2,1,0)</f>
        <v>1</v>
      </c>
      <c r="AC87" s="9" t="n">
        <f aca="false">IF(Responses!AC87=Responses!AC$2,1,0)</f>
        <v>1</v>
      </c>
      <c r="AD87" s="9" t="n">
        <f aca="false">IF(Responses!AD87=Responses!AD$2,1,0)</f>
        <v>0</v>
      </c>
      <c r="AE87" s="9" t="n">
        <f aca="false">IF(Responses!AE87=Responses!AE$2,1,0)</f>
        <v>1</v>
      </c>
      <c r="AF87" s="9" t="n">
        <f aca="false">SUM(B87:AE87)</f>
        <v>14</v>
      </c>
    </row>
    <row r="88" customFormat="false" ht="15" hidden="false" customHeight="false" outlineLevel="0" collapsed="false">
      <c r="A88" s="0" t="str">
        <f aca="false">Responses!A88</f>
        <v>S086</v>
      </c>
      <c r="B88" s="9" t="n">
        <f aca="false">IF(Responses!B88=Responses!B$2,1,0)</f>
        <v>0</v>
      </c>
      <c r="C88" s="9" t="n">
        <f aca="false">IF(Responses!C88=Responses!C$2,1,0)</f>
        <v>1</v>
      </c>
      <c r="D88" s="9" t="n">
        <f aca="false">IF(Responses!D88=Responses!D$2,1,0)</f>
        <v>0</v>
      </c>
      <c r="E88" s="9" t="n">
        <f aca="false">IF(Responses!E88=Responses!E$2,1,0)</f>
        <v>0</v>
      </c>
      <c r="F88" s="9" t="n">
        <f aca="false">IF(Responses!F88=Responses!F$2,1,0)</f>
        <v>0</v>
      </c>
      <c r="G88" s="9" t="n">
        <f aca="false">IF(Responses!G88=Responses!G$2,1,0)</f>
        <v>0</v>
      </c>
      <c r="H88" s="9" t="n">
        <f aca="false">IF(Responses!H88=Responses!H$2,1,0)</f>
        <v>1</v>
      </c>
      <c r="I88" s="9" t="n">
        <f aca="false">IF(Responses!I88=Responses!I$2,1,0)</f>
        <v>0</v>
      </c>
      <c r="J88" s="9" t="n">
        <f aca="false">IF(Responses!J88=Responses!J$2,1,0)</f>
        <v>1</v>
      </c>
      <c r="K88" s="9" t="n">
        <f aca="false">IF(Responses!K88=Responses!K$2,1,0)</f>
        <v>0</v>
      </c>
      <c r="L88" s="9" t="n">
        <f aca="false">IF(Responses!L88=Responses!L$2,1,0)</f>
        <v>0</v>
      </c>
      <c r="M88" s="9" t="n">
        <f aca="false">IF(Responses!M88=Responses!M$2,1,0)</f>
        <v>1</v>
      </c>
      <c r="N88" s="9" t="n">
        <f aca="false">IF(Responses!N88=Responses!N$2,1,0)</f>
        <v>0</v>
      </c>
      <c r="O88" s="9" t="n">
        <f aca="false">IF(Responses!O88=Responses!O$2,1,0)</f>
        <v>0</v>
      </c>
      <c r="P88" s="9" t="n">
        <f aca="false">IF(Responses!P88=Responses!P$2,1,0)</f>
        <v>1</v>
      </c>
      <c r="Q88" s="9" t="n">
        <f aca="false">IF(Responses!Q88=Responses!Q$2,1,0)</f>
        <v>1</v>
      </c>
      <c r="R88" s="9" t="n">
        <f aca="false">IF(Responses!R88=Responses!R$2,1,0)</f>
        <v>0</v>
      </c>
      <c r="S88" s="9" t="n">
        <f aca="false">IF(Responses!S88=Responses!S$2,1,0)</f>
        <v>0</v>
      </c>
      <c r="T88" s="9" t="n">
        <f aca="false">IF(Responses!T88=Responses!T$2,1,0)</f>
        <v>1</v>
      </c>
      <c r="U88" s="9" t="n">
        <f aca="false">IF(Responses!U88=Responses!U$2,1,0)</f>
        <v>0</v>
      </c>
      <c r="V88" s="9" t="n">
        <f aca="false">IF(Responses!V88=Responses!V$2,1,0)</f>
        <v>0</v>
      </c>
      <c r="W88" s="9" t="n">
        <f aca="false">IF(Responses!W88=Responses!W$2,1,0)</f>
        <v>1</v>
      </c>
      <c r="X88" s="9" t="n">
        <f aca="false">IF(Responses!X88=Responses!X$2,1,0)</f>
        <v>0</v>
      </c>
      <c r="Y88" s="9" t="n">
        <f aca="false">IF(Responses!Y88=Responses!Y$2,1,0)</f>
        <v>0</v>
      </c>
      <c r="Z88" s="9" t="n">
        <f aca="false">IF(Responses!Z88=Responses!Z$2,1,0)</f>
        <v>1</v>
      </c>
      <c r="AA88" s="9" t="n">
        <f aca="false">IF(Responses!AA88=Responses!AA$2,1,0)</f>
        <v>0</v>
      </c>
      <c r="AB88" s="9" t="n">
        <f aca="false">IF(Responses!AB88=Responses!AB$2,1,0)</f>
        <v>1</v>
      </c>
      <c r="AC88" s="9" t="n">
        <f aca="false">IF(Responses!AC88=Responses!AC$2,1,0)</f>
        <v>0</v>
      </c>
      <c r="AD88" s="9" t="n">
        <f aca="false">IF(Responses!AD88=Responses!AD$2,1,0)</f>
        <v>0</v>
      </c>
      <c r="AE88" s="9" t="n">
        <f aca="false">IF(Responses!AE88=Responses!AE$2,1,0)</f>
        <v>1</v>
      </c>
      <c r="AF88" s="9" t="n">
        <f aca="false">SUM(B88:AE88)</f>
        <v>11</v>
      </c>
    </row>
    <row r="89" customFormat="false" ht="15" hidden="false" customHeight="false" outlineLevel="0" collapsed="false">
      <c r="A89" s="0" t="str">
        <f aca="false">Responses!A89</f>
        <v>S087</v>
      </c>
      <c r="B89" s="9" t="n">
        <f aca="false">IF(Responses!B89=Responses!B$2,1,0)</f>
        <v>0</v>
      </c>
      <c r="C89" s="9" t="n">
        <f aca="false">IF(Responses!C89=Responses!C$2,1,0)</f>
        <v>0</v>
      </c>
      <c r="D89" s="9" t="n">
        <f aca="false">IF(Responses!D89=Responses!D$2,1,0)</f>
        <v>1</v>
      </c>
      <c r="E89" s="9" t="n">
        <f aca="false">IF(Responses!E89=Responses!E$2,1,0)</f>
        <v>0</v>
      </c>
      <c r="F89" s="9" t="n">
        <f aca="false">IF(Responses!F89=Responses!F$2,1,0)</f>
        <v>1</v>
      </c>
      <c r="G89" s="9" t="n">
        <f aca="false">IF(Responses!G89=Responses!G$2,1,0)</f>
        <v>0</v>
      </c>
      <c r="H89" s="9" t="n">
        <f aca="false">IF(Responses!H89=Responses!H$2,1,0)</f>
        <v>1</v>
      </c>
      <c r="I89" s="9" t="n">
        <f aca="false">IF(Responses!I89=Responses!I$2,1,0)</f>
        <v>0</v>
      </c>
      <c r="J89" s="9" t="n">
        <f aca="false">IF(Responses!J89=Responses!J$2,1,0)</f>
        <v>0</v>
      </c>
      <c r="K89" s="9" t="n">
        <f aca="false">IF(Responses!K89=Responses!K$2,1,0)</f>
        <v>0</v>
      </c>
      <c r="L89" s="9" t="n">
        <f aca="false">IF(Responses!L89=Responses!L$2,1,0)</f>
        <v>0</v>
      </c>
      <c r="M89" s="9" t="n">
        <f aca="false">IF(Responses!M89=Responses!M$2,1,0)</f>
        <v>1</v>
      </c>
      <c r="N89" s="9" t="n">
        <f aca="false">IF(Responses!N89=Responses!N$2,1,0)</f>
        <v>0</v>
      </c>
      <c r="O89" s="9" t="n">
        <f aca="false">IF(Responses!O89=Responses!O$2,1,0)</f>
        <v>0</v>
      </c>
      <c r="P89" s="9" t="n">
        <f aca="false">IF(Responses!P89=Responses!P$2,1,0)</f>
        <v>0</v>
      </c>
      <c r="Q89" s="9" t="n">
        <f aca="false">IF(Responses!Q89=Responses!Q$2,1,0)</f>
        <v>1</v>
      </c>
      <c r="R89" s="9" t="n">
        <f aca="false">IF(Responses!R89=Responses!R$2,1,0)</f>
        <v>1</v>
      </c>
      <c r="S89" s="9" t="n">
        <f aca="false">IF(Responses!S89=Responses!S$2,1,0)</f>
        <v>0</v>
      </c>
      <c r="T89" s="9" t="n">
        <f aca="false">IF(Responses!T89=Responses!T$2,1,0)</f>
        <v>0</v>
      </c>
      <c r="U89" s="9" t="n">
        <f aca="false">IF(Responses!U89=Responses!U$2,1,0)</f>
        <v>1</v>
      </c>
      <c r="V89" s="9" t="n">
        <f aca="false">IF(Responses!V89=Responses!V$2,1,0)</f>
        <v>0</v>
      </c>
      <c r="W89" s="9" t="n">
        <f aca="false">IF(Responses!W89=Responses!W$2,1,0)</f>
        <v>0</v>
      </c>
      <c r="X89" s="9" t="n">
        <f aca="false">IF(Responses!X89=Responses!X$2,1,0)</f>
        <v>0</v>
      </c>
      <c r="Y89" s="9" t="n">
        <f aca="false">IF(Responses!Y89=Responses!Y$2,1,0)</f>
        <v>1</v>
      </c>
      <c r="Z89" s="9" t="n">
        <f aca="false">IF(Responses!Z89=Responses!Z$2,1,0)</f>
        <v>0</v>
      </c>
      <c r="AA89" s="9" t="n">
        <f aca="false">IF(Responses!AA89=Responses!AA$2,1,0)</f>
        <v>0</v>
      </c>
      <c r="AB89" s="9" t="n">
        <f aca="false">IF(Responses!AB89=Responses!AB$2,1,0)</f>
        <v>1</v>
      </c>
      <c r="AC89" s="9" t="n">
        <f aca="false">IF(Responses!AC89=Responses!AC$2,1,0)</f>
        <v>0</v>
      </c>
      <c r="AD89" s="9" t="n">
        <f aca="false">IF(Responses!AD89=Responses!AD$2,1,0)</f>
        <v>1</v>
      </c>
      <c r="AE89" s="9" t="n">
        <f aca="false">IF(Responses!AE89=Responses!AE$2,1,0)</f>
        <v>1</v>
      </c>
      <c r="AF89" s="9" t="n">
        <f aca="false">SUM(B89:AE89)</f>
        <v>11</v>
      </c>
    </row>
    <row r="90" customFormat="false" ht="15" hidden="false" customHeight="false" outlineLevel="0" collapsed="false">
      <c r="A90" s="0" t="str">
        <f aca="false">Responses!A90</f>
        <v>S088</v>
      </c>
      <c r="B90" s="9" t="n">
        <f aca="false">IF(Responses!B90=Responses!B$2,1,0)</f>
        <v>0</v>
      </c>
      <c r="C90" s="9" t="n">
        <f aca="false">IF(Responses!C90=Responses!C$2,1,0)</f>
        <v>1</v>
      </c>
      <c r="D90" s="9" t="n">
        <f aca="false">IF(Responses!D90=Responses!D$2,1,0)</f>
        <v>1</v>
      </c>
      <c r="E90" s="9" t="n">
        <f aca="false">IF(Responses!E90=Responses!E$2,1,0)</f>
        <v>0</v>
      </c>
      <c r="F90" s="9" t="n">
        <f aca="false">IF(Responses!F90=Responses!F$2,1,0)</f>
        <v>0</v>
      </c>
      <c r="G90" s="9" t="n">
        <f aca="false">IF(Responses!G90=Responses!G$2,1,0)</f>
        <v>1</v>
      </c>
      <c r="H90" s="9" t="n">
        <f aca="false">IF(Responses!H90=Responses!H$2,1,0)</f>
        <v>0</v>
      </c>
      <c r="I90" s="9" t="n">
        <f aca="false">IF(Responses!I90=Responses!I$2,1,0)</f>
        <v>1</v>
      </c>
      <c r="J90" s="9" t="n">
        <f aca="false">IF(Responses!J90=Responses!J$2,1,0)</f>
        <v>1</v>
      </c>
      <c r="K90" s="9" t="n">
        <f aca="false">IF(Responses!K90=Responses!K$2,1,0)</f>
        <v>0</v>
      </c>
      <c r="L90" s="9" t="n">
        <f aca="false">IF(Responses!L90=Responses!L$2,1,0)</f>
        <v>0</v>
      </c>
      <c r="M90" s="9" t="n">
        <f aca="false">IF(Responses!M90=Responses!M$2,1,0)</f>
        <v>1</v>
      </c>
      <c r="N90" s="9" t="n">
        <f aca="false">IF(Responses!N90=Responses!N$2,1,0)</f>
        <v>1</v>
      </c>
      <c r="O90" s="9" t="n">
        <f aca="false">IF(Responses!O90=Responses!O$2,1,0)</f>
        <v>1</v>
      </c>
      <c r="P90" s="9" t="n">
        <f aca="false">IF(Responses!P90=Responses!P$2,1,0)</f>
        <v>1</v>
      </c>
      <c r="Q90" s="9" t="n">
        <f aca="false">IF(Responses!Q90=Responses!Q$2,1,0)</f>
        <v>1</v>
      </c>
      <c r="R90" s="9" t="n">
        <f aca="false">IF(Responses!R90=Responses!R$2,1,0)</f>
        <v>1</v>
      </c>
      <c r="S90" s="9" t="n">
        <f aca="false">IF(Responses!S90=Responses!S$2,1,0)</f>
        <v>0</v>
      </c>
      <c r="T90" s="9" t="n">
        <f aca="false">IF(Responses!T90=Responses!T$2,1,0)</f>
        <v>0</v>
      </c>
      <c r="U90" s="9" t="n">
        <f aca="false">IF(Responses!U90=Responses!U$2,1,0)</f>
        <v>1</v>
      </c>
      <c r="V90" s="9" t="n">
        <f aca="false">IF(Responses!V90=Responses!V$2,1,0)</f>
        <v>1</v>
      </c>
      <c r="W90" s="9" t="n">
        <f aca="false">IF(Responses!W90=Responses!W$2,1,0)</f>
        <v>0</v>
      </c>
      <c r="X90" s="9" t="n">
        <f aca="false">IF(Responses!X90=Responses!X$2,1,0)</f>
        <v>0</v>
      </c>
      <c r="Y90" s="9" t="n">
        <f aca="false">IF(Responses!Y90=Responses!Y$2,1,0)</f>
        <v>0</v>
      </c>
      <c r="Z90" s="9" t="n">
        <f aca="false">IF(Responses!Z90=Responses!Z$2,1,0)</f>
        <v>0</v>
      </c>
      <c r="AA90" s="9" t="n">
        <f aca="false">IF(Responses!AA90=Responses!AA$2,1,0)</f>
        <v>0</v>
      </c>
      <c r="AB90" s="9" t="n">
        <f aca="false">IF(Responses!AB90=Responses!AB$2,1,0)</f>
        <v>1</v>
      </c>
      <c r="AC90" s="9" t="n">
        <f aca="false">IF(Responses!AC90=Responses!AC$2,1,0)</f>
        <v>1</v>
      </c>
      <c r="AD90" s="9" t="n">
        <f aca="false">IF(Responses!AD90=Responses!AD$2,1,0)</f>
        <v>0</v>
      </c>
      <c r="AE90" s="9" t="n">
        <f aca="false">IF(Responses!AE90=Responses!AE$2,1,0)</f>
        <v>0</v>
      </c>
      <c r="AF90" s="9" t="n">
        <f aca="false">SUM(B90:AE90)</f>
        <v>15</v>
      </c>
    </row>
    <row r="91" customFormat="false" ht="15" hidden="false" customHeight="false" outlineLevel="0" collapsed="false">
      <c r="A91" s="0" t="str">
        <f aca="false">Responses!A91</f>
        <v>S089</v>
      </c>
      <c r="B91" s="9" t="n">
        <f aca="false">IF(Responses!B91=Responses!B$2,1,0)</f>
        <v>0</v>
      </c>
      <c r="C91" s="9" t="n">
        <f aca="false">IF(Responses!C91=Responses!C$2,1,0)</f>
        <v>1</v>
      </c>
      <c r="D91" s="9" t="n">
        <f aca="false">IF(Responses!D91=Responses!D$2,1,0)</f>
        <v>0</v>
      </c>
      <c r="E91" s="9" t="n">
        <f aca="false">IF(Responses!E91=Responses!E$2,1,0)</f>
        <v>1</v>
      </c>
      <c r="F91" s="9" t="n">
        <f aca="false">IF(Responses!F91=Responses!F$2,1,0)</f>
        <v>0</v>
      </c>
      <c r="G91" s="9" t="n">
        <f aca="false">IF(Responses!G91=Responses!G$2,1,0)</f>
        <v>0</v>
      </c>
      <c r="H91" s="9" t="n">
        <f aca="false">IF(Responses!H91=Responses!H$2,1,0)</f>
        <v>1</v>
      </c>
      <c r="I91" s="9" t="n">
        <f aca="false">IF(Responses!I91=Responses!I$2,1,0)</f>
        <v>0</v>
      </c>
      <c r="J91" s="9" t="n">
        <f aca="false">IF(Responses!J91=Responses!J$2,1,0)</f>
        <v>1</v>
      </c>
      <c r="K91" s="9" t="n">
        <f aca="false">IF(Responses!K91=Responses!K$2,1,0)</f>
        <v>1</v>
      </c>
      <c r="L91" s="9" t="n">
        <f aca="false">IF(Responses!L91=Responses!L$2,1,0)</f>
        <v>0</v>
      </c>
      <c r="M91" s="9" t="n">
        <f aca="false">IF(Responses!M91=Responses!M$2,1,0)</f>
        <v>1</v>
      </c>
      <c r="N91" s="9" t="n">
        <f aca="false">IF(Responses!N91=Responses!N$2,1,0)</f>
        <v>0</v>
      </c>
      <c r="O91" s="9" t="n">
        <f aca="false">IF(Responses!O91=Responses!O$2,1,0)</f>
        <v>1</v>
      </c>
      <c r="P91" s="9" t="n">
        <f aca="false">IF(Responses!P91=Responses!P$2,1,0)</f>
        <v>0</v>
      </c>
      <c r="Q91" s="9" t="n">
        <f aca="false">IF(Responses!Q91=Responses!Q$2,1,0)</f>
        <v>0</v>
      </c>
      <c r="R91" s="9" t="n">
        <f aca="false">IF(Responses!R91=Responses!R$2,1,0)</f>
        <v>1</v>
      </c>
      <c r="S91" s="9" t="n">
        <f aca="false">IF(Responses!S91=Responses!S$2,1,0)</f>
        <v>0</v>
      </c>
      <c r="T91" s="9" t="n">
        <f aca="false">IF(Responses!T91=Responses!T$2,1,0)</f>
        <v>1</v>
      </c>
      <c r="U91" s="9" t="n">
        <f aca="false">IF(Responses!U91=Responses!U$2,1,0)</f>
        <v>0</v>
      </c>
      <c r="V91" s="9" t="n">
        <f aca="false">IF(Responses!V91=Responses!V$2,1,0)</f>
        <v>1</v>
      </c>
      <c r="W91" s="9" t="n">
        <f aca="false">IF(Responses!W91=Responses!W$2,1,0)</f>
        <v>0</v>
      </c>
      <c r="X91" s="9" t="n">
        <f aca="false">IF(Responses!X91=Responses!X$2,1,0)</f>
        <v>0</v>
      </c>
      <c r="Y91" s="9" t="n">
        <f aca="false">IF(Responses!Y91=Responses!Y$2,1,0)</f>
        <v>0</v>
      </c>
      <c r="Z91" s="9" t="n">
        <f aca="false">IF(Responses!Z91=Responses!Z$2,1,0)</f>
        <v>1</v>
      </c>
      <c r="AA91" s="9" t="n">
        <f aca="false">IF(Responses!AA91=Responses!AA$2,1,0)</f>
        <v>0</v>
      </c>
      <c r="AB91" s="9" t="n">
        <f aca="false">IF(Responses!AB91=Responses!AB$2,1,0)</f>
        <v>1</v>
      </c>
      <c r="AC91" s="9" t="n">
        <f aca="false">IF(Responses!AC91=Responses!AC$2,1,0)</f>
        <v>0</v>
      </c>
      <c r="AD91" s="9" t="n">
        <f aca="false">IF(Responses!AD91=Responses!AD$2,1,0)</f>
        <v>1</v>
      </c>
      <c r="AE91" s="9" t="n">
        <f aca="false">IF(Responses!AE91=Responses!AE$2,1,0)</f>
        <v>0</v>
      </c>
      <c r="AF91" s="9" t="n">
        <f aca="false">SUM(B91:AE91)</f>
        <v>13</v>
      </c>
    </row>
    <row r="92" customFormat="false" ht="15" hidden="false" customHeight="false" outlineLevel="0" collapsed="false">
      <c r="A92" s="0" t="str">
        <f aca="false">Responses!A92</f>
        <v>S090</v>
      </c>
      <c r="B92" s="9" t="n">
        <f aca="false">IF(Responses!B92=Responses!B$2,1,0)</f>
        <v>1</v>
      </c>
      <c r="C92" s="9" t="n">
        <f aca="false">IF(Responses!C92=Responses!C$2,1,0)</f>
        <v>1</v>
      </c>
      <c r="D92" s="9" t="n">
        <f aca="false">IF(Responses!D92=Responses!D$2,1,0)</f>
        <v>0</v>
      </c>
      <c r="E92" s="9" t="n">
        <f aca="false">IF(Responses!E92=Responses!E$2,1,0)</f>
        <v>1</v>
      </c>
      <c r="F92" s="9" t="n">
        <f aca="false">IF(Responses!F92=Responses!F$2,1,0)</f>
        <v>1</v>
      </c>
      <c r="G92" s="9" t="n">
        <f aca="false">IF(Responses!G92=Responses!G$2,1,0)</f>
        <v>0</v>
      </c>
      <c r="H92" s="9" t="n">
        <f aca="false">IF(Responses!H92=Responses!H$2,1,0)</f>
        <v>1</v>
      </c>
      <c r="I92" s="9" t="n">
        <f aca="false">IF(Responses!I92=Responses!I$2,1,0)</f>
        <v>1</v>
      </c>
      <c r="J92" s="9" t="n">
        <f aca="false">IF(Responses!J92=Responses!J$2,1,0)</f>
        <v>1</v>
      </c>
      <c r="K92" s="9" t="n">
        <f aca="false">IF(Responses!K92=Responses!K$2,1,0)</f>
        <v>1</v>
      </c>
      <c r="L92" s="9" t="n">
        <f aca="false">IF(Responses!L92=Responses!L$2,1,0)</f>
        <v>1</v>
      </c>
      <c r="M92" s="9" t="n">
        <f aca="false">IF(Responses!M92=Responses!M$2,1,0)</f>
        <v>1</v>
      </c>
      <c r="N92" s="9" t="n">
        <f aca="false">IF(Responses!N92=Responses!N$2,1,0)</f>
        <v>0</v>
      </c>
      <c r="O92" s="9" t="n">
        <f aca="false">IF(Responses!O92=Responses!O$2,1,0)</f>
        <v>1</v>
      </c>
      <c r="P92" s="9" t="n">
        <f aca="false">IF(Responses!P92=Responses!P$2,1,0)</f>
        <v>1</v>
      </c>
      <c r="Q92" s="9" t="n">
        <f aca="false">IF(Responses!Q92=Responses!Q$2,1,0)</f>
        <v>1</v>
      </c>
      <c r="R92" s="9" t="n">
        <f aca="false">IF(Responses!R92=Responses!R$2,1,0)</f>
        <v>1</v>
      </c>
      <c r="S92" s="9" t="n">
        <f aca="false">IF(Responses!S92=Responses!S$2,1,0)</f>
        <v>0</v>
      </c>
      <c r="T92" s="9" t="n">
        <f aca="false">IF(Responses!T92=Responses!T$2,1,0)</f>
        <v>0</v>
      </c>
      <c r="U92" s="9" t="n">
        <f aca="false">IF(Responses!U92=Responses!U$2,1,0)</f>
        <v>0</v>
      </c>
      <c r="V92" s="9" t="n">
        <f aca="false">IF(Responses!V92=Responses!V$2,1,0)</f>
        <v>1</v>
      </c>
      <c r="W92" s="9" t="n">
        <f aca="false">IF(Responses!W92=Responses!W$2,1,0)</f>
        <v>1</v>
      </c>
      <c r="X92" s="9" t="n">
        <f aca="false">IF(Responses!X92=Responses!X$2,1,0)</f>
        <v>0</v>
      </c>
      <c r="Y92" s="9" t="n">
        <f aca="false">IF(Responses!Y92=Responses!Y$2,1,0)</f>
        <v>1</v>
      </c>
      <c r="Z92" s="9" t="n">
        <f aca="false">IF(Responses!Z92=Responses!Z$2,1,0)</f>
        <v>1</v>
      </c>
      <c r="AA92" s="9" t="n">
        <f aca="false">IF(Responses!AA92=Responses!AA$2,1,0)</f>
        <v>1</v>
      </c>
      <c r="AB92" s="9" t="n">
        <f aca="false">IF(Responses!AB92=Responses!AB$2,1,0)</f>
        <v>0</v>
      </c>
      <c r="AC92" s="9" t="n">
        <f aca="false">IF(Responses!AC92=Responses!AC$2,1,0)</f>
        <v>0</v>
      </c>
      <c r="AD92" s="9" t="n">
        <f aca="false">IF(Responses!AD92=Responses!AD$2,1,0)</f>
        <v>1</v>
      </c>
      <c r="AE92" s="9" t="n">
        <f aca="false">IF(Responses!AE92=Responses!AE$2,1,0)</f>
        <v>1</v>
      </c>
      <c r="AF92" s="9" t="n">
        <f aca="false">SUM(B92:AE92)</f>
        <v>21</v>
      </c>
    </row>
    <row r="93" customFormat="false" ht="15" hidden="false" customHeight="false" outlineLevel="0" collapsed="false">
      <c r="A93" s="0" t="str">
        <f aca="false">Responses!A93</f>
        <v>S091</v>
      </c>
      <c r="B93" s="9" t="n">
        <f aca="false">IF(Responses!B93=Responses!B$2,1,0)</f>
        <v>0</v>
      </c>
      <c r="C93" s="9" t="n">
        <f aca="false">IF(Responses!C93=Responses!C$2,1,0)</f>
        <v>1</v>
      </c>
      <c r="D93" s="9" t="n">
        <f aca="false">IF(Responses!D93=Responses!D$2,1,0)</f>
        <v>1</v>
      </c>
      <c r="E93" s="9" t="n">
        <f aca="false">IF(Responses!E93=Responses!E$2,1,0)</f>
        <v>1</v>
      </c>
      <c r="F93" s="9" t="n">
        <f aca="false">IF(Responses!F93=Responses!F$2,1,0)</f>
        <v>0</v>
      </c>
      <c r="G93" s="9" t="n">
        <f aca="false">IF(Responses!G93=Responses!G$2,1,0)</f>
        <v>0</v>
      </c>
      <c r="H93" s="9" t="n">
        <f aca="false">IF(Responses!H93=Responses!H$2,1,0)</f>
        <v>0</v>
      </c>
      <c r="I93" s="9" t="n">
        <f aca="false">IF(Responses!I93=Responses!I$2,1,0)</f>
        <v>1</v>
      </c>
      <c r="J93" s="9" t="n">
        <f aca="false">IF(Responses!J93=Responses!J$2,1,0)</f>
        <v>1</v>
      </c>
      <c r="K93" s="9" t="n">
        <f aca="false">IF(Responses!K93=Responses!K$2,1,0)</f>
        <v>0</v>
      </c>
      <c r="L93" s="9" t="n">
        <f aca="false">IF(Responses!L93=Responses!L$2,1,0)</f>
        <v>0</v>
      </c>
      <c r="M93" s="9" t="n">
        <f aca="false">IF(Responses!M93=Responses!M$2,1,0)</f>
        <v>1</v>
      </c>
      <c r="N93" s="9" t="n">
        <f aca="false">IF(Responses!N93=Responses!N$2,1,0)</f>
        <v>1</v>
      </c>
      <c r="O93" s="9" t="n">
        <f aca="false">IF(Responses!O93=Responses!O$2,1,0)</f>
        <v>1</v>
      </c>
      <c r="P93" s="9" t="n">
        <f aca="false">IF(Responses!P93=Responses!P$2,1,0)</f>
        <v>0</v>
      </c>
      <c r="Q93" s="9" t="n">
        <f aca="false">IF(Responses!Q93=Responses!Q$2,1,0)</f>
        <v>1</v>
      </c>
      <c r="R93" s="9" t="n">
        <f aca="false">IF(Responses!R93=Responses!R$2,1,0)</f>
        <v>1</v>
      </c>
      <c r="S93" s="9" t="n">
        <f aca="false">IF(Responses!S93=Responses!S$2,1,0)</f>
        <v>0</v>
      </c>
      <c r="T93" s="9" t="n">
        <f aca="false">IF(Responses!T93=Responses!T$2,1,0)</f>
        <v>1</v>
      </c>
      <c r="U93" s="9" t="n">
        <f aca="false">IF(Responses!U93=Responses!U$2,1,0)</f>
        <v>0</v>
      </c>
      <c r="V93" s="9" t="n">
        <f aca="false">IF(Responses!V93=Responses!V$2,1,0)</f>
        <v>1</v>
      </c>
      <c r="W93" s="9" t="n">
        <f aca="false">IF(Responses!W93=Responses!W$2,1,0)</f>
        <v>0</v>
      </c>
      <c r="X93" s="9" t="n">
        <f aca="false">IF(Responses!X93=Responses!X$2,1,0)</f>
        <v>1</v>
      </c>
      <c r="Y93" s="9" t="n">
        <f aca="false">IF(Responses!Y93=Responses!Y$2,1,0)</f>
        <v>1</v>
      </c>
      <c r="Z93" s="9" t="n">
        <f aca="false">IF(Responses!Z93=Responses!Z$2,1,0)</f>
        <v>1</v>
      </c>
      <c r="AA93" s="9" t="n">
        <f aca="false">IF(Responses!AA93=Responses!AA$2,1,0)</f>
        <v>1</v>
      </c>
      <c r="AB93" s="9" t="n">
        <f aca="false">IF(Responses!AB93=Responses!AB$2,1,0)</f>
        <v>0</v>
      </c>
      <c r="AC93" s="9" t="n">
        <f aca="false">IF(Responses!AC93=Responses!AC$2,1,0)</f>
        <v>1</v>
      </c>
      <c r="AD93" s="9" t="n">
        <f aca="false">IF(Responses!AD93=Responses!AD$2,1,0)</f>
        <v>1</v>
      </c>
      <c r="AE93" s="9" t="n">
        <f aca="false">IF(Responses!AE93=Responses!AE$2,1,0)</f>
        <v>1</v>
      </c>
      <c r="AF93" s="9" t="n">
        <f aca="false">SUM(B93:AE93)</f>
        <v>19</v>
      </c>
    </row>
    <row r="94" customFormat="false" ht="15" hidden="false" customHeight="false" outlineLevel="0" collapsed="false">
      <c r="A94" s="0" t="str">
        <f aca="false">Responses!A94</f>
        <v>S092</v>
      </c>
      <c r="B94" s="9" t="n">
        <f aca="false">IF(Responses!B94=Responses!B$2,1,0)</f>
        <v>0</v>
      </c>
      <c r="C94" s="9" t="n">
        <f aca="false">IF(Responses!C94=Responses!C$2,1,0)</f>
        <v>0</v>
      </c>
      <c r="D94" s="9" t="n">
        <f aca="false">IF(Responses!D94=Responses!D$2,1,0)</f>
        <v>1</v>
      </c>
      <c r="E94" s="9" t="n">
        <f aca="false">IF(Responses!E94=Responses!E$2,1,0)</f>
        <v>1</v>
      </c>
      <c r="F94" s="9" t="n">
        <f aca="false">IF(Responses!F94=Responses!F$2,1,0)</f>
        <v>0</v>
      </c>
      <c r="G94" s="9" t="n">
        <f aca="false">IF(Responses!G94=Responses!G$2,1,0)</f>
        <v>0</v>
      </c>
      <c r="H94" s="9" t="n">
        <f aca="false">IF(Responses!H94=Responses!H$2,1,0)</f>
        <v>1</v>
      </c>
      <c r="I94" s="9" t="n">
        <f aca="false">IF(Responses!I94=Responses!I$2,1,0)</f>
        <v>0</v>
      </c>
      <c r="J94" s="9" t="n">
        <f aca="false">IF(Responses!J94=Responses!J$2,1,0)</f>
        <v>1</v>
      </c>
      <c r="K94" s="9" t="n">
        <f aca="false">IF(Responses!K94=Responses!K$2,1,0)</f>
        <v>0</v>
      </c>
      <c r="L94" s="9" t="n">
        <f aca="false">IF(Responses!L94=Responses!L$2,1,0)</f>
        <v>1</v>
      </c>
      <c r="M94" s="9" t="n">
        <f aca="false">IF(Responses!M94=Responses!M$2,1,0)</f>
        <v>0</v>
      </c>
      <c r="N94" s="9" t="n">
        <f aca="false">IF(Responses!N94=Responses!N$2,1,0)</f>
        <v>1</v>
      </c>
      <c r="O94" s="9" t="n">
        <f aca="false">IF(Responses!O94=Responses!O$2,1,0)</f>
        <v>0</v>
      </c>
      <c r="P94" s="9" t="n">
        <f aca="false">IF(Responses!P94=Responses!P$2,1,0)</f>
        <v>0</v>
      </c>
      <c r="Q94" s="9" t="n">
        <f aca="false">IF(Responses!Q94=Responses!Q$2,1,0)</f>
        <v>0</v>
      </c>
      <c r="R94" s="9" t="n">
        <f aca="false">IF(Responses!R94=Responses!R$2,1,0)</f>
        <v>0</v>
      </c>
      <c r="S94" s="9" t="n">
        <f aca="false">IF(Responses!S94=Responses!S$2,1,0)</f>
        <v>0</v>
      </c>
      <c r="T94" s="9" t="n">
        <f aca="false">IF(Responses!T94=Responses!T$2,1,0)</f>
        <v>0</v>
      </c>
      <c r="U94" s="9" t="n">
        <f aca="false">IF(Responses!U94=Responses!U$2,1,0)</f>
        <v>0</v>
      </c>
      <c r="V94" s="9" t="n">
        <f aca="false">IF(Responses!V94=Responses!V$2,1,0)</f>
        <v>0</v>
      </c>
      <c r="W94" s="9" t="n">
        <f aca="false">IF(Responses!W94=Responses!W$2,1,0)</f>
        <v>0</v>
      </c>
      <c r="X94" s="9" t="n">
        <f aca="false">IF(Responses!X94=Responses!X$2,1,0)</f>
        <v>0</v>
      </c>
      <c r="Y94" s="9" t="n">
        <f aca="false">IF(Responses!Y94=Responses!Y$2,1,0)</f>
        <v>0</v>
      </c>
      <c r="Z94" s="9" t="n">
        <f aca="false">IF(Responses!Z94=Responses!Z$2,1,0)</f>
        <v>0</v>
      </c>
      <c r="AA94" s="9" t="n">
        <f aca="false">IF(Responses!AA94=Responses!AA$2,1,0)</f>
        <v>0</v>
      </c>
      <c r="AB94" s="9" t="n">
        <f aca="false">IF(Responses!AB94=Responses!AB$2,1,0)</f>
        <v>0</v>
      </c>
      <c r="AC94" s="9" t="n">
        <f aca="false">IF(Responses!AC94=Responses!AC$2,1,0)</f>
        <v>0</v>
      </c>
      <c r="AD94" s="9" t="n">
        <f aca="false">IF(Responses!AD94=Responses!AD$2,1,0)</f>
        <v>0</v>
      </c>
      <c r="AE94" s="9" t="n">
        <f aca="false">IF(Responses!AE94=Responses!AE$2,1,0)</f>
        <v>0</v>
      </c>
      <c r="AF94" s="9" t="n">
        <f aca="false">SUM(B94:AE94)</f>
        <v>6</v>
      </c>
    </row>
    <row r="95" customFormat="false" ht="15" hidden="false" customHeight="false" outlineLevel="0" collapsed="false">
      <c r="A95" s="0" t="str">
        <f aca="false">Responses!A95</f>
        <v>S093</v>
      </c>
      <c r="B95" s="9" t="n">
        <f aca="false">IF(Responses!B95=Responses!B$2,1,0)</f>
        <v>0</v>
      </c>
      <c r="C95" s="9" t="n">
        <f aca="false">IF(Responses!C95=Responses!C$2,1,0)</f>
        <v>1</v>
      </c>
      <c r="D95" s="9" t="n">
        <f aca="false">IF(Responses!D95=Responses!D$2,1,0)</f>
        <v>0</v>
      </c>
      <c r="E95" s="9" t="n">
        <f aca="false">IF(Responses!E95=Responses!E$2,1,0)</f>
        <v>0</v>
      </c>
      <c r="F95" s="9" t="n">
        <f aca="false">IF(Responses!F95=Responses!F$2,1,0)</f>
        <v>0</v>
      </c>
      <c r="G95" s="9" t="n">
        <f aca="false">IF(Responses!G95=Responses!G$2,1,0)</f>
        <v>0</v>
      </c>
      <c r="H95" s="9" t="n">
        <f aca="false">IF(Responses!H95=Responses!H$2,1,0)</f>
        <v>1</v>
      </c>
      <c r="I95" s="9" t="n">
        <f aca="false">IF(Responses!I95=Responses!I$2,1,0)</f>
        <v>0</v>
      </c>
      <c r="J95" s="9" t="n">
        <f aca="false">IF(Responses!J95=Responses!J$2,1,0)</f>
        <v>1</v>
      </c>
      <c r="K95" s="9" t="n">
        <f aca="false">IF(Responses!K95=Responses!K$2,1,0)</f>
        <v>0</v>
      </c>
      <c r="L95" s="9" t="n">
        <f aca="false">IF(Responses!L95=Responses!L$2,1,0)</f>
        <v>1</v>
      </c>
      <c r="M95" s="9" t="n">
        <f aca="false">IF(Responses!M95=Responses!M$2,1,0)</f>
        <v>1</v>
      </c>
      <c r="N95" s="9" t="n">
        <f aca="false">IF(Responses!N95=Responses!N$2,1,0)</f>
        <v>0</v>
      </c>
      <c r="O95" s="9" t="n">
        <f aca="false">IF(Responses!O95=Responses!O$2,1,0)</f>
        <v>0</v>
      </c>
      <c r="P95" s="9" t="n">
        <f aca="false">IF(Responses!P95=Responses!P$2,1,0)</f>
        <v>1</v>
      </c>
      <c r="Q95" s="9" t="n">
        <f aca="false">IF(Responses!Q95=Responses!Q$2,1,0)</f>
        <v>0</v>
      </c>
      <c r="R95" s="9" t="n">
        <f aca="false">IF(Responses!R95=Responses!R$2,1,0)</f>
        <v>1</v>
      </c>
      <c r="S95" s="9" t="n">
        <f aca="false">IF(Responses!S95=Responses!S$2,1,0)</f>
        <v>0</v>
      </c>
      <c r="T95" s="9" t="n">
        <f aca="false">IF(Responses!T95=Responses!T$2,1,0)</f>
        <v>0</v>
      </c>
      <c r="U95" s="9" t="n">
        <f aca="false">IF(Responses!U95=Responses!U$2,1,0)</f>
        <v>0</v>
      </c>
      <c r="V95" s="9" t="n">
        <f aca="false">IF(Responses!V95=Responses!V$2,1,0)</f>
        <v>0</v>
      </c>
      <c r="W95" s="9" t="n">
        <f aca="false">IF(Responses!W95=Responses!W$2,1,0)</f>
        <v>0</v>
      </c>
      <c r="X95" s="9" t="n">
        <f aca="false">IF(Responses!X95=Responses!X$2,1,0)</f>
        <v>0</v>
      </c>
      <c r="Y95" s="9" t="n">
        <f aca="false">IF(Responses!Y95=Responses!Y$2,1,0)</f>
        <v>1</v>
      </c>
      <c r="Z95" s="9" t="n">
        <f aca="false">IF(Responses!Z95=Responses!Z$2,1,0)</f>
        <v>0</v>
      </c>
      <c r="AA95" s="9" t="n">
        <f aca="false">IF(Responses!AA95=Responses!AA$2,1,0)</f>
        <v>0</v>
      </c>
      <c r="AB95" s="9" t="n">
        <f aca="false">IF(Responses!AB95=Responses!AB$2,1,0)</f>
        <v>0</v>
      </c>
      <c r="AC95" s="9" t="n">
        <f aca="false">IF(Responses!AC95=Responses!AC$2,1,0)</f>
        <v>0</v>
      </c>
      <c r="AD95" s="9" t="n">
        <f aca="false">IF(Responses!AD95=Responses!AD$2,1,0)</f>
        <v>0</v>
      </c>
      <c r="AE95" s="9" t="n">
        <f aca="false">IF(Responses!AE95=Responses!AE$2,1,0)</f>
        <v>0</v>
      </c>
      <c r="AF95" s="9" t="n">
        <f aca="false">SUM(B95:AE95)</f>
        <v>8</v>
      </c>
    </row>
    <row r="96" customFormat="false" ht="15" hidden="false" customHeight="false" outlineLevel="0" collapsed="false">
      <c r="A96" s="0" t="str">
        <f aca="false">Responses!A96</f>
        <v>S094</v>
      </c>
      <c r="B96" s="9" t="n">
        <f aca="false">IF(Responses!B96=Responses!B$2,1,0)</f>
        <v>0</v>
      </c>
      <c r="C96" s="9" t="n">
        <f aca="false">IF(Responses!C96=Responses!C$2,1,0)</f>
        <v>0</v>
      </c>
      <c r="D96" s="9" t="n">
        <f aca="false">IF(Responses!D96=Responses!D$2,1,0)</f>
        <v>0</v>
      </c>
      <c r="E96" s="9" t="n">
        <f aca="false">IF(Responses!E96=Responses!E$2,1,0)</f>
        <v>1</v>
      </c>
      <c r="F96" s="9" t="n">
        <f aca="false">IF(Responses!F96=Responses!F$2,1,0)</f>
        <v>1</v>
      </c>
      <c r="G96" s="9" t="n">
        <f aca="false">IF(Responses!G96=Responses!G$2,1,0)</f>
        <v>0</v>
      </c>
      <c r="H96" s="9" t="n">
        <f aca="false">IF(Responses!H96=Responses!H$2,1,0)</f>
        <v>0</v>
      </c>
      <c r="I96" s="9" t="n">
        <f aca="false">IF(Responses!I96=Responses!I$2,1,0)</f>
        <v>0</v>
      </c>
      <c r="J96" s="9" t="n">
        <f aca="false">IF(Responses!J96=Responses!J$2,1,0)</f>
        <v>0</v>
      </c>
      <c r="K96" s="9" t="n">
        <f aca="false">IF(Responses!K96=Responses!K$2,1,0)</f>
        <v>0</v>
      </c>
      <c r="L96" s="9" t="n">
        <f aca="false">IF(Responses!L96=Responses!L$2,1,0)</f>
        <v>0</v>
      </c>
      <c r="M96" s="9" t="n">
        <f aca="false">IF(Responses!M96=Responses!M$2,1,0)</f>
        <v>0</v>
      </c>
      <c r="N96" s="9" t="n">
        <f aca="false">IF(Responses!N96=Responses!N$2,1,0)</f>
        <v>0</v>
      </c>
      <c r="O96" s="9" t="n">
        <f aca="false">IF(Responses!O96=Responses!O$2,1,0)</f>
        <v>0</v>
      </c>
      <c r="P96" s="9" t="n">
        <f aca="false">IF(Responses!P96=Responses!P$2,1,0)</f>
        <v>0</v>
      </c>
      <c r="Q96" s="9" t="n">
        <f aca="false">IF(Responses!Q96=Responses!Q$2,1,0)</f>
        <v>0</v>
      </c>
      <c r="R96" s="9" t="n">
        <f aca="false">IF(Responses!R96=Responses!R$2,1,0)</f>
        <v>0</v>
      </c>
      <c r="S96" s="9" t="n">
        <f aca="false">IF(Responses!S96=Responses!S$2,1,0)</f>
        <v>0</v>
      </c>
      <c r="T96" s="9" t="n">
        <f aca="false">IF(Responses!T96=Responses!T$2,1,0)</f>
        <v>1</v>
      </c>
      <c r="U96" s="9" t="n">
        <f aca="false">IF(Responses!U96=Responses!U$2,1,0)</f>
        <v>0</v>
      </c>
      <c r="V96" s="9" t="n">
        <f aca="false">IF(Responses!V96=Responses!V$2,1,0)</f>
        <v>0</v>
      </c>
      <c r="W96" s="9" t="n">
        <f aca="false">IF(Responses!W96=Responses!W$2,1,0)</f>
        <v>0</v>
      </c>
      <c r="X96" s="9" t="n">
        <f aca="false">IF(Responses!X96=Responses!X$2,1,0)</f>
        <v>0</v>
      </c>
      <c r="Y96" s="9" t="n">
        <f aca="false">IF(Responses!Y96=Responses!Y$2,1,0)</f>
        <v>0</v>
      </c>
      <c r="Z96" s="9" t="n">
        <f aca="false">IF(Responses!Z96=Responses!Z$2,1,0)</f>
        <v>0</v>
      </c>
      <c r="AA96" s="9" t="n">
        <f aca="false">IF(Responses!AA96=Responses!AA$2,1,0)</f>
        <v>0</v>
      </c>
      <c r="AB96" s="9" t="n">
        <f aca="false">IF(Responses!AB96=Responses!AB$2,1,0)</f>
        <v>1</v>
      </c>
      <c r="AC96" s="9" t="n">
        <f aca="false">IF(Responses!AC96=Responses!AC$2,1,0)</f>
        <v>0</v>
      </c>
      <c r="AD96" s="9" t="n">
        <f aca="false">IF(Responses!AD96=Responses!AD$2,1,0)</f>
        <v>1</v>
      </c>
      <c r="AE96" s="9" t="n">
        <f aca="false">IF(Responses!AE96=Responses!AE$2,1,0)</f>
        <v>0</v>
      </c>
      <c r="AF96" s="9" t="n">
        <f aca="false">SUM(B96:AE96)</f>
        <v>5</v>
      </c>
    </row>
    <row r="97" customFormat="false" ht="15" hidden="false" customHeight="false" outlineLevel="0" collapsed="false">
      <c r="A97" s="0" t="str">
        <f aca="false">Responses!A97</f>
        <v>S095</v>
      </c>
      <c r="B97" s="9" t="n">
        <f aca="false">IF(Responses!B97=Responses!B$2,1,0)</f>
        <v>0</v>
      </c>
      <c r="C97" s="9" t="n">
        <f aca="false">IF(Responses!C97=Responses!C$2,1,0)</f>
        <v>0</v>
      </c>
      <c r="D97" s="9" t="n">
        <f aca="false">IF(Responses!D97=Responses!D$2,1,0)</f>
        <v>0</v>
      </c>
      <c r="E97" s="9" t="n">
        <f aca="false">IF(Responses!E97=Responses!E$2,1,0)</f>
        <v>1</v>
      </c>
      <c r="F97" s="9" t="n">
        <f aca="false">IF(Responses!F97=Responses!F$2,1,0)</f>
        <v>0</v>
      </c>
      <c r="G97" s="9" t="n">
        <f aca="false">IF(Responses!G97=Responses!G$2,1,0)</f>
        <v>0</v>
      </c>
      <c r="H97" s="9" t="n">
        <f aca="false">IF(Responses!H97=Responses!H$2,1,0)</f>
        <v>0</v>
      </c>
      <c r="I97" s="9" t="n">
        <f aca="false">IF(Responses!I97=Responses!I$2,1,0)</f>
        <v>1</v>
      </c>
      <c r="J97" s="9" t="n">
        <f aca="false">IF(Responses!J97=Responses!J$2,1,0)</f>
        <v>1</v>
      </c>
      <c r="K97" s="9" t="n">
        <f aca="false">IF(Responses!K97=Responses!K$2,1,0)</f>
        <v>1</v>
      </c>
      <c r="L97" s="9" t="n">
        <f aca="false">IF(Responses!L97=Responses!L$2,1,0)</f>
        <v>1</v>
      </c>
      <c r="M97" s="9" t="n">
        <f aca="false">IF(Responses!M97=Responses!M$2,1,0)</f>
        <v>1</v>
      </c>
      <c r="N97" s="9" t="n">
        <f aca="false">IF(Responses!N97=Responses!N$2,1,0)</f>
        <v>0</v>
      </c>
      <c r="O97" s="9" t="n">
        <f aca="false">IF(Responses!O97=Responses!O$2,1,0)</f>
        <v>0</v>
      </c>
      <c r="P97" s="9" t="n">
        <f aca="false">IF(Responses!P97=Responses!P$2,1,0)</f>
        <v>1</v>
      </c>
      <c r="Q97" s="9" t="n">
        <f aca="false">IF(Responses!Q97=Responses!Q$2,1,0)</f>
        <v>1</v>
      </c>
      <c r="R97" s="9" t="n">
        <f aca="false">IF(Responses!R97=Responses!R$2,1,0)</f>
        <v>1</v>
      </c>
      <c r="S97" s="9" t="n">
        <f aca="false">IF(Responses!S97=Responses!S$2,1,0)</f>
        <v>0</v>
      </c>
      <c r="T97" s="9" t="n">
        <f aca="false">IF(Responses!T97=Responses!T$2,1,0)</f>
        <v>0</v>
      </c>
      <c r="U97" s="9" t="n">
        <f aca="false">IF(Responses!U97=Responses!U$2,1,0)</f>
        <v>1</v>
      </c>
      <c r="V97" s="9" t="n">
        <f aca="false">IF(Responses!V97=Responses!V$2,1,0)</f>
        <v>0</v>
      </c>
      <c r="W97" s="9" t="n">
        <f aca="false">IF(Responses!W97=Responses!W$2,1,0)</f>
        <v>0</v>
      </c>
      <c r="X97" s="9" t="n">
        <f aca="false">IF(Responses!X97=Responses!X$2,1,0)</f>
        <v>1</v>
      </c>
      <c r="Y97" s="9" t="n">
        <f aca="false">IF(Responses!Y97=Responses!Y$2,1,0)</f>
        <v>1</v>
      </c>
      <c r="Z97" s="9" t="n">
        <f aca="false">IF(Responses!Z97=Responses!Z$2,1,0)</f>
        <v>1</v>
      </c>
      <c r="AA97" s="9" t="n">
        <f aca="false">IF(Responses!AA97=Responses!AA$2,1,0)</f>
        <v>0</v>
      </c>
      <c r="AB97" s="9" t="n">
        <f aca="false">IF(Responses!AB97=Responses!AB$2,1,0)</f>
        <v>1</v>
      </c>
      <c r="AC97" s="9" t="n">
        <f aca="false">IF(Responses!AC97=Responses!AC$2,1,0)</f>
        <v>0</v>
      </c>
      <c r="AD97" s="9" t="n">
        <f aca="false">IF(Responses!AD97=Responses!AD$2,1,0)</f>
        <v>0</v>
      </c>
      <c r="AE97" s="9" t="n">
        <f aca="false">IF(Responses!AE97=Responses!AE$2,1,0)</f>
        <v>1</v>
      </c>
      <c r="AF97" s="9" t="n">
        <f aca="false">SUM(B97:AE97)</f>
        <v>15</v>
      </c>
    </row>
    <row r="98" customFormat="false" ht="15" hidden="false" customHeight="false" outlineLevel="0" collapsed="false">
      <c r="A98" s="0" t="str">
        <f aca="false">Responses!A98</f>
        <v>S096</v>
      </c>
      <c r="B98" s="9" t="n">
        <f aca="false">IF(Responses!B98=Responses!B$2,1,0)</f>
        <v>1</v>
      </c>
      <c r="C98" s="9" t="n">
        <f aca="false">IF(Responses!C98=Responses!C$2,1,0)</f>
        <v>1</v>
      </c>
      <c r="D98" s="9" t="n">
        <f aca="false">IF(Responses!D98=Responses!D$2,1,0)</f>
        <v>1</v>
      </c>
      <c r="E98" s="9" t="n">
        <f aca="false">IF(Responses!E98=Responses!E$2,1,0)</f>
        <v>1</v>
      </c>
      <c r="F98" s="9" t="n">
        <f aca="false">IF(Responses!F98=Responses!F$2,1,0)</f>
        <v>1</v>
      </c>
      <c r="G98" s="9" t="n">
        <f aca="false">IF(Responses!G98=Responses!G$2,1,0)</f>
        <v>1</v>
      </c>
      <c r="H98" s="9" t="n">
        <f aca="false">IF(Responses!H98=Responses!H$2,1,0)</f>
        <v>0</v>
      </c>
      <c r="I98" s="9" t="n">
        <f aca="false">IF(Responses!I98=Responses!I$2,1,0)</f>
        <v>1</v>
      </c>
      <c r="J98" s="9" t="n">
        <f aca="false">IF(Responses!J98=Responses!J$2,1,0)</f>
        <v>1</v>
      </c>
      <c r="K98" s="9" t="n">
        <f aca="false">IF(Responses!K98=Responses!K$2,1,0)</f>
        <v>1</v>
      </c>
      <c r="L98" s="9" t="n">
        <f aca="false">IF(Responses!L98=Responses!L$2,1,0)</f>
        <v>1</v>
      </c>
      <c r="M98" s="9" t="n">
        <f aca="false">IF(Responses!M98=Responses!M$2,1,0)</f>
        <v>1</v>
      </c>
      <c r="N98" s="9" t="n">
        <f aca="false">IF(Responses!N98=Responses!N$2,1,0)</f>
        <v>1</v>
      </c>
      <c r="O98" s="9" t="n">
        <f aca="false">IF(Responses!O98=Responses!O$2,1,0)</f>
        <v>1</v>
      </c>
      <c r="P98" s="9" t="n">
        <f aca="false">IF(Responses!P98=Responses!P$2,1,0)</f>
        <v>1</v>
      </c>
      <c r="Q98" s="9" t="n">
        <f aca="false">IF(Responses!Q98=Responses!Q$2,1,0)</f>
        <v>1</v>
      </c>
      <c r="R98" s="9" t="n">
        <f aca="false">IF(Responses!R98=Responses!R$2,1,0)</f>
        <v>1</v>
      </c>
      <c r="S98" s="9" t="n">
        <f aca="false">IF(Responses!S98=Responses!S$2,1,0)</f>
        <v>0</v>
      </c>
      <c r="T98" s="9" t="n">
        <f aca="false">IF(Responses!T98=Responses!T$2,1,0)</f>
        <v>1</v>
      </c>
      <c r="U98" s="9" t="n">
        <f aca="false">IF(Responses!U98=Responses!U$2,1,0)</f>
        <v>1</v>
      </c>
      <c r="V98" s="9" t="n">
        <f aca="false">IF(Responses!V98=Responses!V$2,1,0)</f>
        <v>1</v>
      </c>
      <c r="W98" s="9" t="n">
        <f aca="false">IF(Responses!W98=Responses!W$2,1,0)</f>
        <v>1</v>
      </c>
      <c r="X98" s="9" t="n">
        <f aca="false">IF(Responses!X98=Responses!X$2,1,0)</f>
        <v>1</v>
      </c>
      <c r="Y98" s="9" t="n">
        <f aca="false">IF(Responses!Y98=Responses!Y$2,1,0)</f>
        <v>1</v>
      </c>
      <c r="Z98" s="9" t="n">
        <f aca="false">IF(Responses!Z98=Responses!Z$2,1,0)</f>
        <v>1</v>
      </c>
      <c r="AA98" s="9" t="n">
        <f aca="false">IF(Responses!AA98=Responses!AA$2,1,0)</f>
        <v>1</v>
      </c>
      <c r="AB98" s="9" t="n">
        <f aca="false">IF(Responses!AB98=Responses!AB$2,1,0)</f>
        <v>0</v>
      </c>
      <c r="AC98" s="9" t="n">
        <f aca="false">IF(Responses!AC98=Responses!AC$2,1,0)</f>
        <v>1</v>
      </c>
      <c r="AD98" s="9" t="n">
        <f aca="false">IF(Responses!AD98=Responses!AD$2,1,0)</f>
        <v>1</v>
      </c>
      <c r="AE98" s="9" t="n">
        <f aca="false">IF(Responses!AE98=Responses!AE$2,1,0)</f>
        <v>1</v>
      </c>
      <c r="AF98" s="9" t="n">
        <f aca="false">SUM(B98:AE98)</f>
        <v>27</v>
      </c>
    </row>
    <row r="99" customFormat="false" ht="15" hidden="false" customHeight="false" outlineLevel="0" collapsed="false">
      <c r="A99" s="0" t="str">
        <f aca="false">Responses!A99</f>
        <v>S097</v>
      </c>
      <c r="B99" s="9" t="n">
        <f aca="false">IF(Responses!B99=Responses!B$2,1,0)</f>
        <v>0</v>
      </c>
      <c r="C99" s="9" t="n">
        <f aca="false">IF(Responses!C99=Responses!C$2,1,0)</f>
        <v>0</v>
      </c>
      <c r="D99" s="9" t="n">
        <f aca="false">IF(Responses!D99=Responses!D$2,1,0)</f>
        <v>1</v>
      </c>
      <c r="E99" s="9" t="n">
        <f aca="false">IF(Responses!E99=Responses!E$2,1,0)</f>
        <v>1</v>
      </c>
      <c r="F99" s="9" t="n">
        <f aca="false">IF(Responses!F99=Responses!F$2,1,0)</f>
        <v>0</v>
      </c>
      <c r="G99" s="9" t="n">
        <f aca="false">IF(Responses!G99=Responses!G$2,1,0)</f>
        <v>0</v>
      </c>
      <c r="H99" s="9" t="n">
        <f aca="false">IF(Responses!H99=Responses!H$2,1,0)</f>
        <v>0</v>
      </c>
      <c r="I99" s="9" t="n">
        <f aca="false">IF(Responses!I99=Responses!I$2,1,0)</f>
        <v>1</v>
      </c>
      <c r="J99" s="9" t="n">
        <f aca="false">IF(Responses!J99=Responses!J$2,1,0)</f>
        <v>1</v>
      </c>
      <c r="K99" s="9" t="n">
        <f aca="false">IF(Responses!K99=Responses!K$2,1,0)</f>
        <v>0</v>
      </c>
      <c r="L99" s="9" t="n">
        <f aca="false">IF(Responses!L99=Responses!L$2,1,0)</f>
        <v>1</v>
      </c>
      <c r="M99" s="9" t="n">
        <f aca="false">IF(Responses!M99=Responses!M$2,1,0)</f>
        <v>1</v>
      </c>
      <c r="N99" s="9" t="n">
        <f aca="false">IF(Responses!N99=Responses!N$2,1,0)</f>
        <v>0</v>
      </c>
      <c r="O99" s="9" t="n">
        <f aca="false">IF(Responses!O99=Responses!O$2,1,0)</f>
        <v>0</v>
      </c>
      <c r="P99" s="9" t="n">
        <f aca="false">IF(Responses!P99=Responses!P$2,1,0)</f>
        <v>0</v>
      </c>
      <c r="Q99" s="9" t="n">
        <f aca="false">IF(Responses!Q99=Responses!Q$2,1,0)</f>
        <v>1</v>
      </c>
      <c r="R99" s="9" t="n">
        <f aca="false">IF(Responses!R99=Responses!R$2,1,0)</f>
        <v>1</v>
      </c>
      <c r="S99" s="9" t="n">
        <f aca="false">IF(Responses!S99=Responses!S$2,1,0)</f>
        <v>0</v>
      </c>
      <c r="T99" s="9" t="n">
        <f aca="false">IF(Responses!T99=Responses!T$2,1,0)</f>
        <v>1</v>
      </c>
      <c r="U99" s="9" t="n">
        <f aca="false">IF(Responses!U99=Responses!U$2,1,0)</f>
        <v>1</v>
      </c>
      <c r="V99" s="9" t="n">
        <f aca="false">IF(Responses!V99=Responses!V$2,1,0)</f>
        <v>0</v>
      </c>
      <c r="W99" s="9" t="n">
        <f aca="false">IF(Responses!W99=Responses!W$2,1,0)</f>
        <v>0</v>
      </c>
      <c r="X99" s="9" t="n">
        <f aca="false">IF(Responses!X99=Responses!X$2,1,0)</f>
        <v>1</v>
      </c>
      <c r="Y99" s="9" t="n">
        <f aca="false">IF(Responses!Y99=Responses!Y$2,1,0)</f>
        <v>0</v>
      </c>
      <c r="Z99" s="9" t="n">
        <f aca="false">IF(Responses!Z99=Responses!Z$2,1,0)</f>
        <v>0</v>
      </c>
      <c r="AA99" s="9" t="n">
        <f aca="false">IF(Responses!AA99=Responses!AA$2,1,0)</f>
        <v>0</v>
      </c>
      <c r="AB99" s="9" t="n">
        <f aca="false">IF(Responses!AB99=Responses!AB$2,1,0)</f>
        <v>0</v>
      </c>
      <c r="AC99" s="9" t="n">
        <f aca="false">IF(Responses!AC99=Responses!AC$2,1,0)</f>
        <v>1</v>
      </c>
      <c r="AD99" s="9" t="n">
        <f aca="false">IF(Responses!AD99=Responses!AD$2,1,0)</f>
        <v>0</v>
      </c>
      <c r="AE99" s="9" t="n">
        <f aca="false">IF(Responses!AE99=Responses!AE$2,1,0)</f>
        <v>0</v>
      </c>
      <c r="AF99" s="9" t="n">
        <f aca="false">SUM(B99:AE99)</f>
        <v>12</v>
      </c>
    </row>
    <row r="100" customFormat="false" ht="15" hidden="false" customHeight="false" outlineLevel="0" collapsed="false">
      <c r="A100" s="0" t="str">
        <f aca="false">Responses!A100</f>
        <v>S098</v>
      </c>
      <c r="B100" s="9" t="n">
        <f aca="false">IF(Responses!B100=Responses!B$2,1,0)</f>
        <v>1</v>
      </c>
      <c r="C100" s="9" t="n">
        <f aca="false">IF(Responses!C100=Responses!C$2,1,0)</f>
        <v>0</v>
      </c>
      <c r="D100" s="9" t="n">
        <f aca="false">IF(Responses!D100=Responses!D$2,1,0)</f>
        <v>0</v>
      </c>
      <c r="E100" s="9" t="n">
        <f aca="false">IF(Responses!E100=Responses!E$2,1,0)</f>
        <v>0</v>
      </c>
      <c r="F100" s="9" t="n">
        <f aca="false">IF(Responses!F100=Responses!F$2,1,0)</f>
        <v>0</v>
      </c>
      <c r="G100" s="9" t="n">
        <f aca="false">IF(Responses!G100=Responses!G$2,1,0)</f>
        <v>1</v>
      </c>
      <c r="H100" s="9" t="n">
        <f aca="false">IF(Responses!H100=Responses!H$2,1,0)</f>
        <v>0</v>
      </c>
      <c r="I100" s="9" t="n">
        <f aca="false">IF(Responses!I100=Responses!I$2,1,0)</f>
        <v>0</v>
      </c>
      <c r="J100" s="9" t="n">
        <f aca="false">IF(Responses!J100=Responses!J$2,1,0)</f>
        <v>1</v>
      </c>
      <c r="K100" s="9" t="n">
        <f aca="false">IF(Responses!K100=Responses!K$2,1,0)</f>
        <v>1</v>
      </c>
      <c r="L100" s="9" t="n">
        <f aca="false">IF(Responses!L100=Responses!L$2,1,0)</f>
        <v>1</v>
      </c>
      <c r="M100" s="9" t="n">
        <f aca="false">IF(Responses!M100=Responses!M$2,1,0)</f>
        <v>1</v>
      </c>
      <c r="N100" s="9" t="n">
        <f aca="false">IF(Responses!N100=Responses!N$2,1,0)</f>
        <v>0</v>
      </c>
      <c r="O100" s="9" t="n">
        <f aca="false">IF(Responses!O100=Responses!O$2,1,0)</f>
        <v>1</v>
      </c>
      <c r="P100" s="9" t="n">
        <f aca="false">IF(Responses!P100=Responses!P$2,1,0)</f>
        <v>1</v>
      </c>
      <c r="Q100" s="9" t="n">
        <f aca="false">IF(Responses!Q100=Responses!Q$2,1,0)</f>
        <v>1</v>
      </c>
      <c r="R100" s="9" t="n">
        <f aca="false">IF(Responses!R100=Responses!R$2,1,0)</f>
        <v>1</v>
      </c>
      <c r="S100" s="9" t="n">
        <f aca="false">IF(Responses!S100=Responses!S$2,1,0)</f>
        <v>0</v>
      </c>
      <c r="T100" s="9" t="n">
        <f aca="false">IF(Responses!T100=Responses!T$2,1,0)</f>
        <v>0</v>
      </c>
      <c r="U100" s="9" t="n">
        <f aca="false">IF(Responses!U100=Responses!U$2,1,0)</f>
        <v>1</v>
      </c>
      <c r="V100" s="9" t="n">
        <f aca="false">IF(Responses!V100=Responses!V$2,1,0)</f>
        <v>0</v>
      </c>
      <c r="W100" s="9" t="n">
        <f aca="false">IF(Responses!W100=Responses!W$2,1,0)</f>
        <v>0</v>
      </c>
      <c r="X100" s="9" t="n">
        <f aca="false">IF(Responses!X100=Responses!X$2,1,0)</f>
        <v>1</v>
      </c>
      <c r="Y100" s="9" t="n">
        <f aca="false">IF(Responses!Y100=Responses!Y$2,1,0)</f>
        <v>0</v>
      </c>
      <c r="Z100" s="9" t="n">
        <f aca="false">IF(Responses!Z100=Responses!Z$2,1,0)</f>
        <v>1</v>
      </c>
      <c r="AA100" s="9" t="n">
        <f aca="false">IF(Responses!AA100=Responses!AA$2,1,0)</f>
        <v>1</v>
      </c>
      <c r="AB100" s="9" t="n">
        <f aca="false">IF(Responses!AB100=Responses!AB$2,1,0)</f>
        <v>0</v>
      </c>
      <c r="AC100" s="9" t="n">
        <f aca="false">IF(Responses!AC100=Responses!AC$2,1,0)</f>
        <v>1</v>
      </c>
      <c r="AD100" s="9" t="n">
        <f aca="false">IF(Responses!AD100=Responses!AD$2,1,0)</f>
        <v>1</v>
      </c>
      <c r="AE100" s="9" t="n">
        <f aca="false">IF(Responses!AE100=Responses!AE$2,1,0)</f>
        <v>1</v>
      </c>
      <c r="AF100" s="9" t="n">
        <f aca="false">SUM(B100:AE100)</f>
        <v>17</v>
      </c>
    </row>
    <row r="101" customFormat="false" ht="15" hidden="false" customHeight="false" outlineLevel="0" collapsed="false">
      <c r="A101" s="0" t="str">
        <f aca="false">Responses!A101</f>
        <v>S099</v>
      </c>
      <c r="B101" s="9" t="n">
        <f aca="false">IF(Responses!B101=Responses!B$2,1,0)</f>
        <v>0</v>
      </c>
      <c r="C101" s="9" t="n">
        <f aca="false">IF(Responses!C101=Responses!C$2,1,0)</f>
        <v>0</v>
      </c>
      <c r="D101" s="9" t="n">
        <f aca="false">IF(Responses!D101=Responses!D$2,1,0)</f>
        <v>1</v>
      </c>
      <c r="E101" s="9" t="n">
        <f aca="false">IF(Responses!E101=Responses!E$2,1,0)</f>
        <v>0</v>
      </c>
      <c r="F101" s="9" t="n">
        <f aca="false">IF(Responses!F101=Responses!F$2,1,0)</f>
        <v>0</v>
      </c>
      <c r="G101" s="9" t="n">
        <f aca="false">IF(Responses!G101=Responses!G$2,1,0)</f>
        <v>0</v>
      </c>
      <c r="H101" s="9" t="n">
        <f aca="false">IF(Responses!H101=Responses!H$2,1,0)</f>
        <v>0</v>
      </c>
      <c r="I101" s="9" t="n">
        <f aca="false">IF(Responses!I101=Responses!I$2,1,0)</f>
        <v>1</v>
      </c>
      <c r="J101" s="9" t="n">
        <f aca="false">IF(Responses!J101=Responses!J$2,1,0)</f>
        <v>1</v>
      </c>
      <c r="K101" s="9" t="n">
        <f aca="false">IF(Responses!K101=Responses!K$2,1,0)</f>
        <v>0</v>
      </c>
      <c r="L101" s="9" t="n">
        <f aca="false">IF(Responses!L101=Responses!L$2,1,0)</f>
        <v>0</v>
      </c>
      <c r="M101" s="9" t="n">
        <f aca="false">IF(Responses!M101=Responses!M$2,1,0)</f>
        <v>1</v>
      </c>
      <c r="N101" s="9" t="n">
        <f aca="false">IF(Responses!N101=Responses!N$2,1,0)</f>
        <v>0</v>
      </c>
      <c r="O101" s="9" t="n">
        <f aca="false">IF(Responses!O101=Responses!O$2,1,0)</f>
        <v>0</v>
      </c>
      <c r="P101" s="9" t="n">
        <f aca="false">IF(Responses!P101=Responses!P$2,1,0)</f>
        <v>0</v>
      </c>
      <c r="Q101" s="9" t="n">
        <f aca="false">IF(Responses!Q101=Responses!Q$2,1,0)</f>
        <v>0</v>
      </c>
      <c r="R101" s="9" t="n">
        <f aca="false">IF(Responses!R101=Responses!R$2,1,0)</f>
        <v>1</v>
      </c>
      <c r="S101" s="9" t="n">
        <f aca="false">IF(Responses!S101=Responses!S$2,1,0)</f>
        <v>0</v>
      </c>
      <c r="T101" s="9" t="n">
        <f aca="false">IF(Responses!T101=Responses!T$2,1,0)</f>
        <v>0</v>
      </c>
      <c r="U101" s="9" t="n">
        <f aca="false">IF(Responses!U101=Responses!U$2,1,0)</f>
        <v>1</v>
      </c>
      <c r="V101" s="9" t="n">
        <f aca="false">IF(Responses!V101=Responses!V$2,1,0)</f>
        <v>0</v>
      </c>
      <c r="W101" s="9" t="n">
        <f aca="false">IF(Responses!W101=Responses!W$2,1,0)</f>
        <v>0</v>
      </c>
      <c r="X101" s="9" t="n">
        <f aca="false">IF(Responses!X101=Responses!X$2,1,0)</f>
        <v>0</v>
      </c>
      <c r="Y101" s="9" t="n">
        <f aca="false">IF(Responses!Y101=Responses!Y$2,1,0)</f>
        <v>1</v>
      </c>
      <c r="Z101" s="9" t="n">
        <f aca="false">IF(Responses!Z101=Responses!Z$2,1,0)</f>
        <v>0</v>
      </c>
      <c r="AA101" s="9" t="n">
        <f aca="false">IF(Responses!AA101=Responses!AA$2,1,0)</f>
        <v>0</v>
      </c>
      <c r="AB101" s="9" t="n">
        <f aca="false">IF(Responses!AB101=Responses!AB$2,1,0)</f>
        <v>1</v>
      </c>
      <c r="AC101" s="9" t="n">
        <f aca="false">IF(Responses!AC101=Responses!AC$2,1,0)</f>
        <v>0</v>
      </c>
      <c r="AD101" s="9" t="n">
        <f aca="false">IF(Responses!AD101=Responses!AD$2,1,0)</f>
        <v>0</v>
      </c>
      <c r="AE101" s="9" t="n">
        <f aca="false">IF(Responses!AE101=Responses!AE$2,1,0)</f>
        <v>0</v>
      </c>
      <c r="AF101" s="9" t="n">
        <f aca="false">SUM(B101:AE101)</f>
        <v>8</v>
      </c>
    </row>
    <row r="102" customFormat="false" ht="15" hidden="false" customHeight="false" outlineLevel="0" collapsed="false">
      <c r="A102" s="0" t="str">
        <f aca="false">Responses!A102</f>
        <v>S100</v>
      </c>
      <c r="B102" s="9" t="n">
        <f aca="false">IF(Responses!B102=Responses!B$2,1,0)</f>
        <v>0</v>
      </c>
      <c r="C102" s="9" t="n">
        <f aca="false">IF(Responses!C102=Responses!C$2,1,0)</f>
        <v>0</v>
      </c>
      <c r="D102" s="9" t="n">
        <f aca="false">IF(Responses!D102=Responses!D$2,1,0)</f>
        <v>1</v>
      </c>
      <c r="E102" s="9" t="n">
        <f aca="false">IF(Responses!E102=Responses!E$2,1,0)</f>
        <v>0</v>
      </c>
      <c r="F102" s="9" t="n">
        <f aca="false">IF(Responses!F102=Responses!F$2,1,0)</f>
        <v>0</v>
      </c>
      <c r="G102" s="9" t="n">
        <f aca="false">IF(Responses!G102=Responses!G$2,1,0)</f>
        <v>0</v>
      </c>
      <c r="H102" s="9" t="n">
        <f aca="false">IF(Responses!H102=Responses!H$2,1,0)</f>
        <v>1</v>
      </c>
      <c r="I102" s="9" t="n">
        <f aca="false">IF(Responses!I102=Responses!I$2,1,0)</f>
        <v>0</v>
      </c>
      <c r="J102" s="9" t="n">
        <f aca="false">IF(Responses!J102=Responses!J$2,1,0)</f>
        <v>1</v>
      </c>
      <c r="K102" s="9" t="n">
        <f aca="false">IF(Responses!K102=Responses!K$2,1,0)</f>
        <v>1</v>
      </c>
      <c r="L102" s="9" t="n">
        <f aca="false">IF(Responses!L102=Responses!L$2,1,0)</f>
        <v>0</v>
      </c>
      <c r="M102" s="9" t="n">
        <f aca="false">IF(Responses!M102=Responses!M$2,1,0)</f>
        <v>1</v>
      </c>
      <c r="N102" s="9" t="n">
        <f aca="false">IF(Responses!N102=Responses!N$2,1,0)</f>
        <v>1</v>
      </c>
      <c r="O102" s="9" t="n">
        <f aca="false">IF(Responses!O102=Responses!O$2,1,0)</f>
        <v>1</v>
      </c>
      <c r="P102" s="9" t="n">
        <f aca="false">IF(Responses!P102=Responses!P$2,1,0)</f>
        <v>1</v>
      </c>
      <c r="Q102" s="9" t="n">
        <f aca="false">IF(Responses!Q102=Responses!Q$2,1,0)</f>
        <v>1</v>
      </c>
      <c r="R102" s="9" t="n">
        <f aca="false">IF(Responses!R102=Responses!R$2,1,0)</f>
        <v>1</v>
      </c>
      <c r="S102" s="9" t="n">
        <f aca="false">IF(Responses!S102=Responses!S$2,1,0)</f>
        <v>0</v>
      </c>
      <c r="T102" s="9" t="n">
        <f aca="false">IF(Responses!T102=Responses!T$2,1,0)</f>
        <v>0</v>
      </c>
      <c r="U102" s="9" t="n">
        <f aca="false">IF(Responses!U102=Responses!U$2,1,0)</f>
        <v>0</v>
      </c>
      <c r="V102" s="9" t="n">
        <f aca="false">IF(Responses!V102=Responses!V$2,1,0)</f>
        <v>0</v>
      </c>
      <c r="W102" s="9" t="n">
        <f aca="false">IF(Responses!W102=Responses!W$2,1,0)</f>
        <v>1</v>
      </c>
      <c r="X102" s="9" t="n">
        <f aca="false">IF(Responses!X102=Responses!X$2,1,0)</f>
        <v>0</v>
      </c>
      <c r="Y102" s="9" t="n">
        <f aca="false">IF(Responses!Y102=Responses!Y$2,1,0)</f>
        <v>0</v>
      </c>
      <c r="Z102" s="9" t="n">
        <f aca="false">IF(Responses!Z102=Responses!Z$2,1,0)</f>
        <v>0</v>
      </c>
      <c r="AA102" s="9" t="n">
        <f aca="false">IF(Responses!AA102=Responses!AA$2,1,0)</f>
        <v>0</v>
      </c>
      <c r="AB102" s="9" t="n">
        <f aca="false">IF(Responses!AB102=Responses!AB$2,1,0)</f>
        <v>1</v>
      </c>
      <c r="AC102" s="9" t="n">
        <f aca="false">IF(Responses!AC102=Responses!AC$2,1,0)</f>
        <v>0</v>
      </c>
      <c r="AD102" s="9" t="n">
        <f aca="false">IF(Responses!AD102=Responses!AD$2,1,0)</f>
        <v>1</v>
      </c>
      <c r="AE102" s="9" t="n">
        <f aca="false">IF(Responses!AE102=Responses!AE$2,1,0)</f>
        <v>0</v>
      </c>
      <c r="AF102" s="9" t="n">
        <f aca="false">SUM(B102:AE102)</f>
        <v>13</v>
      </c>
    </row>
    <row r="103" customFormat="false" ht="15" hidden="false" customHeight="false" outlineLevel="0" collapsed="false">
      <c r="A103" s="0" t="str">
        <f aca="false">Responses!A103</f>
        <v>S101</v>
      </c>
      <c r="B103" s="9" t="n">
        <f aca="false">IF(Responses!B103=Responses!B$2,1,0)</f>
        <v>0</v>
      </c>
      <c r="C103" s="9" t="n">
        <f aca="false">IF(Responses!C103=Responses!C$2,1,0)</f>
        <v>0</v>
      </c>
      <c r="D103" s="9" t="n">
        <f aca="false">IF(Responses!D103=Responses!D$2,1,0)</f>
        <v>0</v>
      </c>
      <c r="E103" s="9" t="n">
        <f aca="false">IF(Responses!E103=Responses!E$2,1,0)</f>
        <v>0</v>
      </c>
      <c r="F103" s="9" t="n">
        <f aca="false">IF(Responses!F103=Responses!F$2,1,0)</f>
        <v>0</v>
      </c>
      <c r="G103" s="9" t="n">
        <f aca="false">IF(Responses!G103=Responses!G$2,1,0)</f>
        <v>0</v>
      </c>
      <c r="H103" s="9" t="n">
        <f aca="false">IF(Responses!H103=Responses!H$2,1,0)</f>
        <v>1</v>
      </c>
      <c r="I103" s="9" t="n">
        <f aca="false">IF(Responses!I103=Responses!I$2,1,0)</f>
        <v>0</v>
      </c>
      <c r="J103" s="9" t="n">
        <f aca="false">IF(Responses!J103=Responses!J$2,1,0)</f>
        <v>1</v>
      </c>
      <c r="K103" s="9" t="n">
        <f aca="false">IF(Responses!K103=Responses!K$2,1,0)</f>
        <v>0</v>
      </c>
      <c r="L103" s="9" t="n">
        <f aca="false">IF(Responses!L103=Responses!L$2,1,0)</f>
        <v>0</v>
      </c>
      <c r="M103" s="9" t="n">
        <f aca="false">IF(Responses!M103=Responses!M$2,1,0)</f>
        <v>1</v>
      </c>
      <c r="N103" s="9" t="n">
        <f aca="false">IF(Responses!N103=Responses!N$2,1,0)</f>
        <v>0</v>
      </c>
      <c r="O103" s="9" t="n">
        <f aca="false">IF(Responses!O103=Responses!O$2,1,0)</f>
        <v>0</v>
      </c>
      <c r="P103" s="9" t="n">
        <f aca="false">IF(Responses!P103=Responses!P$2,1,0)</f>
        <v>0</v>
      </c>
      <c r="Q103" s="9" t="n">
        <f aca="false">IF(Responses!Q103=Responses!Q$2,1,0)</f>
        <v>0</v>
      </c>
      <c r="R103" s="9" t="n">
        <f aca="false">IF(Responses!R103=Responses!R$2,1,0)</f>
        <v>0</v>
      </c>
      <c r="S103" s="9" t="n">
        <f aca="false">IF(Responses!S103=Responses!S$2,1,0)</f>
        <v>0</v>
      </c>
      <c r="T103" s="9" t="n">
        <f aca="false">IF(Responses!T103=Responses!T$2,1,0)</f>
        <v>1</v>
      </c>
      <c r="U103" s="9" t="n">
        <f aca="false">IF(Responses!U103=Responses!U$2,1,0)</f>
        <v>0</v>
      </c>
      <c r="V103" s="9" t="n">
        <f aca="false">IF(Responses!V103=Responses!V$2,1,0)</f>
        <v>0</v>
      </c>
      <c r="W103" s="9" t="n">
        <f aca="false">IF(Responses!W103=Responses!W$2,1,0)</f>
        <v>0</v>
      </c>
      <c r="X103" s="9" t="n">
        <f aca="false">IF(Responses!X103=Responses!X$2,1,0)</f>
        <v>0</v>
      </c>
      <c r="Y103" s="9" t="n">
        <f aca="false">IF(Responses!Y103=Responses!Y$2,1,0)</f>
        <v>1</v>
      </c>
      <c r="Z103" s="9" t="n">
        <f aca="false">IF(Responses!Z103=Responses!Z$2,1,0)</f>
        <v>0</v>
      </c>
      <c r="AA103" s="9" t="n">
        <f aca="false">IF(Responses!AA103=Responses!AA$2,1,0)</f>
        <v>1</v>
      </c>
      <c r="AB103" s="9" t="n">
        <f aca="false">IF(Responses!AB103=Responses!AB$2,1,0)</f>
        <v>0</v>
      </c>
      <c r="AC103" s="9" t="n">
        <f aca="false">IF(Responses!AC103=Responses!AC$2,1,0)</f>
        <v>0</v>
      </c>
      <c r="AD103" s="9" t="n">
        <f aca="false">IF(Responses!AD103=Responses!AD$2,1,0)</f>
        <v>0</v>
      </c>
      <c r="AE103" s="9" t="n">
        <f aca="false">IF(Responses!AE103=Responses!AE$2,1,0)</f>
        <v>0</v>
      </c>
      <c r="AF103" s="9" t="n">
        <f aca="false">SUM(B103:AE103)</f>
        <v>6</v>
      </c>
    </row>
    <row r="104" customFormat="false" ht="15" hidden="false" customHeight="false" outlineLevel="0" collapsed="false">
      <c r="A104" s="0" t="str">
        <f aca="false">Responses!A104</f>
        <v>S102</v>
      </c>
      <c r="B104" s="9" t="n">
        <f aca="false">IF(Responses!B104=Responses!B$2,1,0)</f>
        <v>0</v>
      </c>
      <c r="C104" s="9" t="n">
        <f aca="false">IF(Responses!C104=Responses!C$2,1,0)</f>
        <v>0</v>
      </c>
      <c r="D104" s="9" t="n">
        <f aca="false">IF(Responses!D104=Responses!D$2,1,0)</f>
        <v>0</v>
      </c>
      <c r="E104" s="9" t="n">
        <f aca="false">IF(Responses!E104=Responses!E$2,1,0)</f>
        <v>1</v>
      </c>
      <c r="F104" s="9" t="n">
        <f aca="false">IF(Responses!F104=Responses!F$2,1,0)</f>
        <v>1</v>
      </c>
      <c r="G104" s="9" t="n">
        <f aca="false">IF(Responses!G104=Responses!G$2,1,0)</f>
        <v>0</v>
      </c>
      <c r="H104" s="9" t="n">
        <f aca="false">IF(Responses!H104=Responses!H$2,1,0)</f>
        <v>0</v>
      </c>
      <c r="I104" s="9" t="n">
        <f aca="false">IF(Responses!I104=Responses!I$2,1,0)</f>
        <v>1</v>
      </c>
      <c r="J104" s="9" t="n">
        <f aca="false">IF(Responses!J104=Responses!J$2,1,0)</f>
        <v>1</v>
      </c>
      <c r="K104" s="9" t="n">
        <f aca="false">IF(Responses!K104=Responses!K$2,1,0)</f>
        <v>0</v>
      </c>
      <c r="L104" s="9" t="n">
        <f aca="false">IF(Responses!L104=Responses!L$2,1,0)</f>
        <v>1</v>
      </c>
      <c r="M104" s="9" t="n">
        <f aca="false">IF(Responses!M104=Responses!M$2,1,0)</f>
        <v>1</v>
      </c>
      <c r="N104" s="9" t="n">
        <f aca="false">IF(Responses!N104=Responses!N$2,1,0)</f>
        <v>1</v>
      </c>
      <c r="O104" s="9" t="n">
        <f aca="false">IF(Responses!O104=Responses!O$2,1,0)</f>
        <v>1</v>
      </c>
      <c r="P104" s="9" t="n">
        <f aca="false">IF(Responses!P104=Responses!P$2,1,0)</f>
        <v>1</v>
      </c>
      <c r="Q104" s="9" t="n">
        <f aca="false">IF(Responses!Q104=Responses!Q$2,1,0)</f>
        <v>1</v>
      </c>
      <c r="R104" s="9" t="n">
        <f aca="false">IF(Responses!R104=Responses!R$2,1,0)</f>
        <v>1</v>
      </c>
      <c r="S104" s="9" t="n">
        <f aca="false">IF(Responses!S104=Responses!S$2,1,0)</f>
        <v>1</v>
      </c>
      <c r="T104" s="9" t="n">
        <f aca="false">IF(Responses!T104=Responses!T$2,1,0)</f>
        <v>1</v>
      </c>
      <c r="U104" s="9" t="n">
        <f aca="false">IF(Responses!U104=Responses!U$2,1,0)</f>
        <v>1</v>
      </c>
      <c r="V104" s="9" t="n">
        <f aca="false">IF(Responses!V104=Responses!V$2,1,0)</f>
        <v>1</v>
      </c>
      <c r="W104" s="9" t="n">
        <f aca="false">IF(Responses!W104=Responses!W$2,1,0)</f>
        <v>0</v>
      </c>
      <c r="X104" s="9" t="n">
        <f aca="false">IF(Responses!X104=Responses!X$2,1,0)</f>
        <v>1</v>
      </c>
      <c r="Y104" s="9" t="n">
        <f aca="false">IF(Responses!Y104=Responses!Y$2,1,0)</f>
        <v>0</v>
      </c>
      <c r="Z104" s="9" t="n">
        <f aca="false">IF(Responses!Z104=Responses!Z$2,1,0)</f>
        <v>0</v>
      </c>
      <c r="AA104" s="9" t="n">
        <f aca="false">IF(Responses!AA104=Responses!AA$2,1,0)</f>
        <v>0</v>
      </c>
      <c r="AB104" s="9" t="n">
        <f aca="false">IF(Responses!AB104=Responses!AB$2,1,0)</f>
        <v>0</v>
      </c>
      <c r="AC104" s="9" t="n">
        <f aca="false">IF(Responses!AC104=Responses!AC$2,1,0)</f>
        <v>0</v>
      </c>
      <c r="AD104" s="9" t="n">
        <f aca="false">IF(Responses!AD104=Responses!AD$2,1,0)</f>
        <v>1</v>
      </c>
      <c r="AE104" s="9" t="n">
        <f aca="false">IF(Responses!AE104=Responses!AE$2,1,0)</f>
        <v>1</v>
      </c>
      <c r="AF104" s="9" t="n">
        <f aca="false">SUM(B104:AE104)</f>
        <v>18</v>
      </c>
    </row>
    <row r="105" customFormat="false" ht="15" hidden="false" customHeight="false" outlineLevel="0" collapsed="false">
      <c r="A105" s="0" t="str">
        <f aca="false">Responses!A105</f>
        <v>S103</v>
      </c>
      <c r="B105" s="9" t="n">
        <f aca="false">IF(Responses!B105=Responses!B$2,1,0)</f>
        <v>1</v>
      </c>
      <c r="C105" s="9" t="n">
        <f aca="false">IF(Responses!C105=Responses!C$2,1,0)</f>
        <v>1</v>
      </c>
      <c r="D105" s="9" t="n">
        <f aca="false">IF(Responses!D105=Responses!D$2,1,0)</f>
        <v>0</v>
      </c>
      <c r="E105" s="9" t="n">
        <f aca="false">IF(Responses!E105=Responses!E$2,1,0)</f>
        <v>1</v>
      </c>
      <c r="F105" s="9" t="n">
        <f aca="false">IF(Responses!F105=Responses!F$2,1,0)</f>
        <v>0</v>
      </c>
      <c r="G105" s="9" t="n">
        <f aca="false">IF(Responses!G105=Responses!G$2,1,0)</f>
        <v>0</v>
      </c>
      <c r="H105" s="9" t="n">
        <f aca="false">IF(Responses!H105=Responses!H$2,1,0)</f>
        <v>0</v>
      </c>
      <c r="I105" s="9" t="n">
        <f aca="false">IF(Responses!I105=Responses!I$2,1,0)</f>
        <v>1</v>
      </c>
      <c r="J105" s="9" t="n">
        <f aca="false">IF(Responses!J105=Responses!J$2,1,0)</f>
        <v>1</v>
      </c>
      <c r="K105" s="9" t="n">
        <f aca="false">IF(Responses!K105=Responses!K$2,1,0)</f>
        <v>1</v>
      </c>
      <c r="L105" s="9" t="n">
        <f aca="false">IF(Responses!L105=Responses!L$2,1,0)</f>
        <v>1</v>
      </c>
      <c r="M105" s="9" t="n">
        <f aca="false">IF(Responses!M105=Responses!M$2,1,0)</f>
        <v>1</v>
      </c>
      <c r="N105" s="9" t="n">
        <f aca="false">IF(Responses!N105=Responses!N$2,1,0)</f>
        <v>1</v>
      </c>
      <c r="O105" s="9" t="n">
        <f aca="false">IF(Responses!O105=Responses!O$2,1,0)</f>
        <v>1</v>
      </c>
      <c r="P105" s="9" t="n">
        <f aca="false">IF(Responses!P105=Responses!P$2,1,0)</f>
        <v>1</v>
      </c>
      <c r="Q105" s="9" t="n">
        <f aca="false">IF(Responses!Q105=Responses!Q$2,1,0)</f>
        <v>0</v>
      </c>
      <c r="R105" s="9" t="n">
        <f aca="false">IF(Responses!R105=Responses!R$2,1,0)</f>
        <v>1</v>
      </c>
      <c r="S105" s="9" t="n">
        <f aca="false">IF(Responses!S105=Responses!S$2,1,0)</f>
        <v>0</v>
      </c>
      <c r="T105" s="9" t="n">
        <f aca="false">IF(Responses!T105=Responses!T$2,1,0)</f>
        <v>0</v>
      </c>
      <c r="U105" s="9" t="n">
        <f aca="false">IF(Responses!U105=Responses!U$2,1,0)</f>
        <v>1</v>
      </c>
      <c r="V105" s="9" t="n">
        <f aca="false">IF(Responses!V105=Responses!V$2,1,0)</f>
        <v>1</v>
      </c>
      <c r="W105" s="9" t="n">
        <f aca="false">IF(Responses!W105=Responses!W$2,1,0)</f>
        <v>0</v>
      </c>
      <c r="X105" s="9" t="n">
        <f aca="false">IF(Responses!X105=Responses!X$2,1,0)</f>
        <v>1</v>
      </c>
      <c r="Y105" s="9" t="n">
        <f aca="false">IF(Responses!Y105=Responses!Y$2,1,0)</f>
        <v>0</v>
      </c>
      <c r="Z105" s="9" t="n">
        <f aca="false">IF(Responses!Z105=Responses!Z$2,1,0)</f>
        <v>1</v>
      </c>
      <c r="AA105" s="9" t="n">
        <f aca="false">IF(Responses!AA105=Responses!AA$2,1,0)</f>
        <v>0</v>
      </c>
      <c r="AB105" s="9" t="n">
        <f aca="false">IF(Responses!AB105=Responses!AB$2,1,0)</f>
        <v>1</v>
      </c>
      <c r="AC105" s="9" t="n">
        <f aca="false">IF(Responses!AC105=Responses!AC$2,1,0)</f>
        <v>1</v>
      </c>
      <c r="AD105" s="9" t="n">
        <f aca="false">IF(Responses!AD105=Responses!AD$2,1,0)</f>
        <v>0</v>
      </c>
      <c r="AE105" s="9" t="n">
        <f aca="false">IF(Responses!AE105=Responses!AE$2,1,0)</f>
        <v>1</v>
      </c>
      <c r="AF105" s="9" t="n">
        <f aca="false">SUM(B105:AE105)</f>
        <v>19</v>
      </c>
    </row>
    <row r="106" customFormat="false" ht="15" hidden="false" customHeight="false" outlineLevel="0" collapsed="false">
      <c r="A106" s="0" t="str">
        <f aca="false">Responses!A106</f>
        <v>S104</v>
      </c>
      <c r="B106" s="9" t="n">
        <f aca="false">IF(Responses!B106=Responses!B$2,1,0)</f>
        <v>0</v>
      </c>
      <c r="C106" s="9" t="n">
        <f aca="false">IF(Responses!C106=Responses!C$2,1,0)</f>
        <v>0</v>
      </c>
      <c r="D106" s="9" t="n">
        <f aca="false">IF(Responses!D106=Responses!D$2,1,0)</f>
        <v>0</v>
      </c>
      <c r="E106" s="9" t="n">
        <f aca="false">IF(Responses!E106=Responses!E$2,1,0)</f>
        <v>1</v>
      </c>
      <c r="F106" s="9" t="n">
        <f aca="false">IF(Responses!F106=Responses!F$2,1,0)</f>
        <v>1</v>
      </c>
      <c r="G106" s="9" t="n">
        <f aca="false">IF(Responses!G106=Responses!G$2,1,0)</f>
        <v>1</v>
      </c>
      <c r="H106" s="9" t="n">
        <f aca="false">IF(Responses!H106=Responses!H$2,1,0)</f>
        <v>0</v>
      </c>
      <c r="I106" s="9" t="n">
        <f aca="false">IF(Responses!I106=Responses!I$2,1,0)</f>
        <v>1</v>
      </c>
      <c r="J106" s="9" t="n">
        <f aca="false">IF(Responses!J106=Responses!J$2,1,0)</f>
        <v>1</v>
      </c>
      <c r="K106" s="9" t="n">
        <f aca="false">IF(Responses!K106=Responses!K$2,1,0)</f>
        <v>0</v>
      </c>
      <c r="L106" s="9" t="n">
        <f aca="false">IF(Responses!L106=Responses!L$2,1,0)</f>
        <v>0</v>
      </c>
      <c r="M106" s="9" t="n">
        <f aca="false">IF(Responses!M106=Responses!M$2,1,0)</f>
        <v>1</v>
      </c>
      <c r="N106" s="9" t="n">
        <f aca="false">IF(Responses!N106=Responses!N$2,1,0)</f>
        <v>0</v>
      </c>
      <c r="O106" s="9" t="n">
        <f aca="false">IF(Responses!O106=Responses!O$2,1,0)</f>
        <v>1</v>
      </c>
      <c r="P106" s="9" t="n">
        <f aca="false">IF(Responses!P106=Responses!P$2,1,0)</f>
        <v>0</v>
      </c>
      <c r="Q106" s="9" t="n">
        <f aca="false">IF(Responses!Q106=Responses!Q$2,1,0)</f>
        <v>1</v>
      </c>
      <c r="R106" s="9" t="n">
        <f aca="false">IF(Responses!R106=Responses!R$2,1,0)</f>
        <v>1</v>
      </c>
      <c r="S106" s="9" t="n">
        <f aca="false">IF(Responses!S106=Responses!S$2,1,0)</f>
        <v>0</v>
      </c>
      <c r="T106" s="9" t="n">
        <f aca="false">IF(Responses!T106=Responses!T$2,1,0)</f>
        <v>0</v>
      </c>
      <c r="U106" s="9" t="n">
        <f aca="false">IF(Responses!U106=Responses!U$2,1,0)</f>
        <v>1</v>
      </c>
      <c r="V106" s="9" t="n">
        <f aca="false">IF(Responses!V106=Responses!V$2,1,0)</f>
        <v>0</v>
      </c>
      <c r="W106" s="9" t="n">
        <f aca="false">IF(Responses!W106=Responses!W$2,1,0)</f>
        <v>0</v>
      </c>
      <c r="X106" s="9" t="n">
        <f aca="false">IF(Responses!X106=Responses!X$2,1,0)</f>
        <v>0</v>
      </c>
      <c r="Y106" s="9" t="n">
        <f aca="false">IF(Responses!Y106=Responses!Y$2,1,0)</f>
        <v>1</v>
      </c>
      <c r="Z106" s="9" t="n">
        <f aca="false">IF(Responses!Z106=Responses!Z$2,1,0)</f>
        <v>0</v>
      </c>
      <c r="AA106" s="9" t="n">
        <f aca="false">IF(Responses!AA106=Responses!AA$2,1,0)</f>
        <v>0</v>
      </c>
      <c r="AB106" s="9" t="n">
        <f aca="false">IF(Responses!AB106=Responses!AB$2,1,0)</f>
        <v>1</v>
      </c>
      <c r="AC106" s="9" t="n">
        <f aca="false">IF(Responses!AC106=Responses!AC$2,1,0)</f>
        <v>0</v>
      </c>
      <c r="AD106" s="9" t="n">
        <f aca="false">IF(Responses!AD106=Responses!AD$2,1,0)</f>
        <v>0</v>
      </c>
      <c r="AE106" s="9" t="n">
        <f aca="false">IF(Responses!AE106=Responses!AE$2,1,0)</f>
        <v>0</v>
      </c>
      <c r="AF106" s="9" t="n">
        <f aca="false">SUM(B106:AE106)</f>
        <v>12</v>
      </c>
    </row>
    <row r="107" customFormat="false" ht="15" hidden="false" customHeight="false" outlineLevel="0" collapsed="false">
      <c r="A107" s="0" t="str">
        <f aca="false">Responses!A107</f>
        <v>S105</v>
      </c>
      <c r="B107" s="9" t="n">
        <f aca="false">IF(Responses!B107=Responses!B$2,1,0)</f>
        <v>1</v>
      </c>
      <c r="C107" s="9" t="n">
        <f aca="false">IF(Responses!C107=Responses!C$2,1,0)</f>
        <v>1</v>
      </c>
      <c r="D107" s="9" t="n">
        <f aca="false">IF(Responses!D107=Responses!D$2,1,0)</f>
        <v>1</v>
      </c>
      <c r="E107" s="9" t="n">
        <f aca="false">IF(Responses!E107=Responses!E$2,1,0)</f>
        <v>1</v>
      </c>
      <c r="F107" s="9" t="n">
        <f aca="false">IF(Responses!F107=Responses!F$2,1,0)</f>
        <v>1</v>
      </c>
      <c r="G107" s="9" t="n">
        <f aca="false">IF(Responses!G107=Responses!G$2,1,0)</f>
        <v>1</v>
      </c>
      <c r="H107" s="9" t="n">
        <f aca="false">IF(Responses!H107=Responses!H$2,1,0)</f>
        <v>0</v>
      </c>
      <c r="I107" s="9" t="n">
        <f aca="false">IF(Responses!I107=Responses!I$2,1,0)</f>
        <v>1</v>
      </c>
      <c r="J107" s="9" t="n">
        <f aca="false">IF(Responses!J107=Responses!J$2,1,0)</f>
        <v>1</v>
      </c>
      <c r="K107" s="9" t="n">
        <f aca="false">IF(Responses!K107=Responses!K$2,1,0)</f>
        <v>1</v>
      </c>
      <c r="L107" s="9" t="n">
        <f aca="false">IF(Responses!L107=Responses!L$2,1,0)</f>
        <v>1</v>
      </c>
      <c r="M107" s="9" t="n">
        <f aca="false">IF(Responses!M107=Responses!M$2,1,0)</f>
        <v>1</v>
      </c>
      <c r="N107" s="9" t="n">
        <f aca="false">IF(Responses!N107=Responses!N$2,1,0)</f>
        <v>1</v>
      </c>
      <c r="O107" s="9" t="n">
        <f aca="false">IF(Responses!O107=Responses!O$2,1,0)</f>
        <v>1</v>
      </c>
      <c r="P107" s="9" t="n">
        <f aca="false">IF(Responses!P107=Responses!P$2,1,0)</f>
        <v>0</v>
      </c>
      <c r="Q107" s="9" t="n">
        <f aca="false">IF(Responses!Q107=Responses!Q$2,1,0)</f>
        <v>1</v>
      </c>
      <c r="R107" s="9" t="n">
        <f aca="false">IF(Responses!R107=Responses!R$2,1,0)</f>
        <v>1</v>
      </c>
      <c r="S107" s="9" t="n">
        <f aca="false">IF(Responses!S107=Responses!S$2,1,0)</f>
        <v>0</v>
      </c>
      <c r="T107" s="9" t="n">
        <f aca="false">IF(Responses!T107=Responses!T$2,1,0)</f>
        <v>1</v>
      </c>
      <c r="U107" s="9" t="n">
        <f aca="false">IF(Responses!U107=Responses!U$2,1,0)</f>
        <v>1</v>
      </c>
      <c r="V107" s="9" t="n">
        <f aca="false">IF(Responses!V107=Responses!V$2,1,0)</f>
        <v>1</v>
      </c>
      <c r="W107" s="9" t="n">
        <f aca="false">IF(Responses!W107=Responses!W$2,1,0)</f>
        <v>1</v>
      </c>
      <c r="X107" s="9" t="n">
        <f aca="false">IF(Responses!X107=Responses!X$2,1,0)</f>
        <v>1</v>
      </c>
      <c r="Y107" s="9" t="n">
        <f aca="false">IF(Responses!Y107=Responses!Y$2,1,0)</f>
        <v>1</v>
      </c>
      <c r="Z107" s="9" t="n">
        <f aca="false">IF(Responses!Z107=Responses!Z$2,1,0)</f>
        <v>0</v>
      </c>
      <c r="AA107" s="9" t="n">
        <f aca="false">IF(Responses!AA107=Responses!AA$2,1,0)</f>
        <v>1</v>
      </c>
      <c r="AB107" s="9" t="n">
        <f aca="false">IF(Responses!AB107=Responses!AB$2,1,0)</f>
        <v>1</v>
      </c>
      <c r="AC107" s="9" t="n">
        <f aca="false">IF(Responses!AC107=Responses!AC$2,1,0)</f>
        <v>1</v>
      </c>
      <c r="AD107" s="9" t="n">
        <f aca="false">IF(Responses!AD107=Responses!AD$2,1,0)</f>
        <v>1</v>
      </c>
      <c r="AE107" s="9" t="n">
        <f aca="false">IF(Responses!AE107=Responses!AE$2,1,0)</f>
        <v>1</v>
      </c>
      <c r="AF107" s="9" t="n">
        <f aca="false">SUM(B107:AE107)</f>
        <v>26</v>
      </c>
    </row>
    <row r="108" customFormat="false" ht="15" hidden="false" customHeight="false" outlineLevel="0" collapsed="false">
      <c r="A108" s="0" t="str">
        <f aca="false">Responses!A108</f>
        <v>S106</v>
      </c>
      <c r="B108" s="9" t="n">
        <f aca="false">IF(Responses!B108=Responses!B$2,1,0)</f>
        <v>0</v>
      </c>
      <c r="C108" s="9" t="n">
        <f aca="false">IF(Responses!C108=Responses!C$2,1,0)</f>
        <v>0</v>
      </c>
      <c r="D108" s="9" t="n">
        <f aca="false">IF(Responses!D108=Responses!D$2,1,0)</f>
        <v>1</v>
      </c>
      <c r="E108" s="9" t="n">
        <f aca="false">IF(Responses!E108=Responses!E$2,1,0)</f>
        <v>1</v>
      </c>
      <c r="F108" s="9" t="n">
        <f aca="false">IF(Responses!F108=Responses!F$2,1,0)</f>
        <v>0</v>
      </c>
      <c r="G108" s="9" t="n">
        <f aca="false">IF(Responses!G108=Responses!G$2,1,0)</f>
        <v>1</v>
      </c>
      <c r="H108" s="9" t="n">
        <f aca="false">IF(Responses!H108=Responses!H$2,1,0)</f>
        <v>0</v>
      </c>
      <c r="I108" s="9" t="n">
        <f aca="false">IF(Responses!I108=Responses!I$2,1,0)</f>
        <v>1</v>
      </c>
      <c r="J108" s="9" t="n">
        <f aca="false">IF(Responses!J108=Responses!J$2,1,0)</f>
        <v>1</v>
      </c>
      <c r="K108" s="9" t="n">
        <f aca="false">IF(Responses!K108=Responses!K$2,1,0)</f>
        <v>1</v>
      </c>
      <c r="L108" s="9" t="n">
        <f aca="false">IF(Responses!L108=Responses!L$2,1,0)</f>
        <v>1</v>
      </c>
      <c r="M108" s="9" t="n">
        <f aca="false">IF(Responses!M108=Responses!M$2,1,0)</f>
        <v>1</v>
      </c>
      <c r="N108" s="9" t="n">
        <f aca="false">IF(Responses!N108=Responses!N$2,1,0)</f>
        <v>1</v>
      </c>
      <c r="O108" s="9" t="n">
        <f aca="false">IF(Responses!O108=Responses!O$2,1,0)</f>
        <v>0</v>
      </c>
      <c r="P108" s="9" t="n">
        <f aca="false">IF(Responses!P108=Responses!P$2,1,0)</f>
        <v>0</v>
      </c>
      <c r="Q108" s="9" t="n">
        <f aca="false">IF(Responses!Q108=Responses!Q$2,1,0)</f>
        <v>1</v>
      </c>
      <c r="R108" s="9" t="n">
        <f aca="false">IF(Responses!R108=Responses!R$2,1,0)</f>
        <v>1</v>
      </c>
      <c r="S108" s="9" t="n">
        <f aca="false">IF(Responses!S108=Responses!S$2,1,0)</f>
        <v>1</v>
      </c>
      <c r="T108" s="9" t="n">
        <f aca="false">IF(Responses!T108=Responses!T$2,1,0)</f>
        <v>1</v>
      </c>
      <c r="U108" s="9" t="n">
        <f aca="false">IF(Responses!U108=Responses!U$2,1,0)</f>
        <v>0</v>
      </c>
      <c r="V108" s="9" t="n">
        <f aca="false">IF(Responses!V108=Responses!V$2,1,0)</f>
        <v>0</v>
      </c>
      <c r="W108" s="9" t="n">
        <f aca="false">IF(Responses!W108=Responses!W$2,1,0)</f>
        <v>1</v>
      </c>
      <c r="X108" s="9" t="n">
        <f aca="false">IF(Responses!X108=Responses!X$2,1,0)</f>
        <v>1</v>
      </c>
      <c r="Y108" s="9" t="n">
        <f aca="false">IF(Responses!Y108=Responses!Y$2,1,0)</f>
        <v>1</v>
      </c>
      <c r="Z108" s="9" t="n">
        <f aca="false">IF(Responses!Z108=Responses!Z$2,1,0)</f>
        <v>1</v>
      </c>
      <c r="AA108" s="9" t="n">
        <f aca="false">IF(Responses!AA108=Responses!AA$2,1,0)</f>
        <v>0</v>
      </c>
      <c r="AB108" s="9" t="n">
        <f aca="false">IF(Responses!AB108=Responses!AB$2,1,0)</f>
        <v>1</v>
      </c>
      <c r="AC108" s="9" t="n">
        <f aca="false">IF(Responses!AC108=Responses!AC$2,1,0)</f>
        <v>0</v>
      </c>
      <c r="AD108" s="9" t="n">
        <f aca="false">IF(Responses!AD108=Responses!AD$2,1,0)</f>
        <v>1</v>
      </c>
      <c r="AE108" s="9" t="n">
        <f aca="false">IF(Responses!AE108=Responses!AE$2,1,0)</f>
        <v>0</v>
      </c>
      <c r="AF108" s="9" t="n">
        <f aca="false">SUM(B108:AE108)</f>
        <v>19</v>
      </c>
    </row>
    <row r="109" customFormat="false" ht="15" hidden="false" customHeight="false" outlineLevel="0" collapsed="false">
      <c r="A109" s="0" t="str">
        <f aca="false">Responses!A109</f>
        <v>S107</v>
      </c>
      <c r="B109" s="9" t="n">
        <f aca="false">IF(Responses!B109=Responses!B$2,1,0)</f>
        <v>0</v>
      </c>
      <c r="C109" s="9" t="n">
        <f aca="false">IF(Responses!C109=Responses!C$2,1,0)</f>
        <v>1</v>
      </c>
      <c r="D109" s="9" t="n">
        <f aca="false">IF(Responses!D109=Responses!D$2,1,0)</f>
        <v>0</v>
      </c>
      <c r="E109" s="9" t="n">
        <f aca="false">IF(Responses!E109=Responses!E$2,1,0)</f>
        <v>1</v>
      </c>
      <c r="F109" s="9" t="n">
        <f aca="false">IF(Responses!F109=Responses!F$2,1,0)</f>
        <v>0</v>
      </c>
      <c r="G109" s="9" t="n">
        <f aca="false">IF(Responses!G109=Responses!G$2,1,0)</f>
        <v>1</v>
      </c>
      <c r="H109" s="9" t="n">
        <f aca="false">IF(Responses!H109=Responses!H$2,1,0)</f>
        <v>0</v>
      </c>
      <c r="I109" s="9" t="n">
        <f aca="false">IF(Responses!I109=Responses!I$2,1,0)</f>
        <v>1</v>
      </c>
      <c r="J109" s="9" t="n">
        <f aca="false">IF(Responses!J109=Responses!J$2,1,0)</f>
        <v>1</v>
      </c>
      <c r="K109" s="9" t="n">
        <f aca="false">IF(Responses!K109=Responses!K$2,1,0)</f>
        <v>0</v>
      </c>
      <c r="L109" s="9" t="n">
        <f aca="false">IF(Responses!L109=Responses!L$2,1,0)</f>
        <v>1</v>
      </c>
      <c r="M109" s="9" t="n">
        <f aca="false">IF(Responses!M109=Responses!M$2,1,0)</f>
        <v>1</v>
      </c>
      <c r="N109" s="9" t="n">
        <f aca="false">IF(Responses!N109=Responses!N$2,1,0)</f>
        <v>0</v>
      </c>
      <c r="O109" s="9" t="n">
        <f aca="false">IF(Responses!O109=Responses!O$2,1,0)</f>
        <v>0</v>
      </c>
      <c r="P109" s="9" t="n">
        <f aca="false">IF(Responses!P109=Responses!P$2,1,0)</f>
        <v>0</v>
      </c>
      <c r="Q109" s="9" t="n">
        <f aca="false">IF(Responses!Q109=Responses!Q$2,1,0)</f>
        <v>1</v>
      </c>
      <c r="R109" s="9" t="n">
        <f aca="false">IF(Responses!R109=Responses!R$2,1,0)</f>
        <v>1</v>
      </c>
      <c r="S109" s="9" t="n">
        <f aca="false">IF(Responses!S109=Responses!S$2,1,0)</f>
        <v>0</v>
      </c>
      <c r="T109" s="9" t="n">
        <f aca="false">IF(Responses!T109=Responses!T$2,1,0)</f>
        <v>0</v>
      </c>
      <c r="U109" s="9" t="n">
        <f aca="false">IF(Responses!U109=Responses!U$2,1,0)</f>
        <v>0</v>
      </c>
      <c r="V109" s="9" t="n">
        <f aca="false">IF(Responses!V109=Responses!V$2,1,0)</f>
        <v>0</v>
      </c>
      <c r="W109" s="9" t="n">
        <f aca="false">IF(Responses!W109=Responses!W$2,1,0)</f>
        <v>1</v>
      </c>
      <c r="X109" s="9" t="n">
        <f aca="false">IF(Responses!X109=Responses!X$2,1,0)</f>
        <v>1</v>
      </c>
      <c r="Y109" s="9" t="n">
        <f aca="false">IF(Responses!Y109=Responses!Y$2,1,0)</f>
        <v>0</v>
      </c>
      <c r="Z109" s="9" t="n">
        <f aca="false">IF(Responses!Z109=Responses!Z$2,1,0)</f>
        <v>1</v>
      </c>
      <c r="AA109" s="9" t="n">
        <f aca="false">IF(Responses!AA109=Responses!AA$2,1,0)</f>
        <v>0</v>
      </c>
      <c r="AB109" s="9" t="n">
        <f aca="false">IF(Responses!AB109=Responses!AB$2,1,0)</f>
        <v>1</v>
      </c>
      <c r="AC109" s="9" t="n">
        <f aca="false">IF(Responses!AC109=Responses!AC$2,1,0)</f>
        <v>0</v>
      </c>
      <c r="AD109" s="9" t="n">
        <f aca="false">IF(Responses!AD109=Responses!AD$2,1,0)</f>
        <v>1</v>
      </c>
      <c r="AE109" s="9" t="n">
        <f aca="false">IF(Responses!AE109=Responses!AE$2,1,0)</f>
        <v>1</v>
      </c>
      <c r="AF109" s="9" t="n">
        <f aca="false">SUM(B109:AE109)</f>
        <v>15</v>
      </c>
    </row>
    <row r="110" customFormat="false" ht="15" hidden="false" customHeight="false" outlineLevel="0" collapsed="false">
      <c r="A110" s="0" t="str">
        <f aca="false">Responses!A110</f>
        <v>S108</v>
      </c>
      <c r="B110" s="9" t="n">
        <f aca="false">IF(Responses!B110=Responses!B$2,1,0)</f>
        <v>1</v>
      </c>
      <c r="C110" s="9" t="n">
        <f aca="false">IF(Responses!C110=Responses!C$2,1,0)</f>
        <v>1</v>
      </c>
      <c r="D110" s="9" t="n">
        <f aca="false">IF(Responses!D110=Responses!D$2,1,0)</f>
        <v>0</v>
      </c>
      <c r="E110" s="9" t="n">
        <f aca="false">IF(Responses!E110=Responses!E$2,1,0)</f>
        <v>1</v>
      </c>
      <c r="F110" s="9" t="n">
        <f aca="false">IF(Responses!F110=Responses!F$2,1,0)</f>
        <v>0</v>
      </c>
      <c r="G110" s="9" t="n">
        <f aca="false">IF(Responses!G110=Responses!G$2,1,0)</f>
        <v>1</v>
      </c>
      <c r="H110" s="9" t="n">
        <f aca="false">IF(Responses!H110=Responses!H$2,1,0)</f>
        <v>0</v>
      </c>
      <c r="I110" s="9" t="n">
        <f aca="false">IF(Responses!I110=Responses!I$2,1,0)</f>
        <v>1</v>
      </c>
      <c r="J110" s="9" t="n">
        <f aca="false">IF(Responses!J110=Responses!J$2,1,0)</f>
        <v>1</v>
      </c>
      <c r="K110" s="9" t="n">
        <f aca="false">IF(Responses!K110=Responses!K$2,1,0)</f>
        <v>0</v>
      </c>
      <c r="L110" s="9" t="n">
        <f aca="false">IF(Responses!L110=Responses!L$2,1,0)</f>
        <v>1</v>
      </c>
      <c r="M110" s="9" t="n">
        <f aca="false">IF(Responses!M110=Responses!M$2,1,0)</f>
        <v>1</v>
      </c>
      <c r="N110" s="9" t="n">
        <f aca="false">IF(Responses!N110=Responses!N$2,1,0)</f>
        <v>1</v>
      </c>
      <c r="O110" s="9" t="n">
        <f aca="false">IF(Responses!O110=Responses!O$2,1,0)</f>
        <v>1</v>
      </c>
      <c r="P110" s="9" t="n">
        <f aca="false">IF(Responses!P110=Responses!P$2,1,0)</f>
        <v>1</v>
      </c>
      <c r="Q110" s="9" t="n">
        <f aca="false">IF(Responses!Q110=Responses!Q$2,1,0)</f>
        <v>1</v>
      </c>
      <c r="R110" s="9" t="n">
        <f aca="false">IF(Responses!R110=Responses!R$2,1,0)</f>
        <v>1</v>
      </c>
      <c r="S110" s="9" t="n">
        <f aca="false">IF(Responses!S110=Responses!S$2,1,0)</f>
        <v>1</v>
      </c>
      <c r="T110" s="9" t="n">
        <f aca="false">IF(Responses!T110=Responses!T$2,1,0)</f>
        <v>0</v>
      </c>
      <c r="U110" s="9" t="n">
        <f aca="false">IF(Responses!U110=Responses!U$2,1,0)</f>
        <v>1</v>
      </c>
      <c r="V110" s="9" t="n">
        <f aca="false">IF(Responses!V110=Responses!V$2,1,0)</f>
        <v>1</v>
      </c>
      <c r="W110" s="9" t="n">
        <f aca="false">IF(Responses!W110=Responses!W$2,1,0)</f>
        <v>1</v>
      </c>
      <c r="X110" s="9" t="n">
        <f aca="false">IF(Responses!X110=Responses!X$2,1,0)</f>
        <v>1</v>
      </c>
      <c r="Y110" s="9" t="n">
        <f aca="false">IF(Responses!Y110=Responses!Y$2,1,0)</f>
        <v>1</v>
      </c>
      <c r="Z110" s="9" t="n">
        <f aca="false">IF(Responses!Z110=Responses!Z$2,1,0)</f>
        <v>0</v>
      </c>
      <c r="AA110" s="9" t="n">
        <f aca="false">IF(Responses!AA110=Responses!AA$2,1,0)</f>
        <v>0</v>
      </c>
      <c r="AB110" s="9" t="n">
        <f aca="false">IF(Responses!AB110=Responses!AB$2,1,0)</f>
        <v>0</v>
      </c>
      <c r="AC110" s="9" t="n">
        <f aca="false">IF(Responses!AC110=Responses!AC$2,1,0)</f>
        <v>1</v>
      </c>
      <c r="AD110" s="9" t="n">
        <f aca="false">IF(Responses!AD110=Responses!AD$2,1,0)</f>
        <v>1</v>
      </c>
      <c r="AE110" s="9" t="n">
        <f aca="false">IF(Responses!AE110=Responses!AE$2,1,0)</f>
        <v>1</v>
      </c>
      <c r="AF110" s="9" t="n">
        <f aca="false">SUM(B110:AE110)</f>
        <v>22</v>
      </c>
    </row>
    <row r="111" customFormat="false" ht="15" hidden="false" customHeight="false" outlineLevel="0" collapsed="false">
      <c r="A111" s="0" t="str">
        <f aca="false">Responses!A111</f>
        <v>S109</v>
      </c>
      <c r="B111" s="9" t="n">
        <f aca="false">IF(Responses!B111=Responses!B$2,1,0)</f>
        <v>1</v>
      </c>
      <c r="C111" s="9" t="n">
        <f aca="false">IF(Responses!C111=Responses!C$2,1,0)</f>
        <v>1</v>
      </c>
      <c r="D111" s="9" t="n">
        <f aca="false">IF(Responses!D111=Responses!D$2,1,0)</f>
        <v>1</v>
      </c>
      <c r="E111" s="9" t="n">
        <f aca="false">IF(Responses!E111=Responses!E$2,1,0)</f>
        <v>1</v>
      </c>
      <c r="F111" s="9" t="n">
        <f aca="false">IF(Responses!F111=Responses!F$2,1,0)</f>
        <v>1</v>
      </c>
      <c r="G111" s="9" t="n">
        <f aca="false">IF(Responses!G111=Responses!G$2,1,0)</f>
        <v>0</v>
      </c>
      <c r="H111" s="9" t="n">
        <f aca="false">IF(Responses!H111=Responses!H$2,1,0)</f>
        <v>0</v>
      </c>
      <c r="I111" s="9" t="n">
        <f aca="false">IF(Responses!I111=Responses!I$2,1,0)</f>
        <v>1</v>
      </c>
      <c r="J111" s="9" t="n">
        <f aca="false">IF(Responses!J111=Responses!J$2,1,0)</f>
        <v>1</v>
      </c>
      <c r="K111" s="9" t="n">
        <f aca="false">IF(Responses!K111=Responses!K$2,1,0)</f>
        <v>0</v>
      </c>
      <c r="L111" s="9" t="n">
        <f aca="false">IF(Responses!L111=Responses!L$2,1,0)</f>
        <v>0</v>
      </c>
      <c r="M111" s="9" t="n">
        <f aca="false">IF(Responses!M111=Responses!M$2,1,0)</f>
        <v>1</v>
      </c>
      <c r="N111" s="9" t="n">
        <f aca="false">IF(Responses!N111=Responses!N$2,1,0)</f>
        <v>0</v>
      </c>
      <c r="O111" s="9" t="n">
        <f aca="false">IF(Responses!O111=Responses!O$2,1,0)</f>
        <v>1</v>
      </c>
      <c r="P111" s="9" t="n">
        <f aca="false">IF(Responses!P111=Responses!P$2,1,0)</f>
        <v>0</v>
      </c>
      <c r="Q111" s="9" t="n">
        <f aca="false">IF(Responses!Q111=Responses!Q$2,1,0)</f>
        <v>1</v>
      </c>
      <c r="R111" s="9" t="n">
        <f aca="false">IF(Responses!R111=Responses!R$2,1,0)</f>
        <v>1</v>
      </c>
      <c r="S111" s="9" t="n">
        <f aca="false">IF(Responses!S111=Responses!S$2,1,0)</f>
        <v>1</v>
      </c>
      <c r="T111" s="9" t="n">
        <f aca="false">IF(Responses!T111=Responses!T$2,1,0)</f>
        <v>1</v>
      </c>
      <c r="U111" s="9" t="n">
        <f aca="false">IF(Responses!U111=Responses!U$2,1,0)</f>
        <v>1</v>
      </c>
      <c r="V111" s="9" t="n">
        <f aca="false">IF(Responses!V111=Responses!V$2,1,0)</f>
        <v>0</v>
      </c>
      <c r="W111" s="9" t="n">
        <f aca="false">IF(Responses!W111=Responses!W$2,1,0)</f>
        <v>1</v>
      </c>
      <c r="X111" s="9" t="n">
        <f aca="false">IF(Responses!X111=Responses!X$2,1,0)</f>
        <v>0</v>
      </c>
      <c r="Y111" s="9" t="n">
        <f aca="false">IF(Responses!Y111=Responses!Y$2,1,0)</f>
        <v>0</v>
      </c>
      <c r="Z111" s="9" t="n">
        <f aca="false">IF(Responses!Z111=Responses!Z$2,1,0)</f>
        <v>0</v>
      </c>
      <c r="AA111" s="9" t="n">
        <f aca="false">IF(Responses!AA111=Responses!AA$2,1,0)</f>
        <v>0</v>
      </c>
      <c r="AB111" s="9" t="n">
        <f aca="false">IF(Responses!AB111=Responses!AB$2,1,0)</f>
        <v>0</v>
      </c>
      <c r="AC111" s="9" t="n">
        <f aca="false">IF(Responses!AC111=Responses!AC$2,1,0)</f>
        <v>0</v>
      </c>
      <c r="AD111" s="9" t="n">
        <f aca="false">IF(Responses!AD111=Responses!AD$2,1,0)</f>
        <v>1</v>
      </c>
      <c r="AE111" s="9" t="n">
        <f aca="false">IF(Responses!AE111=Responses!AE$2,1,0)</f>
        <v>1</v>
      </c>
      <c r="AF111" s="9" t="n">
        <f aca="false">SUM(B111:AE111)</f>
        <v>17</v>
      </c>
    </row>
    <row r="112" customFormat="false" ht="15" hidden="false" customHeight="false" outlineLevel="0" collapsed="false">
      <c r="A112" s="0" t="str">
        <f aca="false">Responses!A112</f>
        <v>S110</v>
      </c>
      <c r="B112" s="9" t="n">
        <f aca="false">IF(Responses!B112=Responses!B$2,1,0)</f>
        <v>1</v>
      </c>
      <c r="C112" s="9" t="n">
        <f aca="false">IF(Responses!C112=Responses!C$2,1,0)</f>
        <v>1</v>
      </c>
      <c r="D112" s="9" t="n">
        <f aca="false">IF(Responses!D112=Responses!D$2,1,0)</f>
        <v>1</v>
      </c>
      <c r="E112" s="9" t="n">
        <f aca="false">IF(Responses!E112=Responses!E$2,1,0)</f>
        <v>1</v>
      </c>
      <c r="F112" s="9" t="n">
        <f aca="false">IF(Responses!F112=Responses!F$2,1,0)</f>
        <v>1</v>
      </c>
      <c r="G112" s="9" t="n">
        <f aca="false">IF(Responses!G112=Responses!G$2,1,0)</f>
        <v>1</v>
      </c>
      <c r="H112" s="9" t="n">
        <f aca="false">IF(Responses!H112=Responses!H$2,1,0)</f>
        <v>0</v>
      </c>
      <c r="I112" s="9" t="n">
        <f aca="false">IF(Responses!I112=Responses!I$2,1,0)</f>
        <v>1</v>
      </c>
      <c r="J112" s="9" t="n">
        <f aca="false">IF(Responses!J112=Responses!J$2,1,0)</f>
        <v>1</v>
      </c>
      <c r="K112" s="9" t="n">
        <f aca="false">IF(Responses!K112=Responses!K$2,1,0)</f>
        <v>1</v>
      </c>
      <c r="L112" s="9" t="n">
        <f aca="false">IF(Responses!L112=Responses!L$2,1,0)</f>
        <v>1</v>
      </c>
      <c r="M112" s="9" t="n">
        <f aca="false">IF(Responses!M112=Responses!M$2,1,0)</f>
        <v>1</v>
      </c>
      <c r="N112" s="9" t="n">
        <f aca="false">IF(Responses!N112=Responses!N$2,1,0)</f>
        <v>1</v>
      </c>
      <c r="O112" s="9" t="n">
        <f aca="false">IF(Responses!O112=Responses!O$2,1,0)</f>
        <v>1</v>
      </c>
      <c r="P112" s="9" t="n">
        <f aca="false">IF(Responses!P112=Responses!P$2,1,0)</f>
        <v>1</v>
      </c>
      <c r="Q112" s="9" t="n">
        <f aca="false">IF(Responses!Q112=Responses!Q$2,1,0)</f>
        <v>1</v>
      </c>
      <c r="R112" s="9" t="n">
        <f aca="false">IF(Responses!R112=Responses!R$2,1,0)</f>
        <v>1</v>
      </c>
      <c r="S112" s="9" t="n">
        <f aca="false">IF(Responses!S112=Responses!S$2,1,0)</f>
        <v>0</v>
      </c>
      <c r="T112" s="9" t="n">
        <f aca="false">IF(Responses!T112=Responses!T$2,1,0)</f>
        <v>1</v>
      </c>
      <c r="U112" s="9" t="n">
        <f aca="false">IF(Responses!U112=Responses!U$2,1,0)</f>
        <v>1</v>
      </c>
      <c r="V112" s="9" t="n">
        <f aca="false">IF(Responses!V112=Responses!V$2,1,0)</f>
        <v>1</v>
      </c>
      <c r="W112" s="9" t="n">
        <f aca="false">IF(Responses!W112=Responses!W$2,1,0)</f>
        <v>1</v>
      </c>
      <c r="X112" s="9" t="n">
        <f aca="false">IF(Responses!X112=Responses!X$2,1,0)</f>
        <v>1</v>
      </c>
      <c r="Y112" s="9" t="n">
        <f aca="false">IF(Responses!Y112=Responses!Y$2,1,0)</f>
        <v>0</v>
      </c>
      <c r="Z112" s="9" t="n">
        <f aca="false">IF(Responses!Z112=Responses!Z$2,1,0)</f>
        <v>1</v>
      </c>
      <c r="AA112" s="9" t="n">
        <f aca="false">IF(Responses!AA112=Responses!AA$2,1,0)</f>
        <v>1</v>
      </c>
      <c r="AB112" s="9" t="n">
        <f aca="false">IF(Responses!AB112=Responses!AB$2,1,0)</f>
        <v>0</v>
      </c>
      <c r="AC112" s="9" t="n">
        <f aca="false">IF(Responses!AC112=Responses!AC$2,1,0)</f>
        <v>1</v>
      </c>
      <c r="AD112" s="9" t="n">
        <f aca="false">IF(Responses!AD112=Responses!AD$2,1,0)</f>
        <v>1</v>
      </c>
      <c r="AE112" s="9" t="n">
        <f aca="false">IF(Responses!AE112=Responses!AE$2,1,0)</f>
        <v>1</v>
      </c>
      <c r="AF112" s="9" t="n">
        <f aca="false">SUM(B112:AE112)</f>
        <v>26</v>
      </c>
    </row>
    <row r="113" customFormat="false" ht="15" hidden="false" customHeight="false" outlineLevel="0" collapsed="false">
      <c r="A113" s="0" t="str">
        <f aca="false">Responses!A113</f>
        <v>S111</v>
      </c>
      <c r="B113" s="9" t="n">
        <f aca="false">IF(Responses!B113=Responses!B$2,1,0)</f>
        <v>0</v>
      </c>
      <c r="C113" s="9" t="n">
        <f aca="false">IF(Responses!C113=Responses!C$2,1,0)</f>
        <v>0</v>
      </c>
      <c r="D113" s="9" t="n">
        <f aca="false">IF(Responses!D113=Responses!D$2,1,0)</f>
        <v>0</v>
      </c>
      <c r="E113" s="9" t="n">
        <f aca="false">IF(Responses!E113=Responses!E$2,1,0)</f>
        <v>1</v>
      </c>
      <c r="F113" s="9" t="n">
        <f aca="false">IF(Responses!F113=Responses!F$2,1,0)</f>
        <v>0</v>
      </c>
      <c r="G113" s="9" t="n">
        <f aca="false">IF(Responses!G113=Responses!G$2,1,0)</f>
        <v>0</v>
      </c>
      <c r="H113" s="9" t="n">
        <f aca="false">IF(Responses!H113=Responses!H$2,1,0)</f>
        <v>0</v>
      </c>
      <c r="I113" s="9" t="n">
        <f aca="false">IF(Responses!I113=Responses!I$2,1,0)</f>
        <v>1</v>
      </c>
      <c r="J113" s="9" t="n">
        <f aca="false">IF(Responses!J113=Responses!J$2,1,0)</f>
        <v>1</v>
      </c>
      <c r="K113" s="9" t="n">
        <f aca="false">IF(Responses!K113=Responses!K$2,1,0)</f>
        <v>0</v>
      </c>
      <c r="L113" s="9" t="n">
        <f aca="false">IF(Responses!L113=Responses!L$2,1,0)</f>
        <v>0</v>
      </c>
      <c r="M113" s="9" t="n">
        <f aca="false">IF(Responses!M113=Responses!M$2,1,0)</f>
        <v>1</v>
      </c>
      <c r="N113" s="9" t="n">
        <f aca="false">IF(Responses!N113=Responses!N$2,1,0)</f>
        <v>0</v>
      </c>
      <c r="O113" s="9" t="n">
        <f aca="false">IF(Responses!O113=Responses!O$2,1,0)</f>
        <v>0</v>
      </c>
      <c r="P113" s="9" t="n">
        <f aca="false">IF(Responses!P113=Responses!P$2,1,0)</f>
        <v>0</v>
      </c>
      <c r="Q113" s="9" t="n">
        <f aca="false">IF(Responses!Q113=Responses!Q$2,1,0)</f>
        <v>1</v>
      </c>
      <c r="R113" s="9" t="n">
        <f aca="false">IF(Responses!R113=Responses!R$2,1,0)</f>
        <v>0</v>
      </c>
      <c r="S113" s="9" t="n">
        <f aca="false">IF(Responses!S113=Responses!S$2,1,0)</f>
        <v>0</v>
      </c>
      <c r="T113" s="9" t="n">
        <f aca="false">IF(Responses!T113=Responses!T$2,1,0)</f>
        <v>1</v>
      </c>
      <c r="U113" s="9" t="n">
        <f aca="false">IF(Responses!U113=Responses!U$2,1,0)</f>
        <v>0</v>
      </c>
      <c r="V113" s="9" t="n">
        <f aca="false">IF(Responses!V113=Responses!V$2,1,0)</f>
        <v>0</v>
      </c>
      <c r="W113" s="9" t="n">
        <f aca="false">IF(Responses!W113=Responses!W$2,1,0)</f>
        <v>1</v>
      </c>
      <c r="X113" s="9" t="n">
        <f aca="false">IF(Responses!X113=Responses!X$2,1,0)</f>
        <v>0</v>
      </c>
      <c r="Y113" s="9" t="n">
        <f aca="false">IF(Responses!Y113=Responses!Y$2,1,0)</f>
        <v>0</v>
      </c>
      <c r="Z113" s="9" t="n">
        <f aca="false">IF(Responses!Z113=Responses!Z$2,1,0)</f>
        <v>1</v>
      </c>
      <c r="AA113" s="9" t="n">
        <f aca="false">IF(Responses!AA113=Responses!AA$2,1,0)</f>
        <v>0</v>
      </c>
      <c r="AB113" s="9" t="n">
        <f aca="false">IF(Responses!AB113=Responses!AB$2,1,0)</f>
        <v>1</v>
      </c>
      <c r="AC113" s="9" t="n">
        <f aca="false">IF(Responses!AC113=Responses!AC$2,1,0)</f>
        <v>0</v>
      </c>
      <c r="AD113" s="9" t="n">
        <f aca="false">IF(Responses!AD113=Responses!AD$2,1,0)</f>
        <v>1</v>
      </c>
      <c r="AE113" s="9" t="n">
        <f aca="false">IF(Responses!AE113=Responses!AE$2,1,0)</f>
        <v>1</v>
      </c>
      <c r="AF113" s="9" t="n">
        <f aca="false">SUM(B113:AE113)</f>
        <v>11</v>
      </c>
    </row>
    <row r="114" customFormat="false" ht="15" hidden="false" customHeight="false" outlineLevel="0" collapsed="false">
      <c r="A114" s="0" t="str">
        <f aca="false">Responses!A114</f>
        <v>S112</v>
      </c>
      <c r="B114" s="9" t="n">
        <f aca="false">IF(Responses!B114=Responses!B$2,1,0)</f>
        <v>0</v>
      </c>
      <c r="C114" s="9" t="n">
        <f aca="false">IF(Responses!C114=Responses!C$2,1,0)</f>
        <v>0</v>
      </c>
      <c r="D114" s="9" t="n">
        <f aca="false">IF(Responses!D114=Responses!D$2,1,0)</f>
        <v>0</v>
      </c>
      <c r="E114" s="9" t="n">
        <f aca="false">IF(Responses!E114=Responses!E$2,1,0)</f>
        <v>0</v>
      </c>
      <c r="F114" s="9" t="n">
        <f aca="false">IF(Responses!F114=Responses!F$2,1,0)</f>
        <v>0</v>
      </c>
      <c r="G114" s="9" t="n">
        <f aca="false">IF(Responses!G114=Responses!G$2,1,0)</f>
        <v>1</v>
      </c>
      <c r="H114" s="9" t="n">
        <f aca="false">IF(Responses!H114=Responses!H$2,1,0)</f>
        <v>1</v>
      </c>
      <c r="I114" s="9" t="n">
        <f aca="false">IF(Responses!I114=Responses!I$2,1,0)</f>
        <v>0</v>
      </c>
      <c r="J114" s="9" t="n">
        <f aca="false">IF(Responses!J114=Responses!J$2,1,0)</f>
        <v>1</v>
      </c>
      <c r="K114" s="9" t="n">
        <f aca="false">IF(Responses!K114=Responses!K$2,1,0)</f>
        <v>1</v>
      </c>
      <c r="L114" s="9" t="n">
        <f aca="false">IF(Responses!L114=Responses!L$2,1,0)</f>
        <v>0</v>
      </c>
      <c r="M114" s="9" t="n">
        <f aca="false">IF(Responses!M114=Responses!M$2,1,0)</f>
        <v>1</v>
      </c>
      <c r="N114" s="9" t="n">
        <f aca="false">IF(Responses!N114=Responses!N$2,1,0)</f>
        <v>0</v>
      </c>
      <c r="O114" s="9" t="n">
        <f aca="false">IF(Responses!O114=Responses!O$2,1,0)</f>
        <v>1</v>
      </c>
      <c r="P114" s="9" t="n">
        <f aca="false">IF(Responses!P114=Responses!P$2,1,0)</f>
        <v>0</v>
      </c>
      <c r="Q114" s="9" t="n">
        <f aca="false">IF(Responses!Q114=Responses!Q$2,1,0)</f>
        <v>0</v>
      </c>
      <c r="R114" s="9" t="n">
        <f aca="false">IF(Responses!R114=Responses!R$2,1,0)</f>
        <v>0</v>
      </c>
      <c r="S114" s="9" t="n">
        <f aca="false">IF(Responses!S114=Responses!S$2,1,0)</f>
        <v>0</v>
      </c>
      <c r="T114" s="9" t="n">
        <f aca="false">IF(Responses!T114=Responses!T$2,1,0)</f>
        <v>0</v>
      </c>
      <c r="U114" s="9" t="n">
        <f aca="false">IF(Responses!U114=Responses!U$2,1,0)</f>
        <v>0</v>
      </c>
      <c r="V114" s="9" t="n">
        <f aca="false">IF(Responses!V114=Responses!V$2,1,0)</f>
        <v>0</v>
      </c>
      <c r="W114" s="9" t="n">
        <f aca="false">IF(Responses!W114=Responses!W$2,1,0)</f>
        <v>1</v>
      </c>
      <c r="X114" s="9" t="n">
        <f aca="false">IF(Responses!X114=Responses!X$2,1,0)</f>
        <v>0</v>
      </c>
      <c r="Y114" s="9" t="n">
        <f aca="false">IF(Responses!Y114=Responses!Y$2,1,0)</f>
        <v>0</v>
      </c>
      <c r="Z114" s="9" t="n">
        <f aca="false">IF(Responses!Z114=Responses!Z$2,1,0)</f>
        <v>0</v>
      </c>
      <c r="AA114" s="9" t="n">
        <f aca="false">IF(Responses!AA114=Responses!AA$2,1,0)</f>
        <v>1</v>
      </c>
      <c r="AB114" s="9" t="n">
        <f aca="false">IF(Responses!AB114=Responses!AB$2,1,0)</f>
        <v>0</v>
      </c>
      <c r="AC114" s="9" t="n">
        <f aca="false">IF(Responses!AC114=Responses!AC$2,1,0)</f>
        <v>0</v>
      </c>
      <c r="AD114" s="9" t="n">
        <f aca="false">IF(Responses!AD114=Responses!AD$2,1,0)</f>
        <v>1</v>
      </c>
      <c r="AE114" s="9" t="n">
        <f aca="false">IF(Responses!AE114=Responses!AE$2,1,0)</f>
        <v>0</v>
      </c>
      <c r="AF114" s="9" t="n">
        <f aca="false">SUM(B114:AE114)</f>
        <v>9</v>
      </c>
    </row>
    <row r="115" customFormat="false" ht="15" hidden="false" customHeight="false" outlineLevel="0" collapsed="false">
      <c r="A115" s="0" t="str">
        <f aca="false">Responses!A115</f>
        <v>S113</v>
      </c>
      <c r="B115" s="9" t="n">
        <f aca="false">IF(Responses!B115=Responses!B$2,1,0)</f>
        <v>1</v>
      </c>
      <c r="C115" s="9" t="n">
        <f aca="false">IF(Responses!C115=Responses!C$2,1,0)</f>
        <v>0</v>
      </c>
      <c r="D115" s="9" t="n">
        <f aca="false">IF(Responses!D115=Responses!D$2,1,0)</f>
        <v>1</v>
      </c>
      <c r="E115" s="9" t="n">
        <f aca="false">IF(Responses!E115=Responses!E$2,1,0)</f>
        <v>1</v>
      </c>
      <c r="F115" s="9" t="n">
        <f aca="false">IF(Responses!F115=Responses!F$2,1,0)</f>
        <v>1</v>
      </c>
      <c r="G115" s="9" t="n">
        <f aca="false">IF(Responses!G115=Responses!G$2,1,0)</f>
        <v>0</v>
      </c>
      <c r="H115" s="9" t="n">
        <f aca="false">IF(Responses!H115=Responses!H$2,1,0)</f>
        <v>0</v>
      </c>
      <c r="I115" s="9" t="n">
        <f aca="false">IF(Responses!I115=Responses!I$2,1,0)</f>
        <v>1</v>
      </c>
      <c r="J115" s="9" t="n">
        <f aca="false">IF(Responses!J115=Responses!J$2,1,0)</f>
        <v>1</v>
      </c>
      <c r="K115" s="9" t="n">
        <f aca="false">IF(Responses!K115=Responses!K$2,1,0)</f>
        <v>0</v>
      </c>
      <c r="L115" s="9" t="n">
        <f aca="false">IF(Responses!L115=Responses!L$2,1,0)</f>
        <v>1</v>
      </c>
      <c r="M115" s="9" t="n">
        <f aca="false">IF(Responses!M115=Responses!M$2,1,0)</f>
        <v>1</v>
      </c>
      <c r="N115" s="9" t="n">
        <f aca="false">IF(Responses!N115=Responses!N$2,1,0)</f>
        <v>1</v>
      </c>
      <c r="O115" s="9" t="n">
        <f aca="false">IF(Responses!O115=Responses!O$2,1,0)</f>
        <v>1</v>
      </c>
      <c r="P115" s="9" t="n">
        <f aca="false">IF(Responses!P115=Responses!P$2,1,0)</f>
        <v>1</v>
      </c>
      <c r="Q115" s="9" t="n">
        <f aca="false">IF(Responses!Q115=Responses!Q$2,1,0)</f>
        <v>1</v>
      </c>
      <c r="R115" s="9" t="n">
        <f aca="false">IF(Responses!R115=Responses!R$2,1,0)</f>
        <v>1</v>
      </c>
      <c r="S115" s="9" t="n">
        <f aca="false">IF(Responses!S115=Responses!S$2,1,0)</f>
        <v>1</v>
      </c>
      <c r="T115" s="9" t="n">
        <f aca="false">IF(Responses!T115=Responses!T$2,1,0)</f>
        <v>1</v>
      </c>
      <c r="U115" s="9" t="n">
        <f aca="false">IF(Responses!U115=Responses!U$2,1,0)</f>
        <v>0</v>
      </c>
      <c r="V115" s="9" t="n">
        <f aca="false">IF(Responses!V115=Responses!V$2,1,0)</f>
        <v>0</v>
      </c>
      <c r="W115" s="9" t="n">
        <f aca="false">IF(Responses!W115=Responses!W$2,1,0)</f>
        <v>1</v>
      </c>
      <c r="X115" s="9" t="n">
        <f aca="false">IF(Responses!X115=Responses!X$2,1,0)</f>
        <v>1</v>
      </c>
      <c r="Y115" s="9" t="n">
        <f aca="false">IF(Responses!Y115=Responses!Y$2,1,0)</f>
        <v>0</v>
      </c>
      <c r="Z115" s="9" t="n">
        <f aca="false">IF(Responses!Z115=Responses!Z$2,1,0)</f>
        <v>0</v>
      </c>
      <c r="AA115" s="9" t="n">
        <f aca="false">IF(Responses!AA115=Responses!AA$2,1,0)</f>
        <v>0</v>
      </c>
      <c r="AB115" s="9" t="n">
        <f aca="false">IF(Responses!AB115=Responses!AB$2,1,0)</f>
        <v>0</v>
      </c>
      <c r="AC115" s="9" t="n">
        <f aca="false">IF(Responses!AC115=Responses!AC$2,1,0)</f>
        <v>0</v>
      </c>
      <c r="AD115" s="9" t="n">
        <f aca="false">IF(Responses!AD115=Responses!AD$2,1,0)</f>
        <v>0</v>
      </c>
      <c r="AE115" s="9" t="n">
        <f aca="false">IF(Responses!AE115=Responses!AE$2,1,0)</f>
        <v>0</v>
      </c>
      <c r="AF115" s="9" t="n">
        <f aca="false">SUM(B115:AE115)</f>
        <v>17</v>
      </c>
    </row>
    <row r="116" customFormat="false" ht="15" hidden="false" customHeight="false" outlineLevel="0" collapsed="false">
      <c r="A116" s="0" t="str">
        <f aca="false">Responses!A116</f>
        <v>S114</v>
      </c>
      <c r="B116" s="9" t="n">
        <f aca="false">IF(Responses!B116=Responses!B$2,1,0)</f>
        <v>0</v>
      </c>
      <c r="C116" s="9" t="n">
        <f aca="false">IF(Responses!C116=Responses!C$2,1,0)</f>
        <v>0</v>
      </c>
      <c r="D116" s="9" t="n">
        <f aca="false">IF(Responses!D116=Responses!D$2,1,0)</f>
        <v>0</v>
      </c>
      <c r="E116" s="9" t="n">
        <f aca="false">IF(Responses!E116=Responses!E$2,1,0)</f>
        <v>0</v>
      </c>
      <c r="F116" s="9" t="n">
        <f aca="false">IF(Responses!F116=Responses!F$2,1,0)</f>
        <v>0</v>
      </c>
      <c r="G116" s="9" t="n">
        <f aca="false">IF(Responses!G116=Responses!G$2,1,0)</f>
        <v>1</v>
      </c>
      <c r="H116" s="9" t="n">
        <f aca="false">IF(Responses!H116=Responses!H$2,1,0)</f>
        <v>0</v>
      </c>
      <c r="I116" s="9" t="n">
        <f aca="false">IF(Responses!I116=Responses!I$2,1,0)</f>
        <v>0</v>
      </c>
      <c r="J116" s="9" t="n">
        <f aca="false">IF(Responses!J116=Responses!J$2,1,0)</f>
        <v>1</v>
      </c>
      <c r="K116" s="9" t="n">
        <f aca="false">IF(Responses!K116=Responses!K$2,1,0)</f>
        <v>0</v>
      </c>
      <c r="L116" s="9" t="n">
        <f aca="false">IF(Responses!L116=Responses!L$2,1,0)</f>
        <v>0</v>
      </c>
      <c r="M116" s="9" t="n">
        <f aca="false">IF(Responses!M116=Responses!M$2,1,0)</f>
        <v>1</v>
      </c>
      <c r="N116" s="9" t="n">
        <f aca="false">IF(Responses!N116=Responses!N$2,1,0)</f>
        <v>0</v>
      </c>
      <c r="O116" s="9" t="n">
        <f aca="false">IF(Responses!O116=Responses!O$2,1,0)</f>
        <v>1</v>
      </c>
      <c r="P116" s="9" t="n">
        <f aca="false">IF(Responses!P116=Responses!P$2,1,0)</f>
        <v>0</v>
      </c>
      <c r="Q116" s="9" t="n">
        <f aca="false">IF(Responses!Q116=Responses!Q$2,1,0)</f>
        <v>1</v>
      </c>
      <c r="R116" s="9" t="n">
        <f aca="false">IF(Responses!R116=Responses!R$2,1,0)</f>
        <v>1</v>
      </c>
      <c r="S116" s="9" t="n">
        <f aca="false">IF(Responses!S116=Responses!S$2,1,0)</f>
        <v>0</v>
      </c>
      <c r="T116" s="9" t="n">
        <f aca="false">IF(Responses!T116=Responses!T$2,1,0)</f>
        <v>0</v>
      </c>
      <c r="U116" s="9" t="n">
        <f aca="false">IF(Responses!U116=Responses!U$2,1,0)</f>
        <v>0</v>
      </c>
      <c r="V116" s="9" t="n">
        <f aca="false">IF(Responses!V116=Responses!V$2,1,0)</f>
        <v>1</v>
      </c>
      <c r="W116" s="9" t="n">
        <f aca="false">IF(Responses!W116=Responses!W$2,1,0)</f>
        <v>0</v>
      </c>
      <c r="X116" s="9" t="n">
        <f aca="false">IF(Responses!X116=Responses!X$2,1,0)</f>
        <v>0</v>
      </c>
      <c r="Y116" s="9" t="n">
        <f aca="false">IF(Responses!Y116=Responses!Y$2,1,0)</f>
        <v>0</v>
      </c>
      <c r="Z116" s="9" t="n">
        <f aca="false">IF(Responses!Z116=Responses!Z$2,1,0)</f>
        <v>0</v>
      </c>
      <c r="AA116" s="9" t="n">
        <f aca="false">IF(Responses!AA116=Responses!AA$2,1,0)</f>
        <v>0</v>
      </c>
      <c r="AB116" s="9" t="n">
        <f aca="false">IF(Responses!AB116=Responses!AB$2,1,0)</f>
        <v>1</v>
      </c>
      <c r="AC116" s="9" t="n">
        <f aca="false">IF(Responses!AC116=Responses!AC$2,1,0)</f>
        <v>0</v>
      </c>
      <c r="AD116" s="9" t="n">
        <f aca="false">IF(Responses!AD116=Responses!AD$2,1,0)</f>
        <v>0</v>
      </c>
      <c r="AE116" s="9" t="n">
        <f aca="false">IF(Responses!AE116=Responses!AE$2,1,0)</f>
        <v>0</v>
      </c>
      <c r="AF116" s="9" t="n">
        <f aca="false">SUM(B116:AE116)</f>
        <v>8</v>
      </c>
    </row>
    <row r="117" customFormat="false" ht="15" hidden="false" customHeight="false" outlineLevel="0" collapsed="false">
      <c r="A117" s="0" t="str">
        <f aca="false">Responses!A117</f>
        <v>S115</v>
      </c>
      <c r="B117" s="9" t="n">
        <f aca="false">IF(Responses!B117=Responses!B$2,1,0)</f>
        <v>1</v>
      </c>
      <c r="C117" s="9" t="n">
        <f aca="false">IF(Responses!C117=Responses!C$2,1,0)</f>
        <v>0</v>
      </c>
      <c r="D117" s="9" t="n">
        <f aca="false">IF(Responses!D117=Responses!D$2,1,0)</f>
        <v>0</v>
      </c>
      <c r="E117" s="9" t="n">
        <f aca="false">IF(Responses!E117=Responses!E$2,1,0)</f>
        <v>1</v>
      </c>
      <c r="F117" s="9" t="n">
        <f aca="false">IF(Responses!F117=Responses!F$2,1,0)</f>
        <v>0</v>
      </c>
      <c r="G117" s="9" t="n">
        <f aca="false">IF(Responses!G117=Responses!G$2,1,0)</f>
        <v>0</v>
      </c>
      <c r="H117" s="9" t="n">
        <f aca="false">IF(Responses!H117=Responses!H$2,1,0)</f>
        <v>1</v>
      </c>
      <c r="I117" s="9" t="n">
        <f aca="false">IF(Responses!I117=Responses!I$2,1,0)</f>
        <v>0</v>
      </c>
      <c r="J117" s="9" t="n">
        <f aca="false">IF(Responses!J117=Responses!J$2,1,0)</f>
        <v>1</v>
      </c>
      <c r="K117" s="9" t="n">
        <f aca="false">IF(Responses!K117=Responses!K$2,1,0)</f>
        <v>0</v>
      </c>
      <c r="L117" s="9" t="n">
        <f aca="false">IF(Responses!L117=Responses!L$2,1,0)</f>
        <v>1</v>
      </c>
      <c r="M117" s="9" t="n">
        <f aca="false">IF(Responses!M117=Responses!M$2,1,0)</f>
        <v>1</v>
      </c>
      <c r="N117" s="9" t="n">
        <f aca="false">IF(Responses!N117=Responses!N$2,1,0)</f>
        <v>0</v>
      </c>
      <c r="O117" s="9" t="n">
        <f aca="false">IF(Responses!O117=Responses!O$2,1,0)</f>
        <v>1</v>
      </c>
      <c r="P117" s="9" t="n">
        <f aca="false">IF(Responses!P117=Responses!P$2,1,0)</f>
        <v>1</v>
      </c>
      <c r="Q117" s="9" t="n">
        <f aca="false">IF(Responses!Q117=Responses!Q$2,1,0)</f>
        <v>1</v>
      </c>
      <c r="R117" s="9" t="n">
        <f aca="false">IF(Responses!R117=Responses!R$2,1,0)</f>
        <v>1</v>
      </c>
      <c r="S117" s="9" t="n">
        <f aca="false">IF(Responses!S117=Responses!S$2,1,0)</f>
        <v>0</v>
      </c>
      <c r="T117" s="9" t="n">
        <f aca="false">IF(Responses!T117=Responses!T$2,1,0)</f>
        <v>0</v>
      </c>
      <c r="U117" s="9" t="n">
        <f aca="false">IF(Responses!U117=Responses!U$2,1,0)</f>
        <v>1</v>
      </c>
      <c r="V117" s="9" t="n">
        <f aca="false">IF(Responses!V117=Responses!V$2,1,0)</f>
        <v>1</v>
      </c>
      <c r="W117" s="9" t="n">
        <f aca="false">IF(Responses!W117=Responses!W$2,1,0)</f>
        <v>0</v>
      </c>
      <c r="X117" s="9" t="n">
        <f aca="false">IF(Responses!X117=Responses!X$2,1,0)</f>
        <v>0</v>
      </c>
      <c r="Y117" s="9" t="n">
        <f aca="false">IF(Responses!Y117=Responses!Y$2,1,0)</f>
        <v>0</v>
      </c>
      <c r="Z117" s="9" t="n">
        <f aca="false">IF(Responses!Z117=Responses!Z$2,1,0)</f>
        <v>0</v>
      </c>
      <c r="AA117" s="9" t="n">
        <f aca="false">IF(Responses!AA117=Responses!AA$2,1,0)</f>
        <v>0</v>
      </c>
      <c r="AB117" s="9" t="n">
        <f aca="false">IF(Responses!AB117=Responses!AB$2,1,0)</f>
        <v>0</v>
      </c>
      <c r="AC117" s="9" t="n">
        <f aca="false">IF(Responses!AC117=Responses!AC$2,1,0)</f>
        <v>0</v>
      </c>
      <c r="AD117" s="9" t="n">
        <f aca="false">IF(Responses!AD117=Responses!AD$2,1,0)</f>
        <v>0</v>
      </c>
      <c r="AE117" s="9" t="n">
        <f aca="false">IF(Responses!AE117=Responses!AE$2,1,0)</f>
        <v>1</v>
      </c>
      <c r="AF117" s="9" t="n">
        <f aca="false">SUM(B117:AE117)</f>
        <v>13</v>
      </c>
    </row>
    <row r="118" customFormat="false" ht="15" hidden="false" customHeight="false" outlineLevel="0" collapsed="false">
      <c r="A118" s="0" t="str">
        <f aca="false">Responses!A118</f>
        <v>S116</v>
      </c>
      <c r="B118" s="9" t="n">
        <f aca="false">IF(Responses!B118=Responses!B$2,1,0)</f>
        <v>1</v>
      </c>
      <c r="C118" s="9" t="n">
        <f aca="false">IF(Responses!C118=Responses!C$2,1,0)</f>
        <v>1</v>
      </c>
      <c r="D118" s="9" t="n">
        <f aca="false">IF(Responses!D118=Responses!D$2,1,0)</f>
        <v>1</v>
      </c>
      <c r="E118" s="9" t="n">
        <f aca="false">IF(Responses!E118=Responses!E$2,1,0)</f>
        <v>1</v>
      </c>
      <c r="F118" s="9" t="n">
        <f aca="false">IF(Responses!F118=Responses!F$2,1,0)</f>
        <v>1</v>
      </c>
      <c r="G118" s="9" t="n">
        <f aca="false">IF(Responses!G118=Responses!G$2,1,0)</f>
        <v>1</v>
      </c>
      <c r="H118" s="9" t="n">
        <f aca="false">IF(Responses!H118=Responses!H$2,1,0)</f>
        <v>0</v>
      </c>
      <c r="I118" s="9" t="n">
        <f aca="false">IF(Responses!I118=Responses!I$2,1,0)</f>
        <v>1</v>
      </c>
      <c r="J118" s="9" t="n">
        <f aca="false">IF(Responses!J118=Responses!J$2,1,0)</f>
        <v>1</v>
      </c>
      <c r="K118" s="9" t="n">
        <f aca="false">IF(Responses!K118=Responses!K$2,1,0)</f>
        <v>1</v>
      </c>
      <c r="L118" s="9" t="n">
        <f aca="false">IF(Responses!L118=Responses!L$2,1,0)</f>
        <v>1</v>
      </c>
      <c r="M118" s="9" t="n">
        <f aca="false">IF(Responses!M118=Responses!M$2,1,0)</f>
        <v>1</v>
      </c>
      <c r="N118" s="9" t="n">
        <f aca="false">IF(Responses!N118=Responses!N$2,1,0)</f>
        <v>1</v>
      </c>
      <c r="O118" s="9" t="n">
        <f aca="false">IF(Responses!O118=Responses!O$2,1,0)</f>
        <v>1</v>
      </c>
      <c r="P118" s="9" t="n">
        <f aca="false">IF(Responses!P118=Responses!P$2,1,0)</f>
        <v>1</v>
      </c>
      <c r="Q118" s="9" t="n">
        <f aca="false">IF(Responses!Q118=Responses!Q$2,1,0)</f>
        <v>1</v>
      </c>
      <c r="R118" s="9" t="n">
        <f aca="false">IF(Responses!R118=Responses!R$2,1,0)</f>
        <v>1</v>
      </c>
      <c r="S118" s="9" t="n">
        <f aca="false">IF(Responses!S118=Responses!S$2,1,0)</f>
        <v>0</v>
      </c>
      <c r="T118" s="9" t="n">
        <f aca="false">IF(Responses!T118=Responses!T$2,1,0)</f>
        <v>1</v>
      </c>
      <c r="U118" s="9" t="n">
        <f aca="false">IF(Responses!U118=Responses!U$2,1,0)</f>
        <v>1</v>
      </c>
      <c r="V118" s="9" t="n">
        <f aca="false">IF(Responses!V118=Responses!V$2,1,0)</f>
        <v>1</v>
      </c>
      <c r="W118" s="9" t="n">
        <f aca="false">IF(Responses!W118=Responses!W$2,1,0)</f>
        <v>1</v>
      </c>
      <c r="X118" s="9" t="n">
        <f aca="false">IF(Responses!X118=Responses!X$2,1,0)</f>
        <v>0</v>
      </c>
      <c r="Y118" s="9" t="n">
        <f aca="false">IF(Responses!Y118=Responses!Y$2,1,0)</f>
        <v>1</v>
      </c>
      <c r="Z118" s="9" t="n">
        <f aca="false">IF(Responses!Z118=Responses!Z$2,1,0)</f>
        <v>1</v>
      </c>
      <c r="AA118" s="9" t="n">
        <f aca="false">IF(Responses!AA118=Responses!AA$2,1,0)</f>
        <v>1</v>
      </c>
      <c r="AB118" s="9" t="n">
        <f aca="false">IF(Responses!AB118=Responses!AB$2,1,0)</f>
        <v>0</v>
      </c>
      <c r="AC118" s="9" t="n">
        <f aca="false">IF(Responses!AC118=Responses!AC$2,1,0)</f>
        <v>1</v>
      </c>
      <c r="AD118" s="9" t="n">
        <f aca="false">IF(Responses!AD118=Responses!AD$2,1,0)</f>
        <v>1</v>
      </c>
      <c r="AE118" s="9" t="n">
        <f aca="false">IF(Responses!AE118=Responses!AE$2,1,0)</f>
        <v>1</v>
      </c>
      <c r="AF118" s="9" t="n">
        <f aca="false">SUM(B118:AE118)</f>
        <v>26</v>
      </c>
    </row>
    <row r="119" customFormat="false" ht="15" hidden="false" customHeight="false" outlineLevel="0" collapsed="false">
      <c r="A119" s="0" t="str">
        <f aca="false">Responses!A119</f>
        <v>S117</v>
      </c>
      <c r="B119" s="9" t="n">
        <f aca="false">IF(Responses!B119=Responses!B$2,1,0)</f>
        <v>0</v>
      </c>
      <c r="C119" s="9" t="n">
        <f aca="false">IF(Responses!C119=Responses!C$2,1,0)</f>
        <v>0</v>
      </c>
      <c r="D119" s="9" t="n">
        <f aca="false">IF(Responses!D119=Responses!D$2,1,0)</f>
        <v>0</v>
      </c>
      <c r="E119" s="9" t="n">
        <f aca="false">IF(Responses!E119=Responses!E$2,1,0)</f>
        <v>1</v>
      </c>
      <c r="F119" s="9" t="n">
        <f aca="false">IF(Responses!F119=Responses!F$2,1,0)</f>
        <v>0</v>
      </c>
      <c r="G119" s="9" t="n">
        <f aca="false">IF(Responses!G119=Responses!G$2,1,0)</f>
        <v>0</v>
      </c>
      <c r="H119" s="9" t="n">
        <f aca="false">IF(Responses!H119=Responses!H$2,1,0)</f>
        <v>0</v>
      </c>
      <c r="I119" s="9" t="n">
        <f aca="false">IF(Responses!I119=Responses!I$2,1,0)</f>
        <v>0</v>
      </c>
      <c r="J119" s="9" t="n">
        <f aca="false">IF(Responses!J119=Responses!J$2,1,0)</f>
        <v>1</v>
      </c>
      <c r="K119" s="9" t="n">
        <f aca="false">IF(Responses!K119=Responses!K$2,1,0)</f>
        <v>1</v>
      </c>
      <c r="L119" s="9" t="n">
        <f aca="false">IF(Responses!L119=Responses!L$2,1,0)</f>
        <v>0</v>
      </c>
      <c r="M119" s="9" t="n">
        <f aca="false">IF(Responses!M119=Responses!M$2,1,0)</f>
        <v>1</v>
      </c>
      <c r="N119" s="9" t="n">
        <f aca="false">IF(Responses!N119=Responses!N$2,1,0)</f>
        <v>0</v>
      </c>
      <c r="O119" s="9" t="n">
        <f aca="false">IF(Responses!O119=Responses!O$2,1,0)</f>
        <v>0</v>
      </c>
      <c r="P119" s="9" t="n">
        <f aca="false">IF(Responses!P119=Responses!P$2,1,0)</f>
        <v>1</v>
      </c>
      <c r="Q119" s="9" t="n">
        <f aca="false">IF(Responses!Q119=Responses!Q$2,1,0)</f>
        <v>1</v>
      </c>
      <c r="R119" s="9" t="n">
        <f aca="false">IF(Responses!R119=Responses!R$2,1,0)</f>
        <v>0</v>
      </c>
      <c r="S119" s="9" t="n">
        <f aca="false">IF(Responses!S119=Responses!S$2,1,0)</f>
        <v>0</v>
      </c>
      <c r="T119" s="9" t="n">
        <f aca="false">IF(Responses!T119=Responses!T$2,1,0)</f>
        <v>0</v>
      </c>
      <c r="U119" s="9" t="n">
        <f aca="false">IF(Responses!U119=Responses!U$2,1,0)</f>
        <v>1</v>
      </c>
      <c r="V119" s="9" t="n">
        <f aca="false">IF(Responses!V119=Responses!V$2,1,0)</f>
        <v>0</v>
      </c>
      <c r="W119" s="9" t="n">
        <f aca="false">IF(Responses!W119=Responses!W$2,1,0)</f>
        <v>0</v>
      </c>
      <c r="X119" s="9" t="n">
        <f aca="false">IF(Responses!X119=Responses!X$2,1,0)</f>
        <v>0</v>
      </c>
      <c r="Y119" s="9" t="n">
        <f aca="false">IF(Responses!Y119=Responses!Y$2,1,0)</f>
        <v>0</v>
      </c>
      <c r="Z119" s="9" t="n">
        <f aca="false">IF(Responses!Z119=Responses!Z$2,1,0)</f>
        <v>0</v>
      </c>
      <c r="AA119" s="9" t="n">
        <f aca="false">IF(Responses!AA119=Responses!AA$2,1,0)</f>
        <v>0</v>
      </c>
      <c r="AB119" s="9" t="n">
        <f aca="false">IF(Responses!AB119=Responses!AB$2,1,0)</f>
        <v>1</v>
      </c>
      <c r="AC119" s="9" t="n">
        <f aca="false">IF(Responses!AC119=Responses!AC$2,1,0)</f>
        <v>0</v>
      </c>
      <c r="AD119" s="9" t="n">
        <f aca="false">IF(Responses!AD119=Responses!AD$2,1,0)</f>
        <v>0</v>
      </c>
      <c r="AE119" s="9" t="n">
        <f aca="false">IF(Responses!AE119=Responses!AE$2,1,0)</f>
        <v>0</v>
      </c>
      <c r="AF119" s="9" t="n">
        <f aca="false">SUM(B119:AE119)</f>
        <v>8</v>
      </c>
    </row>
    <row r="120" customFormat="false" ht="15" hidden="false" customHeight="false" outlineLevel="0" collapsed="false">
      <c r="A120" s="0" t="str">
        <f aca="false">Responses!A120</f>
        <v>S118</v>
      </c>
      <c r="B120" s="9" t="n">
        <f aca="false">IF(Responses!B120=Responses!B$2,1,0)</f>
        <v>1</v>
      </c>
      <c r="C120" s="9" t="n">
        <f aca="false">IF(Responses!C120=Responses!C$2,1,0)</f>
        <v>1</v>
      </c>
      <c r="D120" s="9" t="n">
        <f aca="false">IF(Responses!D120=Responses!D$2,1,0)</f>
        <v>0</v>
      </c>
      <c r="E120" s="9" t="n">
        <f aca="false">IF(Responses!E120=Responses!E$2,1,0)</f>
        <v>1</v>
      </c>
      <c r="F120" s="9" t="n">
        <f aca="false">IF(Responses!F120=Responses!F$2,1,0)</f>
        <v>0</v>
      </c>
      <c r="G120" s="9" t="n">
        <f aca="false">IF(Responses!G120=Responses!G$2,1,0)</f>
        <v>1</v>
      </c>
      <c r="H120" s="9" t="n">
        <f aca="false">IF(Responses!H120=Responses!H$2,1,0)</f>
        <v>0</v>
      </c>
      <c r="I120" s="9" t="n">
        <f aca="false">IF(Responses!I120=Responses!I$2,1,0)</f>
        <v>1</v>
      </c>
      <c r="J120" s="9" t="n">
        <f aca="false">IF(Responses!J120=Responses!J$2,1,0)</f>
        <v>1</v>
      </c>
      <c r="K120" s="9" t="n">
        <f aca="false">IF(Responses!K120=Responses!K$2,1,0)</f>
        <v>1</v>
      </c>
      <c r="L120" s="9" t="n">
        <f aca="false">IF(Responses!L120=Responses!L$2,1,0)</f>
        <v>1</v>
      </c>
      <c r="M120" s="9" t="n">
        <f aca="false">IF(Responses!M120=Responses!M$2,1,0)</f>
        <v>1</v>
      </c>
      <c r="N120" s="9" t="n">
        <f aca="false">IF(Responses!N120=Responses!N$2,1,0)</f>
        <v>1</v>
      </c>
      <c r="O120" s="9" t="n">
        <f aca="false">IF(Responses!O120=Responses!O$2,1,0)</f>
        <v>1</v>
      </c>
      <c r="P120" s="9" t="n">
        <f aca="false">IF(Responses!P120=Responses!P$2,1,0)</f>
        <v>0</v>
      </c>
      <c r="Q120" s="9" t="n">
        <f aca="false">IF(Responses!Q120=Responses!Q$2,1,0)</f>
        <v>1</v>
      </c>
      <c r="R120" s="9" t="n">
        <f aca="false">IF(Responses!R120=Responses!R$2,1,0)</f>
        <v>1</v>
      </c>
      <c r="S120" s="9" t="n">
        <f aca="false">IF(Responses!S120=Responses!S$2,1,0)</f>
        <v>1</v>
      </c>
      <c r="T120" s="9" t="n">
        <f aca="false">IF(Responses!T120=Responses!T$2,1,0)</f>
        <v>1</v>
      </c>
      <c r="U120" s="9" t="n">
        <f aca="false">IF(Responses!U120=Responses!U$2,1,0)</f>
        <v>1</v>
      </c>
      <c r="V120" s="9" t="n">
        <f aca="false">IF(Responses!V120=Responses!V$2,1,0)</f>
        <v>1</v>
      </c>
      <c r="W120" s="9" t="n">
        <f aca="false">IF(Responses!W120=Responses!W$2,1,0)</f>
        <v>1</v>
      </c>
      <c r="X120" s="9" t="n">
        <f aca="false">IF(Responses!X120=Responses!X$2,1,0)</f>
        <v>1</v>
      </c>
      <c r="Y120" s="9" t="n">
        <f aca="false">IF(Responses!Y120=Responses!Y$2,1,0)</f>
        <v>1</v>
      </c>
      <c r="Z120" s="9" t="n">
        <f aca="false">IF(Responses!Z120=Responses!Z$2,1,0)</f>
        <v>1</v>
      </c>
      <c r="AA120" s="9" t="n">
        <f aca="false">IF(Responses!AA120=Responses!AA$2,1,0)</f>
        <v>0</v>
      </c>
      <c r="AB120" s="9" t="n">
        <f aca="false">IF(Responses!AB120=Responses!AB$2,1,0)</f>
        <v>0</v>
      </c>
      <c r="AC120" s="9" t="n">
        <f aca="false">IF(Responses!AC120=Responses!AC$2,1,0)</f>
        <v>1</v>
      </c>
      <c r="AD120" s="9" t="n">
        <f aca="false">IF(Responses!AD120=Responses!AD$2,1,0)</f>
        <v>0</v>
      </c>
      <c r="AE120" s="9" t="n">
        <f aca="false">IF(Responses!AE120=Responses!AE$2,1,0)</f>
        <v>1</v>
      </c>
      <c r="AF120" s="9" t="n">
        <f aca="false">SUM(B120:AE120)</f>
        <v>23</v>
      </c>
    </row>
    <row r="121" customFormat="false" ht="15" hidden="false" customHeight="false" outlineLevel="0" collapsed="false">
      <c r="A121" s="0" t="str">
        <f aca="false">Responses!A121</f>
        <v>S119</v>
      </c>
      <c r="B121" s="9" t="n">
        <f aca="false">IF(Responses!B121=Responses!B$2,1,0)</f>
        <v>0</v>
      </c>
      <c r="C121" s="9" t="n">
        <f aca="false">IF(Responses!C121=Responses!C$2,1,0)</f>
        <v>0</v>
      </c>
      <c r="D121" s="9" t="n">
        <f aca="false">IF(Responses!D121=Responses!D$2,1,0)</f>
        <v>1</v>
      </c>
      <c r="E121" s="9" t="n">
        <f aca="false">IF(Responses!E121=Responses!E$2,1,0)</f>
        <v>1</v>
      </c>
      <c r="F121" s="9" t="n">
        <f aca="false">IF(Responses!F121=Responses!F$2,1,0)</f>
        <v>1</v>
      </c>
      <c r="G121" s="9" t="n">
        <f aca="false">IF(Responses!G121=Responses!G$2,1,0)</f>
        <v>0</v>
      </c>
      <c r="H121" s="9" t="n">
        <f aca="false">IF(Responses!H121=Responses!H$2,1,0)</f>
        <v>0</v>
      </c>
      <c r="I121" s="9" t="n">
        <f aca="false">IF(Responses!I121=Responses!I$2,1,0)</f>
        <v>1</v>
      </c>
      <c r="J121" s="9" t="n">
        <f aca="false">IF(Responses!J121=Responses!J$2,1,0)</f>
        <v>1</v>
      </c>
      <c r="K121" s="9" t="n">
        <f aca="false">IF(Responses!K121=Responses!K$2,1,0)</f>
        <v>1</v>
      </c>
      <c r="L121" s="9" t="n">
        <f aca="false">IF(Responses!L121=Responses!L$2,1,0)</f>
        <v>1</v>
      </c>
      <c r="M121" s="9" t="n">
        <f aca="false">IF(Responses!M121=Responses!M$2,1,0)</f>
        <v>1</v>
      </c>
      <c r="N121" s="9" t="n">
        <f aca="false">IF(Responses!N121=Responses!N$2,1,0)</f>
        <v>1</v>
      </c>
      <c r="O121" s="9" t="n">
        <f aca="false">IF(Responses!O121=Responses!O$2,1,0)</f>
        <v>1</v>
      </c>
      <c r="P121" s="9" t="n">
        <f aca="false">IF(Responses!P121=Responses!P$2,1,0)</f>
        <v>1</v>
      </c>
      <c r="Q121" s="9" t="n">
        <f aca="false">IF(Responses!Q121=Responses!Q$2,1,0)</f>
        <v>1</v>
      </c>
      <c r="R121" s="9" t="n">
        <f aca="false">IF(Responses!R121=Responses!R$2,1,0)</f>
        <v>1</v>
      </c>
      <c r="S121" s="9" t="n">
        <f aca="false">IF(Responses!S121=Responses!S$2,1,0)</f>
        <v>0</v>
      </c>
      <c r="T121" s="9" t="n">
        <f aca="false">IF(Responses!T121=Responses!T$2,1,0)</f>
        <v>1</v>
      </c>
      <c r="U121" s="9" t="n">
        <f aca="false">IF(Responses!U121=Responses!U$2,1,0)</f>
        <v>1</v>
      </c>
      <c r="V121" s="9" t="n">
        <f aca="false">IF(Responses!V121=Responses!V$2,1,0)</f>
        <v>0</v>
      </c>
      <c r="W121" s="9" t="n">
        <f aca="false">IF(Responses!W121=Responses!W$2,1,0)</f>
        <v>1</v>
      </c>
      <c r="X121" s="9" t="n">
        <f aca="false">IF(Responses!X121=Responses!X$2,1,0)</f>
        <v>1</v>
      </c>
      <c r="Y121" s="9" t="n">
        <f aca="false">IF(Responses!Y121=Responses!Y$2,1,0)</f>
        <v>1</v>
      </c>
      <c r="Z121" s="9" t="n">
        <f aca="false">IF(Responses!Z121=Responses!Z$2,1,0)</f>
        <v>1</v>
      </c>
      <c r="AA121" s="9" t="n">
        <f aca="false">IF(Responses!AA121=Responses!AA$2,1,0)</f>
        <v>0</v>
      </c>
      <c r="AB121" s="9" t="n">
        <f aca="false">IF(Responses!AB121=Responses!AB$2,1,0)</f>
        <v>0</v>
      </c>
      <c r="AC121" s="9" t="n">
        <f aca="false">IF(Responses!AC121=Responses!AC$2,1,0)</f>
        <v>0</v>
      </c>
      <c r="AD121" s="9" t="n">
        <f aca="false">IF(Responses!AD121=Responses!AD$2,1,0)</f>
        <v>0</v>
      </c>
      <c r="AE121" s="9" t="n">
        <f aca="false">IF(Responses!AE121=Responses!AE$2,1,0)</f>
        <v>1</v>
      </c>
      <c r="AF121" s="9" t="n">
        <f aca="false">SUM(B121:AE121)</f>
        <v>20</v>
      </c>
    </row>
    <row r="122" customFormat="false" ht="15" hidden="false" customHeight="false" outlineLevel="0" collapsed="false">
      <c r="A122" s="0" t="str">
        <f aca="false">Responses!A122</f>
        <v>S120</v>
      </c>
      <c r="B122" s="9" t="n">
        <f aca="false">IF(Responses!B122=Responses!B$2,1,0)</f>
        <v>0</v>
      </c>
      <c r="C122" s="9" t="n">
        <f aca="false">IF(Responses!C122=Responses!C$2,1,0)</f>
        <v>1</v>
      </c>
      <c r="D122" s="9" t="n">
        <f aca="false">IF(Responses!D122=Responses!D$2,1,0)</f>
        <v>0</v>
      </c>
      <c r="E122" s="9" t="n">
        <f aca="false">IF(Responses!E122=Responses!E$2,1,0)</f>
        <v>1</v>
      </c>
      <c r="F122" s="9" t="n">
        <f aca="false">IF(Responses!F122=Responses!F$2,1,0)</f>
        <v>1</v>
      </c>
      <c r="G122" s="9" t="n">
        <f aca="false">IF(Responses!G122=Responses!G$2,1,0)</f>
        <v>0</v>
      </c>
      <c r="H122" s="9" t="n">
        <f aca="false">IF(Responses!H122=Responses!H$2,1,0)</f>
        <v>0</v>
      </c>
      <c r="I122" s="9" t="n">
        <f aca="false">IF(Responses!I122=Responses!I$2,1,0)</f>
        <v>1</v>
      </c>
      <c r="J122" s="9" t="n">
        <f aca="false">IF(Responses!J122=Responses!J$2,1,0)</f>
        <v>1</v>
      </c>
      <c r="K122" s="9" t="n">
        <f aca="false">IF(Responses!K122=Responses!K$2,1,0)</f>
        <v>1</v>
      </c>
      <c r="L122" s="9" t="n">
        <f aca="false">IF(Responses!L122=Responses!L$2,1,0)</f>
        <v>1</v>
      </c>
      <c r="M122" s="9" t="n">
        <f aca="false">IF(Responses!M122=Responses!M$2,1,0)</f>
        <v>1</v>
      </c>
      <c r="N122" s="9" t="n">
        <f aca="false">IF(Responses!N122=Responses!N$2,1,0)</f>
        <v>0</v>
      </c>
      <c r="O122" s="9" t="n">
        <f aca="false">IF(Responses!O122=Responses!O$2,1,0)</f>
        <v>1</v>
      </c>
      <c r="P122" s="9" t="n">
        <f aca="false">IF(Responses!P122=Responses!P$2,1,0)</f>
        <v>1</v>
      </c>
      <c r="Q122" s="9" t="n">
        <f aca="false">IF(Responses!Q122=Responses!Q$2,1,0)</f>
        <v>1</v>
      </c>
      <c r="R122" s="9" t="n">
        <f aca="false">IF(Responses!R122=Responses!R$2,1,0)</f>
        <v>1</v>
      </c>
      <c r="S122" s="9" t="n">
        <f aca="false">IF(Responses!S122=Responses!S$2,1,0)</f>
        <v>1</v>
      </c>
      <c r="T122" s="9" t="n">
        <f aca="false">IF(Responses!T122=Responses!T$2,1,0)</f>
        <v>1</v>
      </c>
      <c r="U122" s="9" t="n">
        <f aca="false">IF(Responses!U122=Responses!U$2,1,0)</f>
        <v>0</v>
      </c>
      <c r="V122" s="9" t="n">
        <f aca="false">IF(Responses!V122=Responses!V$2,1,0)</f>
        <v>1</v>
      </c>
      <c r="W122" s="9" t="n">
        <f aca="false">IF(Responses!W122=Responses!W$2,1,0)</f>
        <v>1</v>
      </c>
      <c r="X122" s="9" t="n">
        <f aca="false">IF(Responses!X122=Responses!X$2,1,0)</f>
        <v>1</v>
      </c>
      <c r="Y122" s="9" t="n">
        <f aca="false">IF(Responses!Y122=Responses!Y$2,1,0)</f>
        <v>1</v>
      </c>
      <c r="Z122" s="9" t="n">
        <f aca="false">IF(Responses!Z122=Responses!Z$2,1,0)</f>
        <v>1</v>
      </c>
      <c r="AA122" s="9" t="n">
        <f aca="false">IF(Responses!AA122=Responses!AA$2,1,0)</f>
        <v>0</v>
      </c>
      <c r="AB122" s="9" t="n">
        <f aca="false">IF(Responses!AB122=Responses!AB$2,1,0)</f>
        <v>0</v>
      </c>
      <c r="AC122" s="9" t="n">
        <f aca="false">IF(Responses!AC122=Responses!AC$2,1,0)</f>
        <v>1</v>
      </c>
      <c r="AD122" s="9" t="n">
        <f aca="false">IF(Responses!AD122=Responses!AD$2,1,0)</f>
        <v>1</v>
      </c>
      <c r="AE122" s="9" t="n">
        <f aca="false">IF(Responses!AE122=Responses!AE$2,1,0)</f>
        <v>1</v>
      </c>
      <c r="AF122" s="9" t="n">
        <f aca="false">SUM(B122:AE122)</f>
        <v>22</v>
      </c>
    </row>
    <row r="123" customFormat="false" ht="15" hidden="false" customHeight="false" outlineLevel="0" collapsed="false">
      <c r="A123" s="0" t="str">
        <f aca="false">Responses!A123</f>
        <v>S121</v>
      </c>
      <c r="B123" s="9" t="n">
        <f aca="false">IF(Responses!B123=Responses!B$2,1,0)</f>
        <v>1</v>
      </c>
      <c r="C123" s="9" t="n">
        <f aca="false">IF(Responses!C123=Responses!C$2,1,0)</f>
        <v>1</v>
      </c>
      <c r="D123" s="9" t="n">
        <f aca="false">IF(Responses!D123=Responses!D$2,1,0)</f>
        <v>1</v>
      </c>
      <c r="E123" s="9" t="n">
        <f aca="false">IF(Responses!E123=Responses!E$2,1,0)</f>
        <v>1</v>
      </c>
      <c r="F123" s="9" t="n">
        <f aca="false">IF(Responses!F123=Responses!F$2,1,0)</f>
        <v>1</v>
      </c>
      <c r="G123" s="9" t="n">
        <f aca="false">IF(Responses!G123=Responses!G$2,1,0)</f>
        <v>1</v>
      </c>
      <c r="H123" s="9" t="n">
        <f aca="false">IF(Responses!H123=Responses!H$2,1,0)</f>
        <v>0</v>
      </c>
      <c r="I123" s="9" t="n">
        <f aca="false">IF(Responses!I123=Responses!I$2,1,0)</f>
        <v>1</v>
      </c>
      <c r="J123" s="9" t="n">
        <f aca="false">IF(Responses!J123=Responses!J$2,1,0)</f>
        <v>1</v>
      </c>
      <c r="K123" s="9" t="n">
        <f aca="false">IF(Responses!K123=Responses!K$2,1,0)</f>
        <v>1</v>
      </c>
      <c r="L123" s="9" t="n">
        <f aca="false">IF(Responses!L123=Responses!L$2,1,0)</f>
        <v>1</v>
      </c>
      <c r="M123" s="9" t="n">
        <f aca="false">IF(Responses!M123=Responses!M$2,1,0)</f>
        <v>1</v>
      </c>
      <c r="N123" s="9" t="n">
        <f aca="false">IF(Responses!N123=Responses!N$2,1,0)</f>
        <v>0</v>
      </c>
      <c r="O123" s="9" t="n">
        <f aca="false">IF(Responses!O123=Responses!O$2,1,0)</f>
        <v>1</v>
      </c>
      <c r="P123" s="9" t="n">
        <f aca="false">IF(Responses!P123=Responses!P$2,1,0)</f>
        <v>1</v>
      </c>
      <c r="Q123" s="9" t="n">
        <f aca="false">IF(Responses!Q123=Responses!Q$2,1,0)</f>
        <v>1</v>
      </c>
      <c r="R123" s="9" t="n">
        <f aca="false">IF(Responses!R123=Responses!R$2,1,0)</f>
        <v>1</v>
      </c>
      <c r="S123" s="9" t="n">
        <f aca="false">IF(Responses!S123=Responses!S$2,1,0)</f>
        <v>0</v>
      </c>
      <c r="T123" s="9" t="n">
        <f aca="false">IF(Responses!T123=Responses!T$2,1,0)</f>
        <v>1</v>
      </c>
      <c r="U123" s="9" t="n">
        <f aca="false">IF(Responses!U123=Responses!U$2,1,0)</f>
        <v>1</v>
      </c>
      <c r="V123" s="9" t="n">
        <f aca="false">IF(Responses!V123=Responses!V$2,1,0)</f>
        <v>0</v>
      </c>
      <c r="W123" s="9" t="n">
        <f aca="false">IF(Responses!W123=Responses!W$2,1,0)</f>
        <v>1</v>
      </c>
      <c r="X123" s="9" t="n">
        <f aca="false">IF(Responses!X123=Responses!X$2,1,0)</f>
        <v>1</v>
      </c>
      <c r="Y123" s="9" t="n">
        <f aca="false">IF(Responses!Y123=Responses!Y$2,1,0)</f>
        <v>1</v>
      </c>
      <c r="Z123" s="9" t="n">
        <f aca="false">IF(Responses!Z123=Responses!Z$2,1,0)</f>
        <v>1</v>
      </c>
      <c r="AA123" s="9" t="n">
        <f aca="false">IF(Responses!AA123=Responses!AA$2,1,0)</f>
        <v>1</v>
      </c>
      <c r="AB123" s="9" t="n">
        <f aca="false">IF(Responses!AB123=Responses!AB$2,1,0)</f>
        <v>1</v>
      </c>
      <c r="AC123" s="9" t="n">
        <f aca="false">IF(Responses!AC123=Responses!AC$2,1,0)</f>
        <v>1</v>
      </c>
      <c r="AD123" s="9" t="n">
        <f aca="false">IF(Responses!AD123=Responses!AD$2,1,0)</f>
        <v>1</v>
      </c>
      <c r="AE123" s="9" t="n">
        <f aca="false">IF(Responses!AE123=Responses!AE$2,1,0)</f>
        <v>1</v>
      </c>
      <c r="AF123" s="9" t="n">
        <f aca="false">SUM(B123:AE123)</f>
        <v>26</v>
      </c>
    </row>
    <row r="124" customFormat="false" ht="15" hidden="false" customHeight="false" outlineLevel="0" collapsed="false">
      <c r="A124" s="0" t="str">
        <f aca="false">Responses!A124</f>
        <v>S122</v>
      </c>
      <c r="B124" s="9" t="n">
        <f aca="false">IF(Responses!B124=Responses!B$2,1,0)</f>
        <v>0</v>
      </c>
      <c r="C124" s="9" t="n">
        <f aca="false">IF(Responses!C124=Responses!C$2,1,0)</f>
        <v>0</v>
      </c>
      <c r="D124" s="9" t="n">
        <f aca="false">IF(Responses!D124=Responses!D$2,1,0)</f>
        <v>0</v>
      </c>
      <c r="E124" s="9" t="n">
        <f aca="false">IF(Responses!E124=Responses!E$2,1,0)</f>
        <v>0</v>
      </c>
      <c r="F124" s="9" t="n">
        <f aca="false">IF(Responses!F124=Responses!F$2,1,0)</f>
        <v>0</v>
      </c>
      <c r="G124" s="9" t="n">
        <f aca="false">IF(Responses!G124=Responses!G$2,1,0)</f>
        <v>1</v>
      </c>
      <c r="H124" s="9" t="n">
        <f aca="false">IF(Responses!H124=Responses!H$2,1,0)</f>
        <v>1</v>
      </c>
      <c r="I124" s="9" t="n">
        <f aca="false">IF(Responses!I124=Responses!I$2,1,0)</f>
        <v>0</v>
      </c>
      <c r="J124" s="9" t="n">
        <f aca="false">IF(Responses!J124=Responses!J$2,1,0)</f>
        <v>1</v>
      </c>
      <c r="K124" s="9" t="n">
        <f aca="false">IF(Responses!K124=Responses!K$2,1,0)</f>
        <v>0</v>
      </c>
      <c r="L124" s="9" t="n">
        <f aca="false">IF(Responses!L124=Responses!L$2,1,0)</f>
        <v>1</v>
      </c>
      <c r="M124" s="9" t="n">
        <f aca="false">IF(Responses!M124=Responses!M$2,1,0)</f>
        <v>1</v>
      </c>
      <c r="N124" s="9" t="n">
        <f aca="false">IF(Responses!N124=Responses!N$2,1,0)</f>
        <v>0</v>
      </c>
      <c r="O124" s="9" t="n">
        <f aca="false">IF(Responses!O124=Responses!O$2,1,0)</f>
        <v>1</v>
      </c>
      <c r="P124" s="9" t="n">
        <f aca="false">IF(Responses!P124=Responses!P$2,1,0)</f>
        <v>0</v>
      </c>
      <c r="Q124" s="9" t="n">
        <f aca="false">IF(Responses!Q124=Responses!Q$2,1,0)</f>
        <v>1</v>
      </c>
      <c r="R124" s="9" t="n">
        <f aca="false">IF(Responses!R124=Responses!R$2,1,0)</f>
        <v>1</v>
      </c>
      <c r="S124" s="9" t="n">
        <f aca="false">IF(Responses!S124=Responses!S$2,1,0)</f>
        <v>0</v>
      </c>
      <c r="T124" s="9" t="n">
        <f aca="false">IF(Responses!T124=Responses!T$2,1,0)</f>
        <v>0</v>
      </c>
      <c r="U124" s="9" t="n">
        <f aca="false">IF(Responses!U124=Responses!U$2,1,0)</f>
        <v>0</v>
      </c>
      <c r="V124" s="9" t="n">
        <f aca="false">IF(Responses!V124=Responses!V$2,1,0)</f>
        <v>0</v>
      </c>
      <c r="W124" s="9" t="n">
        <f aca="false">IF(Responses!W124=Responses!W$2,1,0)</f>
        <v>0</v>
      </c>
      <c r="X124" s="9" t="n">
        <f aca="false">IF(Responses!X124=Responses!X$2,1,0)</f>
        <v>0</v>
      </c>
      <c r="Y124" s="9" t="n">
        <f aca="false">IF(Responses!Y124=Responses!Y$2,1,0)</f>
        <v>1</v>
      </c>
      <c r="Z124" s="9" t="n">
        <f aca="false">IF(Responses!Z124=Responses!Z$2,1,0)</f>
        <v>0</v>
      </c>
      <c r="AA124" s="9" t="n">
        <f aca="false">IF(Responses!AA124=Responses!AA$2,1,0)</f>
        <v>1</v>
      </c>
      <c r="AB124" s="9" t="n">
        <f aca="false">IF(Responses!AB124=Responses!AB$2,1,0)</f>
        <v>1</v>
      </c>
      <c r="AC124" s="9" t="n">
        <f aca="false">IF(Responses!AC124=Responses!AC$2,1,0)</f>
        <v>0</v>
      </c>
      <c r="AD124" s="9" t="n">
        <f aca="false">IF(Responses!AD124=Responses!AD$2,1,0)</f>
        <v>0</v>
      </c>
      <c r="AE124" s="9" t="n">
        <f aca="false">IF(Responses!AE124=Responses!AE$2,1,0)</f>
        <v>0</v>
      </c>
      <c r="AF124" s="9" t="n">
        <f aca="false">SUM(B124:AE124)</f>
        <v>11</v>
      </c>
    </row>
    <row r="125" customFormat="false" ht="15" hidden="false" customHeight="false" outlineLevel="0" collapsed="false">
      <c r="A125" s="0" t="str">
        <f aca="false">Responses!A125</f>
        <v>S123</v>
      </c>
      <c r="B125" s="9" t="n">
        <f aca="false">IF(Responses!B125=Responses!B$2,1,0)</f>
        <v>1</v>
      </c>
      <c r="C125" s="9" t="n">
        <f aca="false">IF(Responses!C125=Responses!C$2,1,0)</f>
        <v>0</v>
      </c>
      <c r="D125" s="9" t="n">
        <f aca="false">IF(Responses!D125=Responses!D$2,1,0)</f>
        <v>0</v>
      </c>
      <c r="E125" s="9" t="n">
        <f aca="false">IF(Responses!E125=Responses!E$2,1,0)</f>
        <v>1</v>
      </c>
      <c r="F125" s="9" t="n">
        <f aca="false">IF(Responses!F125=Responses!F$2,1,0)</f>
        <v>0</v>
      </c>
      <c r="G125" s="9" t="n">
        <f aca="false">IF(Responses!G125=Responses!G$2,1,0)</f>
        <v>0</v>
      </c>
      <c r="H125" s="9" t="n">
        <f aca="false">IF(Responses!H125=Responses!H$2,1,0)</f>
        <v>0</v>
      </c>
      <c r="I125" s="9" t="n">
        <f aca="false">IF(Responses!I125=Responses!I$2,1,0)</f>
        <v>0</v>
      </c>
      <c r="J125" s="9" t="n">
        <f aca="false">IF(Responses!J125=Responses!J$2,1,0)</f>
        <v>0</v>
      </c>
      <c r="K125" s="9" t="n">
        <f aca="false">IF(Responses!K125=Responses!K$2,1,0)</f>
        <v>1</v>
      </c>
      <c r="L125" s="9" t="n">
        <f aca="false">IF(Responses!L125=Responses!L$2,1,0)</f>
        <v>0</v>
      </c>
      <c r="M125" s="9" t="n">
        <f aca="false">IF(Responses!M125=Responses!M$2,1,0)</f>
        <v>1</v>
      </c>
      <c r="N125" s="9" t="n">
        <f aca="false">IF(Responses!N125=Responses!N$2,1,0)</f>
        <v>0</v>
      </c>
      <c r="O125" s="9" t="n">
        <f aca="false">IF(Responses!O125=Responses!O$2,1,0)</f>
        <v>1</v>
      </c>
      <c r="P125" s="9" t="n">
        <f aca="false">IF(Responses!P125=Responses!P$2,1,0)</f>
        <v>1</v>
      </c>
      <c r="Q125" s="9" t="n">
        <f aca="false">IF(Responses!Q125=Responses!Q$2,1,0)</f>
        <v>1</v>
      </c>
      <c r="R125" s="9" t="n">
        <f aca="false">IF(Responses!R125=Responses!R$2,1,0)</f>
        <v>0</v>
      </c>
      <c r="S125" s="9" t="n">
        <f aca="false">IF(Responses!S125=Responses!S$2,1,0)</f>
        <v>1</v>
      </c>
      <c r="T125" s="9" t="n">
        <f aca="false">IF(Responses!T125=Responses!T$2,1,0)</f>
        <v>1</v>
      </c>
      <c r="U125" s="9" t="n">
        <f aca="false">IF(Responses!U125=Responses!U$2,1,0)</f>
        <v>0</v>
      </c>
      <c r="V125" s="9" t="n">
        <f aca="false">IF(Responses!V125=Responses!V$2,1,0)</f>
        <v>0</v>
      </c>
      <c r="W125" s="9" t="n">
        <f aca="false">IF(Responses!W125=Responses!W$2,1,0)</f>
        <v>1</v>
      </c>
      <c r="X125" s="9" t="n">
        <f aca="false">IF(Responses!X125=Responses!X$2,1,0)</f>
        <v>0</v>
      </c>
      <c r="Y125" s="9" t="n">
        <f aca="false">IF(Responses!Y125=Responses!Y$2,1,0)</f>
        <v>0</v>
      </c>
      <c r="Z125" s="9" t="n">
        <f aca="false">IF(Responses!Z125=Responses!Z$2,1,0)</f>
        <v>1</v>
      </c>
      <c r="AA125" s="9" t="n">
        <f aca="false">IF(Responses!AA125=Responses!AA$2,1,0)</f>
        <v>0</v>
      </c>
      <c r="AB125" s="9" t="n">
        <f aca="false">IF(Responses!AB125=Responses!AB$2,1,0)</f>
        <v>0</v>
      </c>
      <c r="AC125" s="9" t="n">
        <f aca="false">IF(Responses!AC125=Responses!AC$2,1,0)</f>
        <v>0</v>
      </c>
      <c r="AD125" s="9" t="n">
        <f aca="false">IF(Responses!AD125=Responses!AD$2,1,0)</f>
        <v>0</v>
      </c>
      <c r="AE125" s="9" t="n">
        <f aca="false">IF(Responses!AE125=Responses!AE$2,1,0)</f>
        <v>0</v>
      </c>
      <c r="AF125" s="9" t="n">
        <f aca="false">SUM(B125:AE125)</f>
        <v>11</v>
      </c>
    </row>
    <row r="126" customFormat="false" ht="15" hidden="false" customHeight="false" outlineLevel="0" collapsed="false">
      <c r="A126" s="0" t="str">
        <f aca="false">Responses!A126</f>
        <v>S124</v>
      </c>
      <c r="B126" s="9" t="n">
        <f aca="false">IF(Responses!B126=Responses!B$2,1,0)</f>
        <v>0</v>
      </c>
      <c r="C126" s="9" t="n">
        <f aca="false">IF(Responses!C126=Responses!C$2,1,0)</f>
        <v>0</v>
      </c>
      <c r="D126" s="9" t="n">
        <f aca="false">IF(Responses!D126=Responses!D$2,1,0)</f>
        <v>0</v>
      </c>
      <c r="E126" s="9" t="n">
        <f aca="false">IF(Responses!E126=Responses!E$2,1,0)</f>
        <v>1</v>
      </c>
      <c r="F126" s="9" t="n">
        <f aca="false">IF(Responses!F126=Responses!F$2,1,0)</f>
        <v>0</v>
      </c>
      <c r="G126" s="9" t="n">
        <f aca="false">IF(Responses!G126=Responses!G$2,1,0)</f>
        <v>1</v>
      </c>
      <c r="H126" s="9" t="n">
        <f aca="false">IF(Responses!H126=Responses!H$2,1,0)</f>
        <v>0</v>
      </c>
      <c r="I126" s="9" t="n">
        <f aca="false">IF(Responses!I126=Responses!I$2,1,0)</f>
        <v>1</v>
      </c>
      <c r="J126" s="9" t="n">
        <f aca="false">IF(Responses!J126=Responses!J$2,1,0)</f>
        <v>1</v>
      </c>
      <c r="K126" s="9" t="n">
        <f aca="false">IF(Responses!K126=Responses!K$2,1,0)</f>
        <v>1</v>
      </c>
      <c r="L126" s="9" t="n">
        <f aca="false">IF(Responses!L126=Responses!L$2,1,0)</f>
        <v>1</v>
      </c>
      <c r="M126" s="9" t="n">
        <f aca="false">IF(Responses!M126=Responses!M$2,1,0)</f>
        <v>1</v>
      </c>
      <c r="N126" s="9" t="n">
        <f aca="false">IF(Responses!N126=Responses!N$2,1,0)</f>
        <v>0</v>
      </c>
      <c r="O126" s="9" t="n">
        <f aca="false">IF(Responses!O126=Responses!O$2,1,0)</f>
        <v>1</v>
      </c>
      <c r="P126" s="9" t="n">
        <f aca="false">IF(Responses!P126=Responses!P$2,1,0)</f>
        <v>0</v>
      </c>
      <c r="Q126" s="9" t="n">
        <f aca="false">IF(Responses!Q126=Responses!Q$2,1,0)</f>
        <v>1</v>
      </c>
      <c r="R126" s="9" t="n">
        <f aca="false">IF(Responses!R126=Responses!R$2,1,0)</f>
        <v>1</v>
      </c>
      <c r="S126" s="9" t="n">
        <f aca="false">IF(Responses!S126=Responses!S$2,1,0)</f>
        <v>0</v>
      </c>
      <c r="T126" s="9" t="n">
        <f aca="false">IF(Responses!T126=Responses!T$2,1,0)</f>
        <v>1</v>
      </c>
      <c r="U126" s="9" t="n">
        <f aca="false">IF(Responses!U126=Responses!U$2,1,0)</f>
        <v>1</v>
      </c>
      <c r="V126" s="9" t="n">
        <f aca="false">IF(Responses!V126=Responses!V$2,1,0)</f>
        <v>1</v>
      </c>
      <c r="W126" s="9" t="n">
        <f aca="false">IF(Responses!W126=Responses!W$2,1,0)</f>
        <v>1</v>
      </c>
      <c r="X126" s="9" t="n">
        <f aca="false">IF(Responses!X126=Responses!X$2,1,0)</f>
        <v>1</v>
      </c>
      <c r="Y126" s="9" t="n">
        <f aca="false">IF(Responses!Y126=Responses!Y$2,1,0)</f>
        <v>1</v>
      </c>
      <c r="Z126" s="9" t="n">
        <f aca="false">IF(Responses!Z126=Responses!Z$2,1,0)</f>
        <v>1</v>
      </c>
      <c r="AA126" s="9" t="n">
        <f aca="false">IF(Responses!AA126=Responses!AA$2,1,0)</f>
        <v>0</v>
      </c>
      <c r="AB126" s="9" t="n">
        <f aca="false">IF(Responses!AB126=Responses!AB$2,1,0)</f>
        <v>0</v>
      </c>
      <c r="AC126" s="9" t="n">
        <f aca="false">IF(Responses!AC126=Responses!AC$2,1,0)</f>
        <v>1</v>
      </c>
      <c r="AD126" s="9" t="n">
        <f aca="false">IF(Responses!AD126=Responses!AD$2,1,0)</f>
        <v>1</v>
      </c>
      <c r="AE126" s="9" t="n">
        <f aca="false">IF(Responses!AE126=Responses!AE$2,1,0)</f>
        <v>1</v>
      </c>
      <c r="AF126" s="9" t="n">
        <f aca="false">SUM(B126:AE126)</f>
        <v>20</v>
      </c>
    </row>
    <row r="127" customFormat="false" ht="15" hidden="false" customHeight="false" outlineLevel="0" collapsed="false">
      <c r="A127" s="0" t="str">
        <f aca="false">Responses!A127</f>
        <v>S125</v>
      </c>
      <c r="B127" s="9" t="n">
        <f aca="false">IF(Responses!B127=Responses!B$2,1,0)</f>
        <v>0</v>
      </c>
      <c r="C127" s="9" t="n">
        <f aca="false">IF(Responses!C127=Responses!C$2,1,0)</f>
        <v>1</v>
      </c>
      <c r="D127" s="9" t="n">
        <f aca="false">IF(Responses!D127=Responses!D$2,1,0)</f>
        <v>0</v>
      </c>
      <c r="E127" s="9" t="n">
        <f aca="false">IF(Responses!E127=Responses!E$2,1,0)</f>
        <v>1</v>
      </c>
      <c r="F127" s="9" t="n">
        <f aca="false">IF(Responses!F127=Responses!F$2,1,0)</f>
        <v>0</v>
      </c>
      <c r="G127" s="9" t="n">
        <f aca="false">IF(Responses!G127=Responses!G$2,1,0)</f>
        <v>0</v>
      </c>
      <c r="H127" s="9" t="n">
        <f aca="false">IF(Responses!H127=Responses!H$2,1,0)</f>
        <v>0</v>
      </c>
      <c r="I127" s="9" t="n">
        <f aca="false">IF(Responses!I127=Responses!I$2,1,0)</f>
        <v>1</v>
      </c>
      <c r="J127" s="9" t="n">
        <f aca="false">IF(Responses!J127=Responses!J$2,1,0)</f>
        <v>1</v>
      </c>
      <c r="K127" s="9" t="n">
        <f aca="false">IF(Responses!K127=Responses!K$2,1,0)</f>
        <v>1</v>
      </c>
      <c r="L127" s="9" t="n">
        <f aca="false">IF(Responses!L127=Responses!L$2,1,0)</f>
        <v>0</v>
      </c>
      <c r="M127" s="9" t="n">
        <f aca="false">IF(Responses!M127=Responses!M$2,1,0)</f>
        <v>1</v>
      </c>
      <c r="N127" s="9" t="n">
        <f aca="false">IF(Responses!N127=Responses!N$2,1,0)</f>
        <v>1</v>
      </c>
      <c r="O127" s="9" t="n">
        <f aca="false">IF(Responses!O127=Responses!O$2,1,0)</f>
        <v>1</v>
      </c>
      <c r="P127" s="9" t="n">
        <f aca="false">IF(Responses!P127=Responses!P$2,1,0)</f>
        <v>1</v>
      </c>
      <c r="Q127" s="9" t="n">
        <f aca="false">IF(Responses!Q127=Responses!Q$2,1,0)</f>
        <v>1</v>
      </c>
      <c r="R127" s="9" t="n">
        <f aca="false">IF(Responses!R127=Responses!R$2,1,0)</f>
        <v>1</v>
      </c>
      <c r="S127" s="9" t="n">
        <f aca="false">IF(Responses!S127=Responses!S$2,1,0)</f>
        <v>0</v>
      </c>
      <c r="T127" s="9" t="n">
        <f aca="false">IF(Responses!T127=Responses!T$2,1,0)</f>
        <v>1</v>
      </c>
      <c r="U127" s="9" t="n">
        <f aca="false">IF(Responses!U127=Responses!U$2,1,0)</f>
        <v>1</v>
      </c>
      <c r="V127" s="9" t="n">
        <f aca="false">IF(Responses!V127=Responses!V$2,1,0)</f>
        <v>1</v>
      </c>
      <c r="W127" s="9" t="n">
        <f aca="false">IF(Responses!W127=Responses!W$2,1,0)</f>
        <v>1</v>
      </c>
      <c r="X127" s="9" t="n">
        <f aca="false">IF(Responses!X127=Responses!X$2,1,0)</f>
        <v>1</v>
      </c>
      <c r="Y127" s="9" t="n">
        <f aca="false">IF(Responses!Y127=Responses!Y$2,1,0)</f>
        <v>1</v>
      </c>
      <c r="Z127" s="9" t="n">
        <f aca="false">IF(Responses!Z127=Responses!Z$2,1,0)</f>
        <v>1</v>
      </c>
      <c r="AA127" s="9" t="n">
        <f aca="false">IF(Responses!AA127=Responses!AA$2,1,0)</f>
        <v>0</v>
      </c>
      <c r="AB127" s="9" t="n">
        <f aca="false">IF(Responses!AB127=Responses!AB$2,1,0)</f>
        <v>1</v>
      </c>
      <c r="AC127" s="9" t="n">
        <f aca="false">IF(Responses!AC127=Responses!AC$2,1,0)</f>
        <v>0</v>
      </c>
      <c r="AD127" s="9" t="n">
        <f aca="false">IF(Responses!AD127=Responses!AD$2,1,0)</f>
        <v>1</v>
      </c>
      <c r="AE127" s="9" t="n">
        <f aca="false">IF(Responses!AE127=Responses!AE$2,1,0)</f>
        <v>1</v>
      </c>
      <c r="AF127" s="9" t="n">
        <f aca="false">SUM(B127:AE127)</f>
        <v>21</v>
      </c>
    </row>
    <row r="128" customFormat="false" ht="15" hidden="false" customHeight="false" outlineLevel="0" collapsed="false">
      <c r="A128" s="0" t="str">
        <f aca="false">Responses!A128</f>
        <v>S126</v>
      </c>
      <c r="B128" s="9" t="n">
        <f aca="false">IF(Responses!B128=Responses!B$2,1,0)</f>
        <v>1</v>
      </c>
      <c r="C128" s="9" t="n">
        <f aca="false">IF(Responses!C128=Responses!C$2,1,0)</f>
        <v>1</v>
      </c>
      <c r="D128" s="9" t="n">
        <f aca="false">IF(Responses!D128=Responses!D$2,1,0)</f>
        <v>0</v>
      </c>
      <c r="E128" s="9" t="n">
        <f aca="false">IF(Responses!E128=Responses!E$2,1,0)</f>
        <v>1</v>
      </c>
      <c r="F128" s="9" t="n">
        <f aca="false">IF(Responses!F128=Responses!F$2,1,0)</f>
        <v>0</v>
      </c>
      <c r="G128" s="9" t="n">
        <f aca="false">IF(Responses!G128=Responses!G$2,1,0)</f>
        <v>1</v>
      </c>
      <c r="H128" s="9" t="n">
        <f aca="false">IF(Responses!H128=Responses!H$2,1,0)</f>
        <v>0</v>
      </c>
      <c r="I128" s="9" t="n">
        <f aca="false">IF(Responses!I128=Responses!I$2,1,0)</f>
        <v>1</v>
      </c>
      <c r="J128" s="9" t="n">
        <f aca="false">IF(Responses!J128=Responses!J$2,1,0)</f>
        <v>1</v>
      </c>
      <c r="K128" s="9" t="n">
        <f aca="false">IF(Responses!K128=Responses!K$2,1,0)</f>
        <v>1</v>
      </c>
      <c r="L128" s="9" t="n">
        <f aca="false">IF(Responses!L128=Responses!L$2,1,0)</f>
        <v>1</v>
      </c>
      <c r="M128" s="9" t="n">
        <f aca="false">IF(Responses!M128=Responses!M$2,1,0)</f>
        <v>1</v>
      </c>
      <c r="N128" s="9" t="n">
        <f aca="false">IF(Responses!N128=Responses!N$2,1,0)</f>
        <v>1</v>
      </c>
      <c r="O128" s="9" t="n">
        <f aca="false">IF(Responses!O128=Responses!O$2,1,0)</f>
        <v>1</v>
      </c>
      <c r="P128" s="9" t="n">
        <f aca="false">IF(Responses!P128=Responses!P$2,1,0)</f>
        <v>0</v>
      </c>
      <c r="Q128" s="9" t="n">
        <f aca="false">IF(Responses!Q128=Responses!Q$2,1,0)</f>
        <v>1</v>
      </c>
      <c r="R128" s="9" t="n">
        <f aca="false">IF(Responses!R128=Responses!R$2,1,0)</f>
        <v>1</v>
      </c>
      <c r="S128" s="9" t="n">
        <f aca="false">IF(Responses!S128=Responses!S$2,1,0)</f>
        <v>0</v>
      </c>
      <c r="T128" s="9" t="n">
        <f aca="false">IF(Responses!T128=Responses!T$2,1,0)</f>
        <v>1</v>
      </c>
      <c r="U128" s="9" t="n">
        <f aca="false">IF(Responses!U128=Responses!U$2,1,0)</f>
        <v>1</v>
      </c>
      <c r="V128" s="9" t="n">
        <f aca="false">IF(Responses!V128=Responses!V$2,1,0)</f>
        <v>1</v>
      </c>
      <c r="W128" s="9" t="n">
        <f aca="false">IF(Responses!W128=Responses!W$2,1,0)</f>
        <v>0</v>
      </c>
      <c r="X128" s="9" t="n">
        <f aca="false">IF(Responses!X128=Responses!X$2,1,0)</f>
        <v>1</v>
      </c>
      <c r="Y128" s="9" t="n">
        <f aca="false">IF(Responses!Y128=Responses!Y$2,1,0)</f>
        <v>1</v>
      </c>
      <c r="Z128" s="9" t="n">
        <f aca="false">IF(Responses!Z128=Responses!Z$2,1,0)</f>
        <v>1</v>
      </c>
      <c r="AA128" s="9" t="n">
        <f aca="false">IF(Responses!AA128=Responses!AA$2,1,0)</f>
        <v>0</v>
      </c>
      <c r="AB128" s="9" t="n">
        <f aca="false">IF(Responses!AB128=Responses!AB$2,1,0)</f>
        <v>0</v>
      </c>
      <c r="AC128" s="9" t="n">
        <f aca="false">IF(Responses!AC128=Responses!AC$2,1,0)</f>
        <v>1</v>
      </c>
      <c r="AD128" s="9" t="n">
        <f aca="false">IF(Responses!AD128=Responses!AD$2,1,0)</f>
        <v>1</v>
      </c>
      <c r="AE128" s="9" t="n">
        <f aca="false">IF(Responses!AE128=Responses!AE$2,1,0)</f>
        <v>1</v>
      </c>
      <c r="AF128" s="9" t="n">
        <f aca="false">SUM(B128:AE128)</f>
        <v>22</v>
      </c>
    </row>
    <row r="129" customFormat="false" ht="15" hidden="false" customHeight="false" outlineLevel="0" collapsed="false">
      <c r="A129" s="0" t="str">
        <f aca="false">Responses!A129</f>
        <v>S127</v>
      </c>
      <c r="B129" s="9" t="n">
        <f aca="false">IF(Responses!B129=Responses!B$2,1,0)</f>
        <v>0</v>
      </c>
      <c r="C129" s="9" t="n">
        <f aca="false">IF(Responses!C129=Responses!C$2,1,0)</f>
        <v>0</v>
      </c>
      <c r="D129" s="9" t="n">
        <f aca="false">IF(Responses!D129=Responses!D$2,1,0)</f>
        <v>0</v>
      </c>
      <c r="E129" s="9" t="n">
        <f aca="false">IF(Responses!E129=Responses!E$2,1,0)</f>
        <v>1</v>
      </c>
      <c r="F129" s="9" t="n">
        <f aca="false">IF(Responses!F129=Responses!F$2,1,0)</f>
        <v>1</v>
      </c>
      <c r="G129" s="9" t="n">
        <f aca="false">IF(Responses!G129=Responses!G$2,1,0)</f>
        <v>1</v>
      </c>
      <c r="H129" s="9" t="n">
        <f aca="false">IF(Responses!H129=Responses!H$2,1,0)</f>
        <v>0</v>
      </c>
      <c r="I129" s="9" t="n">
        <f aca="false">IF(Responses!I129=Responses!I$2,1,0)</f>
        <v>1</v>
      </c>
      <c r="J129" s="9" t="n">
        <f aca="false">IF(Responses!J129=Responses!J$2,1,0)</f>
        <v>1</v>
      </c>
      <c r="K129" s="9" t="n">
        <f aca="false">IF(Responses!K129=Responses!K$2,1,0)</f>
        <v>0</v>
      </c>
      <c r="L129" s="9" t="n">
        <f aca="false">IF(Responses!L129=Responses!L$2,1,0)</f>
        <v>1</v>
      </c>
      <c r="M129" s="9" t="n">
        <f aca="false">IF(Responses!M129=Responses!M$2,1,0)</f>
        <v>1</v>
      </c>
      <c r="N129" s="9" t="n">
        <f aca="false">IF(Responses!N129=Responses!N$2,1,0)</f>
        <v>0</v>
      </c>
      <c r="O129" s="9" t="n">
        <f aca="false">IF(Responses!O129=Responses!O$2,1,0)</f>
        <v>1</v>
      </c>
      <c r="P129" s="9" t="n">
        <f aca="false">IF(Responses!P129=Responses!P$2,1,0)</f>
        <v>1</v>
      </c>
      <c r="Q129" s="9" t="n">
        <f aca="false">IF(Responses!Q129=Responses!Q$2,1,0)</f>
        <v>1</v>
      </c>
      <c r="R129" s="9" t="n">
        <f aca="false">IF(Responses!R129=Responses!R$2,1,0)</f>
        <v>1</v>
      </c>
      <c r="S129" s="9" t="n">
        <f aca="false">IF(Responses!S129=Responses!S$2,1,0)</f>
        <v>0</v>
      </c>
      <c r="T129" s="9" t="n">
        <f aca="false">IF(Responses!T129=Responses!T$2,1,0)</f>
        <v>0</v>
      </c>
      <c r="U129" s="9" t="n">
        <f aca="false">IF(Responses!U129=Responses!U$2,1,0)</f>
        <v>0</v>
      </c>
      <c r="V129" s="9" t="n">
        <f aca="false">IF(Responses!V129=Responses!V$2,1,0)</f>
        <v>1</v>
      </c>
      <c r="W129" s="9" t="n">
        <f aca="false">IF(Responses!W129=Responses!W$2,1,0)</f>
        <v>1</v>
      </c>
      <c r="X129" s="9" t="n">
        <f aca="false">IF(Responses!X129=Responses!X$2,1,0)</f>
        <v>0</v>
      </c>
      <c r="Y129" s="9" t="n">
        <f aca="false">IF(Responses!Y129=Responses!Y$2,1,0)</f>
        <v>0</v>
      </c>
      <c r="Z129" s="9" t="n">
        <f aca="false">IF(Responses!Z129=Responses!Z$2,1,0)</f>
        <v>1</v>
      </c>
      <c r="AA129" s="9" t="n">
        <f aca="false">IF(Responses!AA129=Responses!AA$2,1,0)</f>
        <v>0</v>
      </c>
      <c r="AB129" s="9" t="n">
        <f aca="false">IF(Responses!AB129=Responses!AB$2,1,0)</f>
        <v>1</v>
      </c>
      <c r="AC129" s="9" t="n">
        <f aca="false">IF(Responses!AC129=Responses!AC$2,1,0)</f>
        <v>0</v>
      </c>
      <c r="AD129" s="9" t="n">
        <f aca="false">IF(Responses!AD129=Responses!AD$2,1,0)</f>
        <v>1</v>
      </c>
      <c r="AE129" s="9" t="n">
        <f aca="false">IF(Responses!AE129=Responses!AE$2,1,0)</f>
        <v>1</v>
      </c>
      <c r="AF129" s="9" t="n">
        <f aca="false">SUM(B129:AE129)</f>
        <v>17</v>
      </c>
    </row>
    <row r="130" customFormat="false" ht="15" hidden="false" customHeight="false" outlineLevel="0" collapsed="false">
      <c r="A130" s="0" t="str">
        <f aca="false">Responses!A130</f>
        <v>S128</v>
      </c>
      <c r="B130" s="9" t="n">
        <f aca="false">IF(Responses!B130=Responses!B$2,1,0)</f>
        <v>0</v>
      </c>
      <c r="C130" s="9" t="n">
        <f aca="false">IF(Responses!C130=Responses!C$2,1,0)</f>
        <v>1</v>
      </c>
      <c r="D130" s="9" t="n">
        <f aca="false">IF(Responses!D130=Responses!D$2,1,0)</f>
        <v>1</v>
      </c>
      <c r="E130" s="9" t="n">
        <f aca="false">IF(Responses!E130=Responses!E$2,1,0)</f>
        <v>1</v>
      </c>
      <c r="F130" s="9" t="n">
        <f aca="false">IF(Responses!F130=Responses!F$2,1,0)</f>
        <v>1</v>
      </c>
      <c r="G130" s="9" t="n">
        <f aca="false">IF(Responses!G130=Responses!G$2,1,0)</f>
        <v>1</v>
      </c>
      <c r="H130" s="9" t="n">
        <f aca="false">IF(Responses!H130=Responses!H$2,1,0)</f>
        <v>0</v>
      </c>
      <c r="I130" s="9" t="n">
        <f aca="false">IF(Responses!I130=Responses!I$2,1,0)</f>
        <v>1</v>
      </c>
      <c r="J130" s="9" t="n">
        <f aca="false">IF(Responses!J130=Responses!J$2,1,0)</f>
        <v>1</v>
      </c>
      <c r="K130" s="9" t="n">
        <f aca="false">IF(Responses!K130=Responses!K$2,1,0)</f>
        <v>1</v>
      </c>
      <c r="L130" s="9" t="n">
        <f aca="false">IF(Responses!L130=Responses!L$2,1,0)</f>
        <v>1</v>
      </c>
      <c r="M130" s="9" t="n">
        <f aca="false">IF(Responses!M130=Responses!M$2,1,0)</f>
        <v>1</v>
      </c>
      <c r="N130" s="9" t="n">
        <f aca="false">IF(Responses!N130=Responses!N$2,1,0)</f>
        <v>1</v>
      </c>
      <c r="O130" s="9" t="n">
        <f aca="false">IF(Responses!O130=Responses!O$2,1,0)</f>
        <v>1</v>
      </c>
      <c r="P130" s="9" t="n">
        <f aca="false">IF(Responses!P130=Responses!P$2,1,0)</f>
        <v>1</v>
      </c>
      <c r="Q130" s="9" t="n">
        <f aca="false">IF(Responses!Q130=Responses!Q$2,1,0)</f>
        <v>1</v>
      </c>
      <c r="R130" s="9" t="n">
        <f aca="false">IF(Responses!R130=Responses!R$2,1,0)</f>
        <v>1</v>
      </c>
      <c r="S130" s="9" t="n">
        <f aca="false">IF(Responses!S130=Responses!S$2,1,0)</f>
        <v>0</v>
      </c>
      <c r="T130" s="9" t="n">
        <f aca="false">IF(Responses!T130=Responses!T$2,1,0)</f>
        <v>1</v>
      </c>
      <c r="U130" s="9" t="n">
        <f aca="false">IF(Responses!U130=Responses!U$2,1,0)</f>
        <v>1</v>
      </c>
      <c r="V130" s="9" t="n">
        <f aca="false">IF(Responses!V130=Responses!V$2,1,0)</f>
        <v>1</v>
      </c>
      <c r="W130" s="9" t="n">
        <f aca="false">IF(Responses!W130=Responses!W$2,1,0)</f>
        <v>1</v>
      </c>
      <c r="X130" s="9" t="n">
        <f aca="false">IF(Responses!X130=Responses!X$2,1,0)</f>
        <v>1</v>
      </c>
      <c r="Y130" s="9" t="n">
        <f aca="false">IF(Responses!Y130=Responses!Y$2,1,0)</f>
        <v>1</v>
      </c>
      <c r="Z130" s="9" t="n">
        <f aca="false">IF(Responses!Z130=Responses!Z$2,1,0)</f>
        <v>1</v>
      </c>
      <c r="AA130" s="9" t="n">
        <f aca="false">IF(Responses!AA130=Responses!AA$2,1,0)</f>
        <v>1</v>
      </c>
      <c r="AB130" s="9" t="n">
        <f aca="false">IF(Responses!AB130=Responses!AB$2,1,0)</f>
        <v>1</v>
      </c>
      <c r="AC130" s="9" t="n">
        <f aca="false">IF(Responses!AC130=Responses!AC$2,1,0)</f>
        <v>1</v>
      </c>
      <c r="AD130" s="9" t="n">
        <f aca="false">IF(Responses!AD130=Responses!AD$2,1,0)</f>
        <v>1</v>
      </c>
      <c r="AE130" s="9" t="n">
        <f aca="false">IF(Responses!AE130=Responses!AE$2,1,0)</f>
        <v>1</v>
      </c>
      <c r="AF130" s="9" t="n">
        <f aca="false">SUM(B130:AE130)</f>
        <v>27</v>
      </c>
    </row>
    <row r="131" customFormat="false" ht="15" hidden="false" customHeight="false" outlineLevel="0" collapsed="false">
      <c r="A131" s="0" t="str">
        <f aca="false">Responses!A131</f>
        <v>S129</v>
      </c>
      <c r="B131" s="9" t="n">
        <f aca="false">IF(Responses!B131=Responses!B$2,1,0)</f>
        <v>0</v>
      </c>
      <c r="C131" s="9" t="n">
        <f aca="false">IF(Responses!C131=Responses!C$2,1,0)</f>
        <v>0</v>
      </c>
      <c r="D131" s="9" t="n">
        <f aca="false">IF(Responses!D131=Responses!D$2,1,0)</f>
        <v>0</v>
      </c>
      <c r="E131" s="9" t="n">
        <f aca="false">IF(Responses!E131=Responses!E$2,1,0)</f>
        <v>1</v>
      </c>
      <c r="F131" s="9" t="n">
        <f aca="false">IF(Responses!F131=Responses!F$2,1,0)</f>
        <v>1</v>
      </c>
      <c r="G131" s="9" t="n">
        <f aca="false">IF(Responses!G131=Responses!G$2,1,0)</f>
        <v>0</v>
      </c>
      <c r="H131" s="9" t="n">
        <f aca="false">IF(Responses!H131=Responses!H$2,1,0)</f>
        <v>1</v>
      </c>
      <c r="I131" s="9" t="n">
        <f aca="false">IF(Responses!I131=Responses!I$2,1,0)</f>
        <v>0</v>
      </c>
      <c r="J131" s="9" t="n">
        <f aca="false">IF(Responses!J131=Responses!J$2,1,0)</f>
        <v>1</v>
      </c>
      <c r="K131" s="9" t="n">
        <f aca="false">IF(Responses!K131=Responses!K$2,1,0)</f>
        <v>0</v>
      </c>
      <c r="L131" s="9" t="n">
        <f aca="false">IF(Responses!L131=Responses!L$2,1,0)</f>
        <v>1</v>
      </c>
      <c r="M131" s="9" t="n">
        <f aca="false">IF(Responses!M131=Responses!M$2,1,0)</f>
        <v>1</v>
      </c>
      <c r="N131" s="9" t="n">
        <f aca="false">IF(Responses!N131=Responses!N$2,1,0)</f>
        <v>0</v>
      </c>
      <c r="O131" s="9" t="n">
        <f aca="false">IF(Responses!O131=Responses!O$2,1,0)</f>
        <v>0</v>
      </c>
      <c r="P131" s="9" t="n">
        <f aca="false">IF(Responses!P131=Responses!P$2,1,0)</f>
        <v>1</v>
      </c>
      <c r="Q131" s="9" t="n">
        <f aca="false">IF(Responses!Q131=Responses!Q$2,1,0)</f>
        <v>1</v>
      </c>
      <c r="R131" s="9" t="n">
        <f aca="false">IF(Responses!R131=Responses!R$2,1,0)</f>
        <v>1</v>
      </c>
      <c r="S131" s="9" t="n">
        <f aca="false">IF(Responses!S131=Responses!S$2,1,0)</f>
        <v>0</v>
      </c>
      <c r="T131" s="9" t="n">
        <f aca="false">IF(Responses!T131=Responses!T$2,1,0)</f>
        <v>1</v>
      </c>
      <c r="U131" s="9" t="n">
        <f aca="false">IF(Responses!U131=Responses!U$2,1,0)</f>
        <v>0</v>
      </c>
      <c r="V131" s="9" t="n">
        <f aca="false">IF(Responses!V131=Responses!V$2,1,0)</f>
        <v>1</v>
      </c>
      <c r="W131" s="9" t="n">
        <f aca="false">IF(Responses!W131=Responses!W$2,1,0)</f>
        <v>0</v>
      </c>
      <c r="X131" s="9" t="n">
        <f aca="false">IF(Responses!X131=Responses!X$2,1,0)</f>
        <v>1</v>
      </c>
      <c r="Y131" s="9" t="n">
        <f aca="false">IF(Responses!Y131=Responses!Y$2,1,0)</f>
        <v>0</v>
      </c>
      <c r="Z131" s="9" t="n">
        <f aca="false">IF(Responses!Z131=Responses!Z$2,1,0)</f>
        <v>1</v>
      </c>
      <c r="AA131" s="9" t="n">
        <f aca="false">IF(Responses!AA131=Responses!AA$2,1,0)</f>
        <v>0</v>
      </c>
      <c r="AB131" s="9" t="n">
        <f aca="false">IF(Responses!AB131=Responses!AB$2,1,0)</f>
        <v>0</v>
      </c>
      <c r="AC131" s="9" t="n">
        <f aca="false">IF(Responses!AC131=Responses!AC$2,1,0)</f>
        <v>0</v>
      </c>
      <c r="AD131" s="9" t="n">
        <f aca="false">IF(Responses!AD131=Responses!AD$2,1,0)</f>
        <v>1</v>
      </c>
      <c r="AE131" s="9" t="n">
        <f aca="false">IF(Responses!AE131=Responses!AE$2,1,0)</f>
        <v>0</v>
      </c>
      <c r="AF131" s="9" t="n">
        <f aca="false">SUM(B131:AE131)</f>
        <v>14</v>
      </c>
    </row>
    <row r="132" customFormat="false" ht="15" hidden="false" customHeight="false" outlineLevel="0" collapsed="false">
      <c r="A132" s="0" t="str">
        <f aca="false">Responses!A132</f>
        <v>S130</v>
      </c>
      <c r="B132" s="9" t="n">
        <f aca="false">IF(Responses!B132=Responses!B$2,1,0)</f>
        <v>0</v>
      </c>
      <c r="C132" s="9" t="n">
        <f aca="false">IF(Responses!C132=Responses!C$2,1,0)</f>
        <v>0</v>
      </c>
      <c r="D132" s="9" t="n">
        <f aca="false">IF(Responses!D132=Responses!D$2,1,0)</f>
        <v>0</v>
      </c>
      <c r="E132" s="9" t="n">
        <f aca="false">IF(Responses!E132=Responses!E$2,1,0)</f>
        <v>1</v>
      </c>
      <c r="F132" s="9" t="n">
        <f aca="false">IF(Responses!F132=Responses!F$2,1,0)</f>
        <v>0</v>
      </c>
      <c r="G132" s="9" t="n">
        <f aca="false">IF(Responses!G132=Responses!G$2,1,0)</f>
        <v>1</v>
      </c>
      <c r="H132" s="9" t="n">
        <f aca="false">IF(Responses!H132=Responses!H$2,1,0)</f>
        <v>1</v>
      </c>
      <c r="I132" s="9" t="n">
        <f aca="false">IF(Responses!I132=Responses!I$2,1,0)</f>
        <v>0</v>
      </c>
      <c r="J132" s="9" t="n">
        <f aca="false">IF(Responses!J132=Responses!J$2,1,0)</f>
        <v>0</v>
      </c>
      <c r="K132" s="9" t="n">
        <f aca="false">IF(Responses!K132=Responses!K$2,1,0)</f>
        <v>1</v>
      </c>
      <c r="L132" s="9" t="n">
        <f aca="false">IF(Responses!L132=Responses!L$2,1,0)</f>
        <v>0</v>
      </c>
      <c r="M132" s="9" t="n">
        <f aca="false">IF(Responses!M132=Responses!M$2,1,0)</f>
        <v>1</v>
      </c>
      <c r="N132" s="9" t="n">
        <f aca="false">IF(Responses!N132=Responses!N$2,1,0)</f>
        <v>0</v>
      </c>
      <c r="O132" s="9" t="n">
        <f aca="false">IF(Responses!O132=Responses!O$2,1,0)</f>
        <v>0</v>
      </c>
      <c r="P132" s="9" t="n">
        <f aca="false">IF(Responses!P132=Responses!P$2,1,0)</f>
        <v>1</v>
      </c>
      <c r="Q132" s="9" t="n">
        <f aca="false">IF(Responses!Q132=Responses!Q$2,1,0)</f>
        <v>0</v>
      </c>
      <c r="R132" s="9" t="n">
        <f aca="false">IF(Responses!R132=Responses!R$2,1,0)</f>
        <v>1</v>
      </c>
      <c r="S132" s="9" t="n">
        <f aca="false">IF(Responses!S132=Responses!S$2,1,0)</f>
        <v>0</v>
      </c>
      <c r="T132" s="9" t="n">
        <f aca="false">IF(Responses!T132=Responses!T$2,1,0)</f>
        <v>0</v>
      </c>
      <c r="U132" s="9" t="n">
        <f aca="false">IF(Responses!U132=Responses!U$2,1,0)</f>
        <v>0</v>
      </c>
      <c r="V132" s="9" t="n">
        <f aca="false">IF(Responses!V132=Responses!V$2,1,0)</f>
        <v>0</v>
      </c>
      <c r="W132" s="9" t="n">
        <f aca="false">IF(Responses!W132=Responses!W$2,1,0)</f>
        <v>0</v>
      </c>
      <c r="X132" s="9" t="n">
        <f aca="false">IF(Responses!X132=Responses!X$2,1,0)</f>
        <v>0</v>
      </c>
      <c r="Y132" s="9" t="n">
        <f aca="false">IF(Responses!Y132=Responses!Y$2,1,0)</f>
        <v>0</v>
      </c>
      <c r="Z132" s="9" t="n">
        <f aca="false">IF(Responses!Z132=Responses!Z$2,1,0)</f>
        <v>0</v>
      </c>
      <c r="AA132" s="9" t="n">
        <f aca="false">IF(Responses!AA132=Responses!AA$2,1,0)</f>
        <v>0</v>
      </c>
      <c r="AB132" s="9" t="n">
        <f aca="false">IF(Responses!AB132=Responses!AB$2,1,0)</f>
        <v>1</v>
      </c>
      <c r="AC132" s="9" t="n">
        <f aca="false">IF(Responses!AC132=Responses!AC$2,1,0)</f>
        <v>1</v>
      </c>
      <c r="AD132" s="9" t="n">
        <f aca="false">IF(Responses!AD132=Responses!AD$2,1,0)</f>
        <v>0</v>
      </c>
      <c r="AE132" s="9" t="n">
        <f aca="false">IF(Responses!AE132=Responses!AE$2,1,0)</f>
        <v>0</v>
      </c>
      <c r="AF132" s="9" t="n">
        <f aca="false">SUM(B132:AE132)</f>
        <v>9</v>
      </c>
    </row>
    <row r="133" customFormat="false" ht="15" hidden="false" customHeight="false" outlineLevel="0" collapsed="false">
      <c r="A133" s="0" t="str">
        <f aca="false">Responses!A133</f>
        <v>S131</v>
      </c>
      <c r="B133" s="9" t="n">
        <f aca="false">IF(Responses!B133=Responses!B$2,1,0)</f>
        <v>0</v>
      </c>
      <c r="C133" s="9" t="n">
        <f aca="false">IF(Responses!C133=Responses!C$2,1,0)</f>
        <v>0</v>
      </c>
      <c r="D133" s="9" t="n">
        <f aca="false">IF(Responses!D133=Responses!D$2,1,0)</f>
        <v>0</v>
      </c>
      <c r="E133" s="9" t="n">
        <f aca="false">IF(Responses!E133=Responses!E$2,1,0)</f>
        <v>0</v>
      </c>
      <c r="F133" s="9" t="n">
        <f aca="false">IF(Responses!F133=Responses!F$2,1,0)</f>
        <v>0</v>
      </c>
      <c r="G133" s="9" t="n">
        <f aca="false">IF(Responses!G133=Responses!G$2,1,0)</f>
        <v>0</v>
      </c>
      <c r="H133" s="9" t="n">
        <f aca="false">IF(Responses!H133=Responses!H$2,1,0)</f>
        <v>1</v>
      </c>
      <c r="I133" s="9" t="n">
        <f aca="false">IF(Responses!I133=Responses!I$2,1,0)</f>
        <v>1</v>
      </c>
      <c r="J133" s="9" t="n">
        <f aca="false">IF(Responses!J133=Responses!J$2,1,0)</f>
        <v>1</v>
      </c>
      <c r="K133" s="9" t="n">
        <f aca="false">IF(Responses!K133=Responses!K$2,1,0)</f>
        <v>0</v>
      </c>
      <c r="L133" s="9" t="n">
        <f aca="false">IF(Responses!L133=Responses!L$2,1,0)</f>
        <v>1</v>
      </c>
      <c r="M133" s="9" t="n">
        <f aca="false">IF(Responses!M133=Responses!M$2,1,0)</f>
        <v>1</v>
      </c>
      <c r="N133" s="9" t="n">
        <f aca="false">IF(Responses!N133=Responses!N$2,1,0)</f>
        <v>0</v>
      </c>
      <c r="O133" s="9" t="n">
        <f aca="false">IF(Responses!O133=Responses!O$2,1,0)</f>
        <v>0</v>
      </c>
      <c r="P133" s="9" t="n">
        <f aca="false">IF(Responses!P133=Responses!P$2,1,0)</f>
        <v>0</v>
      </c>
      <c r="Q133" s="9" t="n">
        <f aca="false">IF(Responses!Q133=Responses!Q$2,1,0)</f>
        <v>0</v>
      </c>
      <c r="R133" s="9" t="n">
        <f aca="false">IF(Responses!R133=Responses!R$2,1,0)</f>
        <v>0</v>
      </c>
      <c r="S133" s="9" t="n">
        <f aca="false">IF(Responses!S133=Responses!S$2,1,0)</f>
        <v>0</v>
      </c>
      <c r="T133" s="9" t="n">
        <f aca="false">IF(Responses!T133=Responses!T$2,1,0)</f>
        <v>0</v>
      </c>
      <c r="U133" s="9" t="n">
        <f aca="false">IF(Responses!U133=Responses!U$2,1,0)</f>
        <v>0</v>
      </c>
      <c r="V133" s="9" t="n">
        <f aca="false">IF(Responses!V133=Responses!V$2,1,0)</f>
        <v>1</v>
      </c>
      <c r="W133" s="9" t="n">
        <f aca="false">IF(Responses!W133=Responses!W$2,1,0)</f>
        <v>0</v>
      </c>
      <c r="X133" s="9" t="n">
        <f aca="false">IF(Responses!X133=Responses!X$2,1,0)</f>
        <v>0</v>
      </c>
      <c r="Y133" s="9" t="n">
        <f aca="false">IF(Responses!Y133=Responses!Y$2,1,0)</f>
        <v>1</v>
      </c>
      <c r="Z133" s="9" t="n">
        <f aca="false">IF(Responses!Z133=Responses!Z$2,1,0)</f>
        <v>1</v>
      </c>
      <c r="AA133" s="9" t="n">
        <f aca="false">IF(Responses!AA133=Responses!AA$2,1,0)</f>
        <v>0</v>
      </c>
      <c r="AB133" s="9" t="n">
        <f aca="false">IF(Responses!AB133=Responses!AB$2,1,0)</f>
        <v>1</v>
      </c>
      <c r="AC133" s="9" t="n">
        <f aca="false">IF(Responses!AC133=Responses!AC$2,1,0)</f>
        <v>0</v>
      </c>
      <c r="AD133" s="9" t="n">
        <f aca="false">IF(Responses!AD133=Responses!AD$2,1,0)</f>
        <v>1</v>
      </c>
      <c r="AE133" s="9" t="n">
        <f aca="false">IF(Responses!AE133=Responses!AE$2,1,0)</f>
        <v>1</v>
      </c>
      <c r="AF133" s="9" t="n">
        <f aca="false">SUM(B133:AE133)</f>
        <v>11</v>
      </c>
    </row>
    <row r="134" customFormat="false" ht="15" hidden="false" customHeight="false" outlineLevel="0" collapsed="false">
      <c r="A134" s="0" t="str">
        <f aca="false">Responses!A134</f>
        <v>S132</v>
      </c>
      <c r="B134" s="9" t="n">
        <f aca="false">IF(Responses!B134=Responses!B$2,1,0)</f>
        <v>1</v>
      </c>
      <c r="C134" s="9" t="n">
        <f aca="false">IF(Responses!C134=Responses!C$2,1,0)</f>
        <v>0</v>
      </c>
      <c r="D134" s="9" t="n">
        <f aca="false">IF(Responses!D134=Responses!D$2,1,0)</f>
        <v>1</v>
      </c>
      <c r="E134" s="9" t="n">
        <f aca="false">IF(Responses!E134=Responses!E$2,1,0)</f>
        <v>0</v>
      </c>
      <c r="F134" s="9" t="n">
        <f aca="false">IF(Responses!F134=Responses!F$2,1,0)</f>
        <v>1</v>
      </c>
      <c r="G134" s="9" t="n">
        <f aca="false">IF(Responses!G134=Responses!G$2,1,0)</f>
        <v>1</v>
      </c>
      <c r="H134" s="9" t="n">
        <f aca="false">IF(Responses!H134=Responses!H$2,1,0)</f>
        <v>1</v>
      </c>
      <c r="I134" s="9" t="n">
        <f aca="false">IF(Responses!I134=Responses!I$2,1,0)</f>
        <v>1</v>
      </c>
      <c r="J134" s="9" t="n">
        <f aca="false">IF(Responses!J134=Responses!J$2,1,0)</f>
        <v>1</v>
      </c>
      <c r="K134" s="9" t="n">
        <f aca="false">IF(Responses!K134=Responses!K$2,1,0)</f>
        <v>1</v>
      </c>
      <c r="L134" s="9" t="n">
        <f aca="false">IF(Responses!L134=Responses!L$2,1,0)</f>
        <v>0</v>
      </c>
      <c r="M134" s="9" t="n">
        <f aca="false">IF(Responses!M134=Responses!M$2,1,0)</f>
        <v>1</v>
      </c>
      <c r="N134" s="9" t="n">
        <f aca="false">IF(Responses!N134=Responses!N$2,1,0)</f>
        <v>0</v>
      </c>
      <c r="O134" s="9" t="n">
        <f aca="false">IF(Responses!O134=Responses!O$2,1,0)</f>
        <v>1</v>
      </c>
      <c r="P134" s="9" t="n">
        <f aca="false">IF(Responses!P134=Responses!P$2,1,0)</f>
        <v>1</v>
      </c>
      <c r="Q134" s="9" t="n">
        <f aca="false">IF(Responses!Q134=Responses!Q$2,1,0)</f>
        <v>1</v>
      </c>
      <c r="R134" s="9" t="n">
        <f aca="false">IF(Responses!R134=Responses!R$2,1,0)</f>
        <v>1</v>
      </c>
      <c r="S134" s="9" t="n">
        <f aca="false">IF(Responses!S134=Responses!S$2,1,0)</f>
        <v>0</v>
      </c>
      <c r="T134" s="9" t="n">
        <f aca="false">IF(Responses!T134=Responses!T$2,1,0)</f>
        <v>1</v>
      </c>
      <c r="U134" s="9" t="n">
        <f aca="false">IF(Responses!U134=Responses!U$2,1,0)</f>
        <v>0</v>
      </c>
      <c r="V134" s="9" t="n">
        <f aca="false">IF(Responses!V134=Responses!V$2,1,0)</f>
        <v>1</v>
      </c>
      <c r="W134" s="9" t="n">
        <f aca="false">IF(Responses!W134=Responses!W$2,1,0)</f>
        <v>1</v>
      </c>
      <c r="X134" s="9" t="n">
        <f aca="false">IF(Responses!X134=Responses!X$2,1,0)</f>
        <v>0</v>
      </c>
      <c r="Y134" s="9" t="n">
        <f aca="false">IF(Responses!Y134=Responses!Y$2,1,0)</f>
        <v>0</v>
      </c>
      <c r="Z134" s="9" t="n">
        <f aca="false">IF(Responses!Z134=Responses!Z$2,1,0)</f>
        <v>0</v>
      </c>
      <c r="AA134" s="9" t="n">
        <f aca="false">IF(Responses!AA134=Responses!AA$2,1,0)</f>
        <v>0</v>
      </c>
      <c r="AB134" s="9" t="n">
        <f aca="false">IF(Responses!AB134=Responses!AB$2,1,0)</f>
        <v>1</v>
      </c>
      <c r="AC134" s="9" t="n">
        <f aca="false">IF(Responses!AC134=Responses!AC$2,1,0)</f>
        <v>0</v>
      </c>
      <c r="AD134" s="9" t="n">
        <f aca="false">IF(Responses!AD134=Responses!AD$2,1,0)</f>
        <v>0</v>
      </c>
      <c r="AE134" s="9" t="n">
        <f aca="false">IF(Responses!AE134=Responses!AE$2,1,0)</f>
        <v>0</v>
      </c>
      <c r="AF134" s="9" t="n">
        <f aca="false">SUM(B134:AE134)</f>
        <v>17</v>
      </c>
    </row>
    <row r="135" customFormat="false" ht="15" hidden="false" customHeight="false" outlineLevel="0" collapsed="false">
      <c r="A135" s="0" t="str">
        <f aca="false">Responses!A135</f>
        <v>S133</v>
      </c>
      <c r="B135" s="9" t="n">
        <f aca="false">IF(Responses!B135=Responses!B$2,1,0)</f>
        <v>1</v>
      </c>
      <c r="C135" s="9" t="n">
        <f aca="false">IF(Responses!C135=Responses!C$2,1,0)</f>
        <v>1</v>
      </c>
      <c r="D135" s="9" t="n">
        <f aca="false">IF(Responses!D135=Responses!D$2,1,0)</f>
        <v>0</v>
      </c>
      <c r="E135" s="9" t="n">
        <f aca="false">IF(Responses!E135=Responses!E$2,1,0)</f>
        <v>1</v>
      </c>
      <c r="F135" s="9" t="n">
        <f aca="false">IF(Responses!F135=Responses!F$2,1,0)</f>
        <v>1</v>
      </c>
      <c r="G135" s="9" t="n">
        <f aca="false">IF(Responses!G135=Responses!G$2,1,0)</f>
        <v>0</v>
      </c>
      <c r="H135" s="9" t="n">
        <f aca="false">IF(Responses!H135=Responses!H$2,1,0)</f>
        <v>0</v>
      </c>
      <c r="I135" s="9" t="n">
        <f aca="false">IF(Responses!I135=Responses!I$2,1,0)</f>
        <v>1</v>
      </c>
      <c r="J135" s="9" t="n">
        <f aca="false">IF(Responses!J135=Responses!J$2,1,0)</f>
        <v>1</v>
      </c>
      <c r="K135" s="9" t="n">
        <f aca="false">IF(Responses!K135=Responses!K$2,1,0)</f>
        <v>1</v>
      </c>
      <c r="L135" s="9" t="n">
        <f aca="false">IF(Responses!L135=Responses!L$2,1,0)</f>
        <v>1</v>
      </c>
      <c r="M135" s="9" t="n">
        <f aca="false">IF(Responses!M135=Responses!M$2,1,0)</f>
        <v>1</v>
      </c>
      <c r="N135" s="9" t="n">
        <f aca="false">IF(Responses!N135=Responses!N$2,1,0)</f>
        <v>0</v>
      </c>
      <c r="O135" s="9" t="n">
        <f aca="false">IF(Responses!O135=Responses!O$2,1,0)</f>
        <v>0</v>
      </c>
      <c r="P135" s="9" t="n">
        <f aca="false">IF(Responses!P135=Responses!P$2,1,0)</f>
        <v>0</v>
      </c>
      <c r="Q135" s="9" t="n">
        <f aca="false">IF(Responses!Q135=Responses!Q$2,1,0)</f>
        <v>1</v>
      </c>
      <c r="R135" s="9" t="n">
        <f aca="false">IF(Responses!R135=Responses!R$2,1,0)</f>
        <v>1</v>
      </c>
      <c r="S135" s="9" t="n">
        <f aca="false">IF(Responses!S135=Responses!S$2,1,0)</f>
        <v>0</v>
      </c>
      <c r="T135" s="9" t="n">
        <f aca="false">IF(Responses!T135=Responses!T$2,1,0)</f>
        <v>1</v>
      </c>
      <c r="U135" s="9" t="n">
        <f aca="false">IF(Responses!U135=Responses!U$2,1,0)</f>
        <v>1</v>
      </c>
      <c r="V135" s="9" t="n">
        <f aca="false">IF(Responses!V135=Responses!V$2,1,0)</f>
        <v>0</v>
      </c>
      <c r="W135" s="9" t="n">
        <f aca="false">IF(Responses!W135=Responses!W$2,1,0)</f>
        <v>0</v>
      </c>
      <c r="X135" s="9" t="n">
        <f aca="false">IF(Responses!X135=Responses!X$2,1,0)</f>
        <v>1</v>
      </c>
      <c r="Y135" s="9" t="n">
        <f aca="false">IF(Responses!Y135=Responses!Y$2,1,0)</f>
        <v>1</v>
      </c>
      <c r="Z135" s="9" t="n">
        <f aca="false">IF(Responses!Z135=Responses!Z$2,1,0)</f>
        <v>1</v>
      </c>
      <c r="AA135" s="9" t="n">
        <f aca="false">IF(Responses!AA135=Responses!AA$2,1,0)</f>
        <v>0</v>
      </c>
      <c r="AB135" s="9" t="n">
        <f aca="false">IF(Responses!AB135=Responses!AB$2,1,0)</f>
        <v>1</v>
      </c>
      <c r="AC135" s="9" t="n">
        <f aca="false">IF(Responses!AC135=Responses!AC$2,1,0)</f>
        <v>1</v>
      </c>
      <c r="AD135" s="9" t="n">
        <f aca="false">IF(Responses!AD135=Responses!AD$2,1,0)</f>
        <v>1</v>
      </c>
      <c r="AE135" s="9" t="n">
        <f aca="false">IF(Responses!AE135=Responses!AE$2,1,0)</f>
        <v>1</v>
      </c>
      <c r="AF135" s="9" t="n">
        <f aca="false">SUM(B135:AE135)</f>
        <v>20</v>
      </c>
    </row>
    <row r="136" customFormat="false" ht="15" hidden="false" customHeight="false" outlineLevel="0" collapsed="false">
      <c r="A136" s="0" t="str">
        <f aca="false">Responses!A136</f>
        <v>S134</v>
      </c>
      <c r="B136" s="9" t="n">
        <f aca="false">IF(Responses!B136=Responses!B$2,1,0)</f>
        <v>1</v>
      </c>
      <c r="C136" s="9" t="n">
        <f aca="false">IF(Responses!C136=Responses!C$2,1,0)</f>
        <v>0</v>
      </c>
      <c r="D136" s="9" t="n">
        <f aca="false">IF(Responses!D136=Responses!D$2,1,0)</f>
        <v>0</v>
      </c>
      <c r="E136" s="9" t="n">
        <f aca="false">IF(Responses!E136=Responses!E$2,1,0)</f>
        <v>0</v>
      </c>
      <c r="F136" s="9" t="n">
        <f aca="false">IF(Responses!F136=Responses!F$2,1,0)</f>
        <v>1</v>
      </c>
      <c r="G136" s="9" t="n">
        <f aca="false">IF(Responses!G136=Responses!G$2,1,0)</f>
        <v>1</v>
      </c>
      <c r="H136" s="9" t="n">
        <f aca="false">IF(Responses!H136=Responses!H$2,1,0)</f>
        <v>1</v>
      </c>
      <c r="I136" s="9" t="n">
        <f aca="false">IF(Responses!I136=Responses!I$2,1,0)</f>
        <v>0</v>
      </c>
      <c r="J136" s="9" t="n">
        <f aca="false">IF(Responses!J136=Responses!J$2,1,0)</f>
        <v>1</v>
      </c>
      <c r="K136" s="9" t="n">
        <f aca="false">IF(Responses!K136=Responses!K$2,1,0)</f>
        <v>1</v>
      </c>
      <c r="L136" s="9" t="n">
        <f aca="false">IF(Responses!L136=Responses!L$2,1,0)</f>
        <v>1</v>
      </c>
      <c r="M136" s="9" t="n">
        <f aca="false">IF(Responses!M136=Responses!M$2,1,0)</f>
        <v>1</v>
      </c>
      <c r="N136" s="9" t="n">
        <f aca="false">IF(Responses!N136=Responses!N$2,1,0)</f>
        <v>0</v>
      </c>
      <c r="O136" s="9" t="n">
        <f aca="false">IF(Responses!O136=Responses!O$2,1,0)</f>
        <v>0</v>
      </c>
      <c r="P136" s="9" t="n">
        <f aca="false">IF(Responses!P136=Responses!P$2,1,0)</f>
        <v>0</v>
      </c>
      <c r="Q136" s="9" t="n">
        <f aca="false">IF(Responses!Q136=Responses!Q$2,1,0)</f>
        <v>1</v>
      </c>
      <c r="R136" s="9" t="n">
        <f aca="false">IF(Responses!R136=Responses!R$2,1,0)</f>
        <v>0</v>
      </c>
      <c r="S136" s="9" t="n">
        <f aca="false">IF(Responses!S136=Responses!S$2,1,0)</f>
        <v>0</v>
      </c>
      <c r="T136" s="9" t="n">
        <f aca="false">IF(Responses!T136=Responses!T$2,1,0)</f>
        <v>0</v>
      </c>
      <c r="U136" s="9" t="n">
        <f aca="false">IF(Responses!U136=Responses!U$2,1,0)</f>
        <v>0</v>
      </c>
      <c r="V136" s="9" t="n">
        <f aca="false">IF(Responses!V136=Responses!V$2,1,0)</f>
        <v>0</v>
      </c>
      <c r="W136" s="9" t="n">
        <f aca="false">IF(Responses!W136=Responses!W$2,1,0)</f>
        <v>0</v>
      </c>
      <c r="X136" s="9" t="n">
        <f aca="false">IF(Responses!X136=Responses!X$2,1,0)</f>
        <v>0</v>
      </c>
      <c r="Y136" s="9" t="n">
        <f aca="false">IF(Responses!Y136=Responses!Y$2,1,0)</f>
        <v>0</v>
      </c>
      <c r="Z136" s="9" t="n">
        <f aca="false">IF(Responses!Z136=Responses!Z$2,1,0)</f>
        <v>1</v>
      </c>
      <c r="AA136" s="9" t="n">
        <f aca="false">IF(Responses!AA136=Responses!AA$2,1,0)</f>
        <v>0</v>
      </c>
      <c r="AB136" s="9" t="n">
        <f aca="false">IF(Responses!AB136=Responses!AB$2,1,0)</f>
        <v>1</v>
      </c>
      <c r="AC136" s="9" t="n">
        <f aca="false">IF(Responses!AC136=Responses!AC$2,1,0)</f>
        <v>1</v>
      </c>
      <c r="AD136" s="9" t="n">
        <f aca="false">IF(Responses!AD136=Responses!AD$2,1,0)</f>
        <v>1</v>
      </c>
      <c r="AE136" s="9" t="n">
        <f aca="false">IF(Responses!AE136=Responses!AE$2,1,0)</f>
        <v>1</v>
      </c>
      <c r="AF136" s="9" t="n">
        <f aca="false">SUM(B136:AE136)</f>
        <v>14</v>
      </c>
    </row>
    <row r="137" customFormat="false" ht="15" hidden="false" customHeight="false" outlineLevel="0" collapsed="false">
      <c r="A137" s="0" t="str">
        <f aca="false">Responses!A137</f>
        <v>S135</v>
      </c>
      <c r="B137" s="9" t="n">
        <f aca="false">IF(Responses!B137=Responses!B$2,1,0)</f>
        <v>0</v>
      </c>
      <c r="C137" s="9" t="n">
        <f aca="false">IF(Responses!C137=Responses!C$2,1,0)</f>
        <v>0</v>
      </c>
      <c r="D137" s="9" t="n">
        <f aca="false">IF(Responses!D137=Responses!D$2,1,0)</f>
        <v>0</v>
      </c>
      <c r="E137" s="9" t="n">
        <f aca="false">IF(Responses!E137=Responses!E$2,1,0)</f>
        <v>1</v>
      </c>
      <c r="F137" s="9" t="n">
        <f aca="false">IF(Responses!F137=Responses!F$2,1,0)</f>
        <v>0</v>
      </c>
      <c r="G137" s="9" t="n">
        <f aca="false">IF(Responses!G137=Responses!G$2,1,0)</f>
        <v>0</v>
      </c>
      <c r="H137" s="9" t="n">
        <f aca="false">IF(Responses!H137=Responses!H$2,1,0)</f>
        <v>0</v>
      </c>
      <c r="I137" s="9" t="n">
        <f aca="false">IF(Responses!I137=Responses!I$2,1,0)</f>
        <v>1</v>
      </c>
      <c r="J137" s="9" t="n">
        <f aca="false">IF(Responses!J137=Responses!J$2,1,0)</f>
        <v>0</v>
      </c>
      <c r="K137" s="9" t="n">
        <f aca="false">IF(Responses!K137=Responses!K$2,1,0)</f>
        <v>0</v>
      </c>
      <c r="L137" s="9" t="n">
        <f aca="false">IF(Responses!L137=Responses!L$2,1,0)</f>
        <v>0</v>
      </c>
      <c r="M137" s="9" t="n">
        <f aca="false">IF(Responses!M137=Responses!M$2,1,0)</f>
        <v>1</v>
      </c>
      <c r="N137" s="9" t="n">
        <f aca="false">IF(Responses!N137=Responses!N$2,1,0)</f>
        <v>0</v>
      </c>
      <c r="O137" s="9" t="n">
        <f aca="false">IF(Responses!O137=Responses!O$2,1,0)</f>
        <v>0</v>
      </c>
      <c r="P137" s="9" t="n">
        <f aca="false">IF(Responses!P137=Responses!P$2,1,0)</f>
        <v>0</v>
      </c>
      <c r="Q137" s="9" t="n">
        <f aca="false">IF(Responses!Q137=Responses!Q$2,1,0)</f>
        <v>0</v>
      </c>
      <c r="R137" s="9" t="n">
        <f aca="false">IF(Responses!R137=Responses!R$2,1,0)</f>
        <v>1</v>
      </c>
      <c r="S137" s="9" t="n">
        <f aca="false">IF(Responses!S137=Responses!S$2,1,0)</f>
        <v>1</v>
      </c>
      <c r="T137" s="9" t="n">
        <f aca="false">IF(Responses!T137=Responses!T$2,1,0)</f>
        <v>1</v>
      </c>
      <c r="U137" s="9" t="n">
        <f aca="false">IF(Responses!U137=Responses!U$2,1,0)</f>
        <v>0</v>
      </c>
      <c r="V137" s="9" t="n">
        <f aca="false">IF(Responses!V137=Responses!V$2,1,0)</f>
        <v>0</v>
      </c>
      <c r="W137" s="9" t="n">
        <f aca="false">IF(Responses!W137=Responses!W$2,1,0)</f>
        <v>0</v>
      </c>
      <c r="X137" s="9" t="n">
        <f aca="false">IF(Responses!X137=Responses!X$2,1,0)</f>
        <v>0</v>
      </c>
      <c r="Y137" s="9" t="n">
        <f aca="false">IF(Responses!Y137=Responses!Y$2,1,0)</f>
        <v>0</v>
      </c>
      <c r="Z137" s="9" t="n">
        <f aca="false">IF(Responses!Z137=Responses!Z$2,1,0)</f>
        <v>0</v>
      </c>
      <c r="AA137" s="9" t="n">
        <f aca="false">IF(Responses!AA137=Responses!AA$2,1,0)</f>
        <v>0</v>
      </c>
      <c r="AB137" s="9" t="n">
        <f aca="false">IF(Responses!AB137=Responses!AB$2,1,0)</f>
        <v>1</v>
      </c>
      <c r="AC137" s="9" t="n">
        <f aca="false">IF(Responses!AC137=Responses!AC$2,1,0)</f>
        <v>0</v>
      </c>
      <c r="AD137" s="9" t="n">
        <f aca="false">IF(Responses!AD137=Responses!AD$2,1,0)</f>
        <v>0</v>
      </c>
      <c r="AE137" s="9" t="n">
        <f aca="false">IF(Responses!AE137=Responses!AE$2,1,0)</f>
        <v>0</v>
      </c>
      <c r="AF137" s="9" t="n">
        <f aca="false">SUM(B137:AE137)</f>
        <v>7</v>
      </c>
    </row>
    <row r="138" customFormat="false" ht="15" hidden="false" customHeight="false" outlineLevel="0" collapsed="false">
      <c r="A138" s="0" t="str">
        <f aca="false">Responses!A138</f>
        <v>S136</v>
      </c>
      <c r="B138" s="9" t="n">
        <f aca="false">IF(Responses!B138=Responses!B$2,1,0)</f>
        <v>1</v>
      </c>
      <c r="C138" s="9" t="n">
        <f aca="false">IF(Responses!C138=Responses!C$2,1,0)</f>
        <v>1</v>
      </c>
      <c r="D138" s="9" t="n">
        <f aca="false">IF(Responses!D138=Responses!D$2,1,0)</f>
        <v>1</v>
      </c>
      <c r="E138" s="9" t="n">
        <f aca="false">IF(Responses!E138=Responses!E$2,1,0)</f>
        <v>1</v>
      </c>
      <c r="F138" s="9" t="n">
        <f aca="false">IF(Responses!F138=Responses!F$2,1,0)</f>
        <v>1</v>
      </c>
      <c r="G138" s="9" t="n">
        <f aca="false">IF(Responses!G138=Responses!G$2,1,0)</f>
        <v>1</v>
      </c>
      <c r="H138" s="9" t="n">
        <f aca="false">IF(Responses!H138=Responses!H$2,1,0)</f>
        <v>0</v>
      </c>
      <c r="I138" s="9" t="n">
        <f aca="false">IF(Responses!I138=Responses!I$2,1,0)</f>
        <v>1</v>
      </c>
      <c r="J138" s="9" t="n">
        <f aca="false">IF(Responses!J138=Responses!J$2,1,0)</f>
        <v>1</v>
      </c>
      <c r="K138" s="9" t="n">
        <f aca="false">IF(Responses!K138=Responses!K$2,1,0)</f>
        <v>1</v>
      </c>
      <c r="L138" s="9" t="n">
        <f aca="false">IF(Responses!L138=Responses!L$2,1,0)</f>
        <v>1</v>
      </c>
      <c r="M138" s="9" t="n">
        <f aca="false">IF(Responses!M138=Responses!M$2,1,0)</f>
        <v>1</v>
      </c>
      <c r="N138" s="9" t="n">
        <f aca="false">IF(Responses!N138=Responses!N$2,1,0)</f>
        <v>1</v>
      </c>
      <c r="O138" s="9" t="n">
        <f aca="false">IF(Responses!O138=Responses!O$2,1,0)</f>
        <v>1</v>
      </c>
      <c r="P138" s="9" t="n">
        <f aca="false">IF(Responses!P138=Responses!P$2,1,0)</f>
        <v>0</v>
      </c>
      <c r="Q138" s="9" t="n">
        <f aca="false">IF(Responses!Q138=Responses!Q$2,1,0)</f>
        <v>1</v>
      </c>
      <c r="R138" s="9" t="n">
        <f aca="false">IF(Responses!R138=Responses!R$2,1,0)</f>
        <v>1</v>
      </c>
      <c r="S138" s="9" t="n">
        <f aca="false">IF(Responses!S138=Responses!S$2,1,0)</f>
        <v>1</v>
      </c>
      <c r="T138" s="9" t="n">
        <f aca="false">IF(Responses!T138=Responses!T$2,1,0)</f>
        <v>1</v>
      </c>
      <c r="U138" s="9" t="n">
        <f aca="false">IF(Responses!U138=Responses!U$2,1,0)</f>
        <v>1</v>
      </c>
      <c r="V138" s="9" t="n">
        <f aca="false">IF(Responses!V138=Responses!V$2,1,0)</f>
        <v>1</v>
      </c>
      <c r="W138" s="9" t="n">
        <f aca="false">IF(Responses!W138=Responses!W$2,1,0)</f>
        <v>1</v>
      </c>
      <c r="X138" s="9" t="n">
        <f aca="false">IF(Responses!X138=Responses!X$2,1,0)</f>
        <v>1</v>
      </c>
      <c r="Y138" s="9" t="n">
        <f aca="false">IF(Responses!Y138=Responses!Y$2,1,0)</f>
        <v>1</v>
      </c>
      <c r="Z138" s="9" t="n">
        <f aca="false">IF(Responses!Z138=Responses!Z$2,1,0)</f>
        <v>1</v>
      </c>
      <c r="AA138" s="9" t="n">
        <f aca="false">IF(Responses!AA138=Responses!AA$2,1,0)</f>
        <v>1</v>
      </c>
      <c r="AB138" s="9" t="n">
        <f aca="false">IF(Responses!AB138=Responses!AB$2,1,0)</f>
        <v>1</v>
      </c>
      <c r="AC138" s="9" t="n">
        <f aca="false">IF(Responses!AC138=Responses!AC$2,1,0)</f>
        <v>1</v>
      </c>
      <c r="AD138" s="9" t="n">
        <f aca="false">IF(Responses!AD138=Responses!AD$2,1,0)</f>
        <v>1</v>
      </c>
      <c r="AE138" s="9" t="n">
        <f aca="false">IF(Responses!AE138=Responses!AE$2,1,0)</f>
        <v>1</v>
      </c>
      <c r="AF138" s="9" t="n">
        <f aca="false">SUM(B138:AE138)</f>
        <v>28</v>
      </c>
    </row>
    <row r="139" customFormat="false" ht="15" hidden="false" customHeight="false" outlineLevel="0" collapsed="false">
      <c r="A139" s="0" t="str">
        <f aca="false">Responses!A139</f>
        <v>S137</v>
      </c>
      <c r="B139" s="9" t="n">
        <f aca="false">IF(Responses!B139=Responses!B$2,1,0)</f>
        <v>0</v>
      </c>
      <c r="C139" s="9" t="n">
        <f aca="false">IF(Responses!C139=Responses!C$2,1,0)</f>
        <v>1</v>
      </c>
      <c r="D139" s="9" t="n">
        <f aca="false">IF(Responses!D139=Responses!D$2,1,0)</f>
        <v>1</v>
      </c>
      <c r="E139" s="9" t="n">
        <f aca="false">IF(Responses!E139=Responses!E$2,1,0)</f>
        <v>1</v>
      </c>
      <c r="F139" s="9" t="n">
        <f aca="false">IF(Responses!F139=Responses!F$2,1,0)</f>
        <v>0</v>
      </c>
      <c r="G139" s="9" t="n">
        <f aca="false">IF(Responses!G139=Responses!G$2,1,0)</f>
        <v>1</v>
      </c>
      <c r="H139" s="9" t="n">
        <f aca="false">IF(Responses!H139=Responses!H$2,1,0)</f>
        <v>0</v>
      </c>
      <c r="I139" s="9" t="n">
        <f aca="false">IF(Responses!I139=Responses!I$2,1,0)</f>
        <v>0</v>
      </c>
      <c r="J139" s="9" t="n">
        <f aca="false">IF(Responses!J139=Responses!J$2,1,0)</f>
        <v>1</v>
      </c>
      <c r="K139" s="9" t="n">
        <f aca="false">IF(Responses!K139=Responses!K$2,1,0)</f>
        <v>1</v>
      </c>
      <c r="L139" s="9" t="n">
        <f aca="false">IF(Responses!L139=Responses!L$2,1,0)</f>
        <v>1</v>
      </c>
      <c r="M139" s="9" t="n">
        <f aca="false">IF(Responses!M139=Responses!M$2,1,0)</f>
        <v>1</v>
      </c>
      <c r="N139" s="9" t="n">
        <f aca="false">IF(Responses!N139=Responses!N$2,1,0)</f>
        <v>1</v>
      </c>
      <c r="O139" s="9" t="n">
        <f aca="false">IF(Responses!O139=Responses!O$2,1,0)</f>
        <v>1</v>
      </c>
      <c r="P139" s="9" t="n">
        <f aca="false">IF(Responses!P139=Responses!P$2,1,0)</f>
        <v>1</v>
      </c>
      <c r="Q139" s="9" t="n">
        <f aca="false">IF(Responses!Q139=Responses!Q$2,1,0)</f>
        <v>1</v>
      </c>
      <c r="R139" s="9" t="n">
        <f aca="false">IF(Responses!R139=Responses!R$2,1,0)</f>
        <v>1</v>
      </c>
      <c r="S139" s="9" t="n">
        <f aca="false">IF(Responses!S139=Responses!S$2,1,0)</f>
        <v>1</v>
      </c>
      <c r="T139" s="9" t="n">
        <f aca="false">IF(Responses!T139=Responses!T$2,1,0)</f>
        <v>1</v>
      </c>
      <c r="U139" s="9" t="n">
        <f aca="false">IF(Responses!U139=Responses!U$2,1,0)</f>
        <v>1</v>
      </c>
      <c r="V139" s="9" t="n">
        <f aca="false">IF(Responses!V139=Responses!V$2,1,0)</f>
        <v>1</v>
      </c>
      <c r="W139" s="9" t="n">
        <f aca="false">IF(Responses!W139=Responses!W$2,1,0)</f>
        <v>1</v>
      </c>
      <c r="X139" s="9" t="n">
        <f aca="false">IF(Responses!X139=Responses!X$2,1,0)</f>
        <v>1</v>
      </c>
      <c r="Y139" s="9" t="n">
        <f aca="false">IF(Responses!Y139=Responses!Y$2,1,0)</f>
        <v>1</v>
      </c>
      <c r="Z139" s="9" t="n">
        <f aca="false">IF(Responses!Z139=Responses!Z$2,1,0)</f>
        <v>1</v>
      </c>
      <c r="AA139" s="9" t="n">
        <f aca="false">IF(Responses!AA139=Responses!AA$2,1,0)</f>
        <v>1</v>
      </c>
      <c r="AB139" s="9" t="n">
        <f aca="false">IF(Responses!AB139=Responses!AB$2,1,0)</f>
        <v>1</v>
      </c>
      <c r="AC139" s="9" t="n">
        <f aca="false">IF(Responses!AC139=Responses!AC$2,1,0)</f>
        <v>1</v>
      </c>
      <c r="AD139" s="9" t="n">
        <f aca="false">IF(Responses!AD139=Responses!AD$2,1,0)</f>
        <v>1</v>
      </c>
      <c r="AE139" s="9" t="n">
        <f aca="false">IF(Responses!AE139=Responses!AE$2,1,0)</f>
        <v>1</v>
      </c>
      <c r="AF139" s="9" t="n">
        <f aca="false">SUM(B139:AE139)</f>
        <v>26</v>
      </c>
    </row>
    <row r="140" customFormat="false" ht="15" hidden="false" customHeight="false" outlineLevel="0" collapsed="false">
      <c r="A140" s="0" t="str">
        <f aca="false">Responses!A140</f>
        <v>S138</v>
      </c>
      <c r="B140" s="9" t="n">
        <f aca="false">IF(Responses!B140=Responses!B$2,1,0)</f>
        <v>1</v>
      </c>
      <c r="C140" s="9" t="n">
        <f aca="false">IF(Responses!C140=Responses!C$2,1,0)</f>
        <v>1</v>
      </c>
      <c r="D140" s="9" t="n">
        <f aca="false">IF(Responses!D140=Responses!D$2,1,0)</f>
        <v>1</v>
      </c>
      <c r="E140" s="9" t="n">
        <f aca="false">IF(Responses!E140=Responses!E$2,1,0)</f>
        <v>1</v>
      </c>
      <c r="F140" s="9" t="n">
        <f aca="false">IF(Responses!F140=Responses!F$2,1,0)</f>
        <v>1</v>
      </c>
      <c r="G140" s="9" t="n">
        <f aca="false">IF(Responses!G140=Responses!G$2,1,0)</f>
        <v>1</v>
      </c>
      <c r="H140" s="9" t="n">
        <f aca="false">IF(Responses!H140=Responses!H$2,1,0)</f>
        <v>0</v>
      </c>
      <c r="I140" s="9" t="n">
        <f aca="false">IF(Responses!I140=Responses!I$2,1,0)</f>
        <v>1</v>
      </c>
      <c r="J140" s="9" t="n">
        <f aca="false">IF(Responses!J140=Responses!J$2,1,0)</f>
        <v>1</v>
      </c>
      <c r="K140" s="9" t="n">
        <f aca="false">IF(Responses!K140=Responses!K$2,1,0)</f>
        <v>1</v>
      </c>
      <c r="L140" s="9" t="n">
        <f aca="false">IF(Responses!L140=Responses!L$2,1,0)</f>
        <v>0</v>
      </c>
      <c r="M140" s="9" t="n">
        <f aca="false">IF(Responses!M140=Responses!M$2,1,0)</f>
        <v>1</v>
      </c>
      <c r="N140" s="9" t="n">
        <f aca="false">IF(Responses!N140=Responses!N$2,1,0)</f>
        <v>1</v>
      </c>
      <c r="O140" s="9" t="n">
        <f aca="false">IF(Responses!O140=Responses!O$2,1,0)</f>
        <v>1</v>
      </c>
      <c r="P140" s="9" t="n">
        <f aca="false">IF(Responses!P140=Responses!P$2,1,0)</f>
        <v>1</v>
      </c>
      <c r="Q140" s="9" t="n">
        <f aca="false">IF(Responses!Q140=Responses!Q$2,1,0)</f>
        <v>1</v>
      </c>
      <c r="R140" s="9" t="n">
        <f aca="false">IF(Responses!R140=Responses!R$2,1,0)</f>
        <v>1</v>
      </c>
      <c r="S140" s="9" t="n">
        <f aca="false">IF(Responses!S140=Responses!S$2,1,0)</f>
        <v>0</v>
      </c>
      <c r="T140" s="9" t="n">
        <f aca="false">IF(Responses!T140=Responses!T$2,1,0)</f>
        <v>1</v>
      </c>
      <c r="U140" s="9" t="n">
        <f aca="false">IF(Responses!U140=Responses!U$2,1,0)</f>
        <v>1</v>
      </c>
      <c r="V140" s="9" t="n">
        <f aca="false">IF(Responses!V140=Responses!V$2,1,0)</f>
        <v>1</v>
      </c>
      <c r="W140" s="9" t="n">
        <f aca="false">IF(Responses!W140=Responses!W$2,1,0)</f>
        <v>1</v>
      </c>
      <c r="X140" s="9" t="n">
        <f aca="false">IF(Responses!X140=Responses!X$2,1,0)</f>
        <v>1</v>
      </c>
      <c r="Y140" s="9" t="n">
        <f aca="false">IF(Responses!Y140=Responses!Y$2,1,0)</f>
        <v>1</v>
      </c>
      <c r="Z140" s="9" t="n">
        <f aca="false">IF(Responses!Z140=Responses!Z$2,1,0)</f>
        <v>1</v>
      </c>
      <c r="AA140" s="9" t="n">
        <f aca="false">IF(Responses!AA140=Responses!AA$2,1,0)</f>
        <v>1</v>
      </c>
      <c r="AB140" s="9" t="n">
        <f aca="false">IF(Responses!AB140=Responses!AB$2,1,0)</f>
        <v>0</v>
      </c>
      <c r="AC140" s="9" t="n">
        <f aca="false">IF(Responses!AC140=Responses!AC$2,1,0)</f>
        <v>1</v>
      </c>
      <c r="AD140" s="9" t="n">
        <f aca="false">IF(Responses!AD140=Responses!AD$2,1,0)</f>
        <v>1</v>
      </c>
      <c r="AE140" s="9" t="n">
        <f aca="false">IF(Responses!AE140=Responses!AE$2,1,0)</f>
        <v>1</v>
      </c>
      <c r="AF140" s="9" t="n">
        <f aca="false">SUM(B140:AE140)</f>
        <v>26</v>
      </c>
    </row>
    <row r="141" customFormat="false" ht="15" hidden="false" customHeight="false" outlineLevel="0" collapsed="false">
      <c r="A141" s="0" t="str">
        <f aca="false">Responses!A141</f>
        <v>S139</v>
      </c>
      <c r="B141" s="9" t="n">
        <f aca="false">IF(Responses!B141=Responses!B$2,1,0)</f>
        <v>0</v>
      </c>
      <c r="C141" s="9" t="n">
        <f aca="false">IF(Responses!C141=Responses!C$2,1,0)</f>
        <v>0</v>
      </c>
      <c r="D141" s="9" t="n">
        <f aca="false">IF(Responses!D141=Responses!D$2,1,0)</f>
        <v>1</v>
      </c>
      <c r="E141" s="9" t="n">
        <f aca="false">IF(Responses!E141=Responses!E$2,1,0)</f>
        <v>1</v>
      </c>
      <c r="F141" s="9" t="n">
        <f aca="false">IF(Responses!F141=Responses!F$2,1,0)</f>
        <v>0</v>
      </c>
      <c r="G141" s="9" t="n">
        <f aca="false">IF(Responses!G141=Responses!G$2,1,0)</f>
        <v>0</v>
      </c>
      <c r="H141" s="9" t="n">
        <f aca="false">IF(Responses!H141=Responses!H$2,1,0)</f>
        <v>1</v>
      </c>
      <c r="I141" s="9" t="n">
        <f aca="false">IF(Responses!I141=Responses!I$2,1,0)</f>
        <v>1</v>
      </c>
      <c r="J141" s="9" t="n">
        <f aca="false">IF(Responses!J141=Responses!J$2,1,0)</f>
        <v>0</v>
      </c>
      <c r="K141" s="9" t="n">
        <f aca="false">IF(Responses!K141=Responses!K$2,1,0)</f>
        <v>0</v>
      </c>
      <c r="L141" s="9" t="n">
        <f aca="false">IF(Responses!L141=Responses!L$2,1,0)</f>
        <v>1</v>
      </c>
      <c r="M141" s="9" t="n">
        <f aca="false">IF(Responses!M141=Responses!M$2,1,0)</f>
        <v>0</v>
      </c>
      <c r="N141" s="9" t="n">
        <f aca="false">IF(Responses!N141=Responses!N$2,1,0)</f>
        <v>0</v>
      </c>
      <c r="O141" s="9" t="n">
        <f aca="false">IF(Responses!O141=Responses!O$2,1,0)</f>
        <v>0</v>
      </c>
      <c r="P141" s="9" t="n">
        <f aca="false">IF(Responses!P141=Responses!P$2,1,0)</f>
        <v>0</v>
      </c>
      <c r="Q141" s="9" t="n">
        <f aca="false">IF(Responses!Q141=Responses!Q$2,1,0)</f>
        <v>0</v>
      </c>
      <c r="R141" s="9" t="n">
        <f aca="false">IF(Responses!R141=Responses!R$2,1,0)</f>
        <v>0</v>
      </c>
      <c r="S141" s="9" t="n">
        <f aca="false">IF(Responses!S141=Responses!S$2,1,0)</f>
        <v>0</v>
      </c>
      <c r="T141" s="9" t="n">
        <f aca="false">IF(Responses!T141=Responses!T$2,1,0)</f>
        <v>0</v>
      </c>
      <c r="U141" s="9" t="n">
        <f aca="false">IF(Responses!U141=Responses!U$2,1,0)</f>
        <v>0</v>
      </c>
      <c r="V141" s="9" t="n">
        <f aca="false">IF(Responses!V141=Responses!V$2,1,0)</f>
        <v>1</v>
      </c>
      <c r="W141" s="9" t="n">
        <f aca="false">IF(Responses!W141=Responses!W$2,1,0)</f>
        <v>0</v>
      </c>
      <c r="X141" s="9" t="n">
        <f aca="false">IF(Responses!X141=Responses!X$2,1,0)</f>
        <v>0</v>
      </c>
      <c r="Y141" s="9" t="n">
        <f aca="false">IF(Responses!Y141=Responses!Y$2,1,0)</f>
        <v>0</v>
      </c>
      <c r="Z141" s="9" t="n">
        <f aca="false">IF(Responses!Z141=Responses!Z$2,1,0)</f>
        <v>0</v>
      </c>
      <c r="AA141" s="9" t="n">
        <f aca="false">IF(Responses!AA141=Responses!AA$2,1,0)</f>
        <v>0</v>
      </c>
      <c r="AB141" s="9" t="n">
        <f aca="false">IF(Responses!AB141=Responses!AB$2,1,0)</f>
        <v>1</v>
      </c>
      <c r="AC141" s="9" t="n">
        <f aca="false">IF(Responses!AC141=Responses!AC$2,1,0)</f>
        <v>1</v>
      </c>
      <c r="AD141" s="9" t="n">
        <f aca="false">IF(Responses!AD141=Responses!AD$2,1,0)</f>
        <v>0</v>
      </c>
      <c r="AE141" s="9" t="n">
        <f aca="false">IF(Responses!AE141=Responses!AE$2,1,0)</f>
        <v>0</v>
      </c>
      <c r="AF141" s="9" t="n">
        <f aca="false">SUM(B141:AE141)</f>
        <v>8</v>
      </c>
    </row>
    <row r="142" customFormat="false" ht="15" hidden="false" customHeight="false" outlineLevel="0" collapsed="false">
      <c r="A142" s="0" t="str">
        <f aca="false">Responses!A142</f>
        <v>S140</v>
      </c>
      <c r="B142" s="9" t="n">
        <f aca="false">IF(Responses!B142=Responses!B$2,1,0)</f>
        <v>1</v>
      </c>
      <c r="C142" s="9" t="n">
        <f aca="false">IF(Responses!C142=Responses!C$2,1,0)</f>
        <v>0</v>
      </c>
      <c r="D142" s="9" t="n">
        <f aca="false">IF(Responses!D142=Responses!D$2,1,0)</f>
        <v>0</v>
      </c>
      <c r="E142" s="9" t="n">
        <f aca="false">IF(Responses!E142=Responses!E$2,1,0)</f>
        <v>0</v>
      </c>
      <c r="F142" s="9" t="n">
        <f aca="false">IF(Responses!F142=Responses!F$2,1,0)</f>
        <v>0</v>
      </c>
      <c r="G142" s="9" t="n">
        <f aca="false">IF(Responses!G142=Responses!G$2,1,0)</f>
        <v>0</v>
      </c>
      <c r="H142" s="9" t="n">
        <f aca="false">IF(Responses!H142=Responses!H$2,1,0)</f>
        <v>0</v>
      </c>
      <c r="I142" s="9" t="n">
        <f aca="false">IF(Responses!I142=Responses!I$2,1,0)</f>
        <v>1</v>
      </c>
      <c r="J142" s="9" t="n">
        <f aca="false">IF(Responses!J142=Responses!J$2,1,0)</f>
        <v>0</v>
      </c>
      <c r="K142" s="9" t="n">
        <f aca="false">IF(Responses!K142=Responses!K$2,1,0)</f>
        <v>0</v>
      </c>
      <c r="L142" s="9" t="n">
        <f aca="false">IF(Responses!L142=Responses!L$2,1,0)</f>
        <v>0</v>
      </c>
      <c r="M142" s="9" t="n">
        <f aca="false">IF(Responses!M142=Responses!M$2,1,0)</f>
        <v>1</v>
      </c>
      <c r="N142" s="9" t="n">
        <f aca="false">IF(Responses!N142=Responses!N$2,1,0)</f>
        <v>0</v>
      </c>
      <c r="O142" s="9" t="n">
        <f aca="false">IF(Responses!O142=Responses!O$2,1,0)</f>
        <v>1</v>
      </c>
      <c r="P142" s="9" t="n">
        <f aca="false">IF(Responses!P142=Responses!P$2,1,0)</f>
        <v>0</v>
      </c>
      <c r="Q142" s="9" t="n">
        <f aca="false">IF(Responses!Q142=Responses!Q$2,1,0)</f>
        <v>0</v>
      </c>
      <c r="R142" s="9" t="n">
        <f aca="false">IF(Responses!R142=Responses!R$2,1,0)</f>
        <v>0</v>
      </c>
      <c r="S142" s="9" t="n">
        <f aca="false">IF(Responses!S142=Responses!S$2,1,0)</f>
        <v>1</v>
      </c>
      <c r="T142" s="9" t="n">
        <f aca="false">IF(Responses!T142=Responses!T$2,1,0)</f>
        <v>0</v>
      </c>
      <c r="U142" s="9" t="n">
        <f aca="false">IF(Responses!U142=Responses!U$2,1,0)</f>
        <v>0</v>
      </c>
      <c r="V142" s="9" t="n">
        <f aca="false">IF(Responses!V142=Responses!V$2,1,0)</f>
        <v>0</v>
      </c>
      <c r="W142" s="9" t="n">
        <f aca="false">IF(Responses!W142=Responses!W$2,1,0)</f>
        <v>1</v>
      </c>
      <c r="X142" s="9" t="n">
        <f aca="false">IF(Responses!X142=Responses!X$2,1,0)</f>
        <v>1</v>
      </c>
      <c r="Y142" s="9" t="n">
        <f aca="false">IF(Responses!Y142=Responses!Y$2,1,0)</f>
        <v>1</v>
      </c>
      <c r="Z142" s="9" t="n">
        <f aca="false">IF(Responses!Z142=Responses!Z$2,1,0)</f>
        <v>0</v>
      </c>
      <c r="AA142" s="9" t="n">
        <f aca="false">IF(Responses!AA142=Responses!AA$2,1,0)</f>
        <v>0</v>
      </c>
      <c r="AB142" s="9" t="n">
        <f aca="false">IF(Responses!AB142=Responses!AB$2,1,0)</f>
        <v>0</v>
      </c>
      <c r="AC142" s="9" t="n">
        <f aca="false">IF(Responses!AC142=Responses!AC$2,1,0)</f>
        <v>0</v>
      </c>
      <c r="AD142" s="9" t="n">
        <f aca="false">IF(Responses!AD142=Responses!AD$2,1,0)</f>
        <v>0</v>
      </c>
      <c r="AE142" s="9" t="n">
        <f aca="false">IF(Responses!AE142=Responses!AE$2,1,0)</f>
        <v>0</v>
      </c>
      <c r="AF142" s="9" t="n">
        <f aca="false">SUM(B142:AE142)</f>
        <v>8</v>
      </c>
    </row>
    <row r="143" customFormat="false" ht="15" hidden="false" customHeight="false" outlineLevel="0" collapsed="false">
      <c r="A143" s="0" t="str">
        <f aca="false">Responses!A143</f>
        <v>S141</v>
      </c>
      <c r="B143" s="9" t="n">
        <f aca="false">IF(Responses!B143=Responses!B$2,1,0)</f>
        <v>1</v>
      </c>
      <c r="C143" s="9" t="n">
        <f aca="false">IF(Responses!C143=Responses!C$2,1,0)</f>
        <v>0</v>
      </c>
      <c r="D143" s="9" t="n">
        <f aca="false">IF(Responses!D143=Responses!D$2,1,0)</f>
        <v>1</v>
      </c>
      <c r="E143" s="9" t="n">
        <f aca="false">IF(Responses!E143=Responses!E$2,1,0)</f>
        <v>1</v>
      </c>
      <c r="F143" s="9" t="n">
        <f aca="false">IF(Responses!F143=Responses!F$2,1,0)</f>
        <v>1</v>
      </c>
      <c r="G143" s="9" t="n">
        <f aca="false">IF(Responses!G143=Responses!G$2,1,0)</f>
        <v>1</v>
      </c>
      <c r="H143" s="9" t="n">
        <f aca="false">IF(Responses!H143=Responses!H$2,1,0)</f>
        <v>0</v>
      </c>
      <c r="I143" s="9" t="n">
        <f aca="false">IF(Responses!I143=Responses!I$2,1,0)</f>
        <v>1</v>
      </c>
      <c r="J143" s="9" t="n">
        <f aca="false">IF(Responses!J143=Responses!J$2,1,0)</f>
        <v>1</v>
      </c>
      <c r="K143" s="9" t="n">
        <f aca="false">IF(Responses!K143=Responses!K$2,1,0)</f>
        <v>1</v>
      </c>
      <c r="L143" s="9" t="n">
        <f aca="false">IF(Responses!L143=Responses!L$2,1,0)</f>
        <v>1</v>
      </c>
      <c r="M143" s="9" t="n">
        <f aca="false">IF(Responses!M143=Responses!M$2,1,0)</f>
        <v>1</v>
      </c>
      <c r="N143" s="9" t="n">
        <f aca="false">IF(Responses!N143=Responses!N$2,1,0)</f>
        <v>1</v>
      </c>
      <c r="O143" s="9" t="n">
        <f aca="false">IF(Responses!O143=Responses!O$2,1,0)</f>
        <v>1</v>
      </c>
      <c r="P143" s="9" t="n">
        <f aca="false">IF(Responses!P143=Responses!P$2,1,0)</f>
        <v>0</v>
      </c>
      <c r="Q143" s="9" t="n">
        <f aca="false">IF(Responses!Q143=Responses!Q$2,1,0)</f>
        <v>1</v>
      </c>
      <c r="R143" s="9" t="n">
        <f aca="false">IF(Responses!R143=Responses!R$2,1,0)</f>
        <v>1</v>
      </c>
      <c r="S143" s="9" t="n">
        <f aca="false">IF(Responses!S143=Responses!S$2,1,0)</f>
        <v>0</v>
      </c>
      <c r="T143" s="9" t="n">
        <f aca="false">IF(Responses!T143=Responses!T$2,1,0)</f>
        <v>0</v>
      </c>
      <c r="U143" s="9" t="n">
        <f aca="false">IF(Responses!U143=Responses!U$2,1,0)</f>
        <v>1</v>
      </c>
      <c r="V143" s="9" t="n">
        <f aca="false">IF(Responses!V143=Responses!V$2,1,0)</f>
        <v>1</v>
      </c>
      <c r="W143" s="9" t="n">
        <f aca="false">IF(Responses!W143=Responses!W$2,1,0)</f>
        <v>1</v>
      </c>
      <c r="X143" s="9" t="n">
        <f aca="false">IF(Responses!X143=Responses!X$2,1,0)</f>
        <v>1</v>
      </c>
      <c r="Y143" s="9" t="n">
        <f aca="false">IF(Responses!Y143=Responses!Y$2,1,0)</f>
        <v>1</v>
      </c>
      <c r="Z143" s="9" t="n">
        <f aca="false">IF(Responses!Z143=Responses!Z$2,1,0)</f>
        <v>1</v>
      </c>
      <c r="AA143" s="9" t="n">
        <f aca="false">IF(Responses!AA143=Responses!AA$2,1,0)</f>
        <v>0</v>
      </c>
      <c r="AB143" s="9" t="n">
        <f aca="false">IF(Responses!AB143=Responses!AB$2,1,0)</f>
        <v>0</v>
      </c>
      <c r="AC143" s="9" t="n">
        <f aca="false">IF(Responses!AC143=Responses!AC$2,1,0)</f>
        <v>1</v>
      </c>
      <c r="AD143" s="9" t="n">
        <f aca="false">IF(Responses!AD143=Responses!AD$2,1,0)</f>
        <v>1</v>
      </c>
      <c r="AE143" s="9" t="n">
        <f aca="false">IF(Responses!AE143=Responses!AE$2,1,0)</f>
        <v>1</v>
      </c>
      <c r="AF143" s="9" t="n">
        <f aca="false">SUM(B143:AE143)</f>
        <v>23</v>
      </c>
    </row>
    <row r="144" customFormat="false" ht="15" hidden="false" customHeight="false" outlineLevel="0" collapsed="false">
      <c r="A144" s="0" t="str">
        <f aca="false">Responses!A144</f>
        <v>S142</v>
      </c>
      <c r="B144" s="9" t="n">
        <f aca="false">IF(Responses!B144=Responses!B$2,1,0)</f>
        <v>0</v>
      </c>
      <c r="C144" s="9" t="n">
        <f aca="false">IF(Responses!C144=Responses!C$2,1,0)</f>
        <v>0</v>
      </c>
      <c r="D144" s="9" t="n">
        <f aca="false">IF(Responses!D144=Responses!D$2,1,0)</f>
        <v>0</v>
      </c>
      <c r="E144" s="9" t="n">
        <f aca="false">IF(Responses!E144=Responses!E$2,1,0)</f>
        <v>0</v>
      </c>
      <c r="F144" s="9" t="n">
        <f aca="false">IF(Responses!F144=Responses!F$2,1,0)</f>
        <v>1</v>
      </c>
      <c r="G144" s="9" t="n">
        <f aca="false">IF(Responses!G144=Responses!G$2,1,0)</f>
        <v>0</v>
      </c>
      <c r="H144" s="9" t="n">
        <f aca="false">IF(Responses!H144=Responses!H$2,1,0)</f>
        <v>0</v>
      </c>
      <c r="I144" s="9" t="n">
        <f aca="false">IF(Responses!I144=Responses!I$2,1,0)</f>
        <v>0</v>
      </c>
      <c r="J144" s="9" t="n">
        <f aca="false">IF(Responses!J144=Responses!J$2,1,0)</f>
        <v>0</v>
      </c>
      <c r="K144" s="9" t="n">
        <f aca="false">IF(Responses!K144=Responses!K$2,1,0)</f>
        <v>0</v>
      </c>
      <c r="L144" s="9" t="n">
        <f aca="false">IF(Responses!L144=Responses!L$2,1,0)</f>
        <v>1</v>
      </c>
      <c r="M144" s="9" t="n">
        <f aca="false">IF(Responses!M144=Responses!M$2,1,0)</f>
        <v>1</v>
      </c>
      <c r="N144" s="9" t="n">
        <f aca="false">IF(Responses!N144=Responses!N$2,1,0)</f>
        <v>0</v>
      </c>
      <c r="O144" s="9" t="n">
        <f aca="false">IF(Responses!O144=Responses!O$2,1,0)</f>
        <v>0</v>
      </c>
      <c r="P144" s="9" t="n">
        <f aca="false">IF(Responses!P144=Responses!P$2,1,0)</f>
        <v>0</v>
      </c>
      <c r="Q144" s="9" t="n">
        <f aca="false">IF(Responses!Q144=Responses!Q$2,1,0)</f>
        <v>1</v>
      </c>
      <c r="R144" s="9" t="n">
        <f aca="false">IF(Responses!R144=Responses!R$2,1,0)</f>
        <v>1</v>
      </c>
      <c r="S144" s="9" t="n">
        <f aca="false">IF(Responses!S144=Responses!S$2,1,0)</f>
        <v>1</v>
      </c>
      <c r="T144" s="9" t="n">
        <f aca="false">IF(Responses!T144=Responses!T$2,1,0)</f>
        <v>0</v>
      </c>
      <c r="U144" s="9" t="n">
        <f aca="false">IF(Responses!U144=Responses!U$2,1,0)</f>
        <v>1</v>
      </c>
      <c r="V144" s="9" t="n">
        <f aca="false">IF(Responses!V144=Responses!V$2,1,0)</f>
        <v>0</v>
      </c>
      <c r="W144" s="9" t="n">
        <f aca="false">IF(Responses!W144=Responses!W$2,1,0)</f>
        <v>0</v>
      </c>
      <c r="X144" s="9" t="n">
        <f aca="false">IF(Responses!X144=Responses!X$2,1,0)</f>
        <v>1</v>
      </c>
      <c r="Y144" s="9" t="n">
        <f aca="false">IF(Responses!Y144=Responses!Y$2,1,0)</f>
        <v>0</v>
      </c>
      <c r="Z144" s="9" t="n">
        <f aca="false">IF(Responses!Z144=Responses!Z$2,1,0)</f>
        <v>0</v>
      </c>
      <c r="AA144" s="9" t="n">
        <f aca="false">IF(Responses!AA144=Responses!AA$2,1,0)</f>
        <v>0</v>
      </c>
      <c r="AB144" s="9" t="n">
        <f aca="false">IF(Responses!AB144=Responses!AB$2,1,0)</f>
        <v>0</v>
      </c>
      <c r="AC144" s="9" t="n">
        <f aca="false">IF(Responses!AC144=Responses!AC$2,1,0)</f>
        <v>0</v>
      </c>
      <c r="AD144" s="9" t="n">
        <f aca="false">IF(Responses!AD144=Responses!AD$2,1,0)</f>
        <v>1</v>
      </c>
      <c r="AE144" s="9" t="n">
        <f aca="false">IF(Responses!AE144=Responses!AE$2,1,0)</f>
        <v>0</v>
      </c>
      <c r="AF144" s="9" t="n">
        <f aca="false">SUM(B144:AE144)</f>
        <v>9</v>
      </c>
    </row>
    <row r="145" customFormat="false" ht="15" hidden="false" customHeight="false" outlineLevel="0" collapsed="false">
      <c r="A145" s="0" t="str">
        <f aca="false">Responses!A145</f>
        <v>S143</v>
      </c>
      <c r="B145" s="9" t="n">
        <f aca="false">IF(Responses!B145=Responses!B$2,1,0)</f>
        <v>0</v>
      </c>
      <c r="C145" s="9" t="n">
        <f aca="false">IF(Responses!C145=Responses!C$2,1,0)</f>
        <v>0</v>
      </c>
      <c r="D145" s="9" t="n">
        <f aca="false">IF(Responses!D145=Responses!D$2,1,0)</f>
        <v>0</v>
      </c>
      <c r="E145" s="9" t="n">
        <f aca="false">IF(Responses!E145=Responses!E$2,1,0)</f>
        <v>1</v>
      </c>
      <c r="F145" s="9" t="n">
        <f aca="false">IF(Responses!F145=Responses!F$2,1,0)</f>
        <v>0</v>
      </c>
      <c r="G145" s="9" t="n">
        <f aca="false">IF(Responses!G145=Responses!G$2,1,0)</f>
        <v>0</v>
      </c>
      <c r="H145" s="9" t="n">
        <f aca="false">IF(Responses!H145=Responses!H$2,1,0)</f>
        <v>0</v>
      </c>
      <c r="I145" s="9" t="n">
        <f aca="false">IF(Responses!I145=Responses!I$2,1,0)</f>
        <v>1</v>
      </c>
      <c r="J145" s="9" t="n">
        <f aca="false">IF(Responses!J145=Responses!J$2,1,0)</f>
        <v>1</v>
      </c>
      <c r="K145" s="9" t="n">
        <f aca="false">IF(Responses!K145=Responses!K$2,1,0)</f>
        <v>0</v>
      </c>
      <c r="L145" s="9" t="n">
        <f aca="false">IF(Responses!L145=Responses!L$2,1,0)</f>
        <v>1</v>
      </c>
      <c r="M145" s="9" t="n">
        <f aca="false">IF(Responses!M145=Responses!M$2,1,0)</f>
        <v>1</v>
      </c>
      <c r="N145" s="9" t="n">
        <f aca="false">IF(Responses!N145=Responses!N$2,1,0)</f>
        <v>1</v>
      </c>
      <c r="O145" s="9" t="n">
        <f aca="false">IF(Responses!O145=Responses!O$2,1,0)</f>
        <v>1</v>
      </c>
      <c r="P145" s="9" t="n">
        <f aca="false">IF(Responses!P145=Responses!P$2,1,0)</f>
        <v>1</v>
      </c>
      <c r="Q145" s="9" t="n">
        <f aca="false">IF(Responses!Q145=Responses!Q$2,1,0)</f>
        <v>1</v>
      </c>
      <c r="R145" s="9" t="n">
        <f aca="false">IF(Responses!R145=Responses!R$2,1,0)</f>
        <v>1</v>
      </c>
      <c r="S145" s="9" t="n">
        <f aca="false">IF(Responses!S145=Responses!S$2,1,0)</f>
        <v>1</v>
      </c>
      <c r="T145" s="9" t="n">
        <f aca="false">IF(Responses!T145=Responses!T$2,1,0)</f>
        <v>1</v>
      </c>
      <c r="U145" s="9" t="n">
        <f aca="false">IF(Responses!U145=Responses!U$2,1,0)</f>
        <v>1</v>
      </c>
      <c r="V145" s="9" t="n">
        <f aca="false">IF(Responses!V145=Responses!V$2,1,0)</f>
        <v>0</v>
      </c>
      <c r="W145" s="9" t="n">
        <f aca="false">IF(Responses!W145=Responses!W$2,1,0)</f>
        <v>0</v>
      </c>
      <c r="X145" s="9" t="n">
        <f aca="false">IF(Responses!X145=Responses!X$2,1,0)</f>
        <v>1</v>
      </c>
      <c r="Y145" s="9" t="n">
        <f aca="false">IF(Responses!Y145=Responses!Y$2,1,0)</f>
        <v>0</v>
      </c>
      <c r="Z145" s="9" t="n">
        <f aca="false">IF(Responses!Z145=Responses!Z$2,1,0)</f>
        <v>1</v>
      </c>
      <c r="AA145" s="9" t="n">
        <f aca="false">IF(Responses!AA145=Responses!AA$2,1,0)</f>
        <v>0</v>
      </c>
      <c r="AB145" s="9" t="n">
        <f aca="false">IF(Responses!AB145=Responses!AB$2,1,0)</f>
        <v>1</v>
      </c>
      <c r="AC145" s="9" t="n">
        <f aca="false">IF(Responses!AC145=Responses!AC$2,1,0)</f>
        <v>0</v>
      </c>
      <c r="AD145" s="9" t="n">
        <f aca="false">IF(Responses!AD145=Responses!AD$2,1,0)</f>
        <v>0</v>
      </c>
      <c r="AE145" s="9" t="n">
        <f aca="false">IF(Responses!AE145=Responses!AE$2,1,0)</f>
        <v>0</v>
      </c>
      <c r="AF145" s="9" t="n">
        <f aca="false">SUM(B145:AE145)</f>
        <v>16</v>
      </c>
    </row>
    <row r="146" customFormat="false" ht="15" hidden="false" customHeight="false" outlineLevel="0" collapsed="false">
      <c r="A146" s="0" t="str">
        <f aca="false">Responses!A146</f>
        <v>S144</v>
      </c>
      <c r="B146" s="9" t="n">
        <f aca="false">IF(Responses!B146=Responses!B$2,1,0)</f>
        <v>0</v>
      </c>
      <c r="C146" s="9" t="n">
        <f aca="false">IF(Responses!C146=Responses!C$2,1,0)</f>
        <v>1</v>
      </c>
      <c r="D146" s="9" t="n">
        <f aca="false">IF(Responses!D146=Responses!D$2,1,0)</f>
        <v>0</v>
      </c>
      <c r="E146" s="9" t="n">
        <f aca="false">IF(Responses!E146=Responses!E$2,1,0)</f>
        <v>1</v>
      </c>
      <c r="F146" s="9" t="n">
        <f aca="false">IF(Responses!F146=Responses!F$2,1,0)</f>
        <v>0</v>
      </c>
      <c r="G146" s="9" t="n">
        <f aca="false">IF(Responses!G146=Responses!G$2,1,0)</f>
        <v>1</v>
      </c>
      <c r="H146" s="9" t="n">
        <f aca="false">IF(Responses!H146=Responses!H$2,1,0)</f>
        <v>0</v>
      </c>
      <c r="I146" s="9" t="n">
        <f aca="false">IF(Responses!I146=Responses!I$2,1,0)</f>
        <v>1</v>
      </c>
      <c r="J146" s="9" t="n">
        <f aca="false">IF(Responses!J146=Responses!J$2,1,0)</f>
        <v>1</v>
      </c>
      <c r="K146" s="9" t="n">
        <f aca="false">IF(Responses!K146=Responses!K$2,1,0)</f>
        <v>1</v>
      </c>
      <c r="L146" s="9" t="n">
        <f aca="false">IF(Responses!L146=Responses!L$2,1,0)</f>
        <v>0</v>
      </c>
      <c r="M146" s="9" t="n">
        <f aca="false">IF(Responses!M146=Responses!M$2,1,0)</f>
        <v>1</v>
      </c>
      <c r="N146" s="9" t="n">
        <f aca="false">IF(Responses!N146=Responses!N$2,1,0)</f>
        <v>0</v>
      </c>
      <c r="O146" s="9" t="n">
        <f aca="false">IF(Responses!O146=Responses!O$2,1,0)</f>
        <v>1</v>
      </c>
      <c r="P146" s="9" t="n">
        <f aca="false">IF(Responses!P146=Responses!P$2,1,0)</f>
        <v>1</v>
      </c>
      <c r="Q146" s="9" t="n">
        <f aca="false">IF(Responses!Q146=Responses!Q$2,1,0)</f>
        <v>1</v>
      </c>
      <c r="R146" s="9" t="n">
        <f aca="false">IF(Responses!R146=Responses!R$2,1,0)</f>
        <v>1</v>
      </c>
      <c r="S146" s="9" t="n">
        <f aca="false">IF(Responses!S146=Responses!S$2,1,0)</f>
        <v>0</v>
      </c>
      <c r="T146" s="9" t="n">
        <f aca="false">IF(Responses!T146=Responses!T$2,1,0)</f>
        <v>0</v>
      </c>
      <c r="U146" s="9" t="n">
        <f aca="false">IF(Responses!U146=Responses!U$2,1,0)</f>
        <v>1</v>
      </c>
      <c r="V146" s="9" t="n">
        <f aca="false">IF(Responses!V146=Responses!V$2,1,0)</f>
        <v>0</v>
      </c>
      <c r="W146" s="9" t="n">
        <f aca="false">IF(Responses!W146=Responses!W$2,1,0)</f>
        <v>0</v>
      </c>
      <c r="X146" s="9" t="n">
        <f aca="false">IF(Responses!X146=Responses!X$2,1,0)</f>
        <v>1</v>
      </c>
      <c r="Y146" s="9" t="n">
        <f aca="false">IF(Responses!Y146=Responses!Y$2,1,0)</f>
        <v>1</v>
      </c>
      <c r="Z146" s="9" t="n">
        <f aca="false">IF(Responses!Z146=Responses!Z$2,1,0)</f>
        <v>1</v>
      </c>
      <c r="AA146" s="9" t="n">
        <f aca="false">IF(Responses!AA146=Responses!AA$2,1,0)</f>
        <v>1</v>
      </c>
      <c r="AB146" s="9" t="n">
        <f aca="false">IF(Responses!AB146=Responses!AB$2,1,0)</f>
        <v>0</v>
      </c>
      <c r="AC146" s="9" t="n">
        <f aca="false">IF(Responses!AC146=Responses!AC$2,1,0)</f>
        <v>0</v>
      </c>
      <c r="AD146" s="9" t="n">
        <f aca="false">IF(Responses!AD146=Responses!AD$2,1,0)</f>
        <v>1</v>
      </c>
      <c r="AE146" s="9" t="n">
        <f aca="false">IF(Responses!AE146=Responses!AE$2,1,0)</f>
        <v>1</v>
      </c>
      <c r="AF146" s="9" t="n">
        <f aca="false">SUM(B146:AE146)</f>
        <v>18</v>
      </c>
    </row>
    <row r="147" customFormat="false" ht="15" hidden="false" customHeight="false" outlineLevel="0" collapsed="false">
      <c r="A147" s="0" t="str">
        <f aca="false">Responses!A147</f>
        <v>S145</v>
      </c>
      <c r="B147" s="9" t="n">
        <f aca="false">IF(Responses!B147=Responses!B$2,1,0)</f>
        <v>0</v>
      </c>
      <c r="C147" s="9" t="n">
        <f aca="false">IF(Responses!C147=Responses!C$2,1,0)</f>
        <v>0</v>
      </c>
      <c r="D147" s="9" t="n">
        <f aca="false">IF(Responses!D147=Responses!D$2,1,0)</f>
        <v>1</v>
      </c>
      <c r="E147" s="9" t="n">
        <f aca="false">IF(Responses!E147=Responses!E$2,1,0)</f>
        <v>0</v>
      </c>
      <c r="F147" s="9" t="n">
        <f aca="false">IF(Responses!F147=Responses!F$2,1,0)</f>
        <v>1</v>
      </c>
      <c r="G147" s="9" t="n">
        <f aca="false">IF(Responses!G147=Responses!G$2,1,0)</f>
        <v>1</v>
      </c>
      <c r="H147" s="9" t="n">
        <f aca="false">IF(Responses!H147=Responses!H$2,1,0)</f>
        <v>0</v>
      </c>
      <c r="I147" s="9" t="n">
        <f aca="false">IF(Responses!I147=Responses!I$2,1,0)</f>
        <v>1</v>
      </c>
      <c r="J147" s="9" t="n">
        <f aca="false">IF(Responses!J147=Responses!J$2,1,0)</f>
        <v>1</v>
      </c>
      <c r="K147" s="9" t="n">
        <f aca="false">IF(Responses!K147=Responses!K$2,1,0)</f>
        <v>0</v>
      </c>
      <c r="L147" s="9" t="n">
        <f aca="false">IF(Responses!L147=Responses!L$2,1,0)</f>
        <v>0</v>
      </c>
      <c r="M147" s="9" t="n">
        <f aca="false">IF(Responses!M147=Responses!M$2,1,0)</f>
        <v>0</v>
      </c>
      <c r="N147" s="9" t="n">
        <f aca="false">IF(Responses!N147=Responses!N$2,1,0)</f>
        <v>0</v>
      </c>
      <c r="O147" s="9" t="n">
        <f aca="false">IF(Responses!O147=Responses!O$2,1,0)</f>
        <v>0</v>
      </c>
      <c r="P147" s="9" t="n">
        <f aca="false">IF(Responses!P147=Responses!P$2,1,0)</f>
        <v>0</v>
      </c>
      <c r="Q147" s="9" t="n">
        <f aca="false">IF(Responses!Q147=Responses!Q$2,1,0)</f>
        <v>1</v>
      </c>
      <c r="R147" s="9" t="n">
        <f aca="false">IF(Responses!R147=Responses!R$2,1,0)</f>
        <v>1</v>
      </c>
      <c r="S147" s="9" t="n">
        <f aca="false">IF(Responses!S147=Responses!S$2,1,0)</f>
        <v>0</v>
      </c>
      <c r="T147" s="9" t="n">
        <f aca="false">IF(Responses!T147=Responses!T$2,1,0)</f>
        <v>1</v>
      </c>
      <c r="U147" s="9" t="n">
        <f aca="false">IF(Responses!U147=Responses!U$2,1,0)</f>
        <v>0</v>
      </c>
      <c r="V147" s="9" t="n">
        <f aca="false">IF(Responses!V147=Responses!V$2,1,0)</f>
        <v>0</v>
      </c>
      <c r="W147" s="9" t="n">
        <f aca="false">IF(Responses!W147=Responses!W$2,1,0)</f>
        <v>0</v>
      </c>
      <c r="X147" s="9" t="n">
        <f aca="false">IF(Responses!X147=Responses!X$2,1,0)</f>
        <v>1</v>
      </c>
      <c r="Y147" s="9" t="n">
        <f aca="false">IF(Responses!Y147=Responses!Y$2,1,0)</f>
        <v>0</v>
      </c>
      <c r="Z147" s="9" t="n">
        <f aca="false">IF(Responses!Z147=Responses!Z$2,1,0)</f>
        <v>0</v>
      </c>
      <c r="AA147" s="9" t="n">
        <f aca="false">IF(Responses!AA147=Responses!AA$2,1,0)</f>
        <v>0</v>
      </c>
      <c r="AB147" s="9" t="n">
        <f aca="false">IF(Responses!AB147=Responses!AB$2,1,0)</f>
        <v>0</v>
      </c>
      <c r="AC147" s="9" t="n">
        <f aca="false">IF(Responses!AC147=Responses!AC$2,1,0)</f>
        <v>0</v>
      </c>
      <c r="AD147" s="9" t="n">
        <f aca="false">IF(Responses!AD147=Responses!AD$2,1,0)</f>
        <v>0</v>
      </c>
      <c r="AE147" s="9" t="n">
        <f aca="false">IF(Responses!AE147=Responses!AE$2,1,0)</f>
        <v>0</v>
      </c>
      <c r="AF147" s="9" t="n">
        <f aca="false">SUM(B147:AE147)</f>
        <v>9</v>
      </c>
    </row>
    <row r="148" customFormat="false" ht="15" hidden="false" customHeight="false" outlineLevel="0" collapsed="false">
      <c r="A148" s="0" t="str">
        <f aca="false">Responses!A148</f>
        <v>S146</v>
      </c>
      <c r="B148" s="9" t="n">
        <f aca="false">IF(Responses!B148=Responses!B$2,1,0)</f>
        <v>1</v>
      </c>
      <c r="C148" s="9" t="n">
        <f aca="false">IF(Responses!C148=Responses!C$2,1,0)</f>
        <v>1</v>
      </c>
      <c r="D148" s="9" t="n">
        <f aca="false">IF(Responses!D148=Responses!D$2,1,0)</f>
        <v>1</v>
      </c>
      <c r="E148" s="9" t="n">
        <f aca="false">IF(Responses!E148=Responses!E$2,1,0)</f>
        <v>1</v>
      </c>
      <c r="F148" s="9" t="n">
        <f aca="false">IF(Responses!F148=Responses!F$2,1,0)</f>
        <v>1</v>
      </c>
      <c r="G148" s="9" t="n">
        <f aca="false">IF(Responses!G148=Responses!G$2,1,0)</f>
        <v>1</v>
      </c>
      <c r="H148" s="9" t="n">
        <f aca="false">IF(Responses!H148=Responses!H$2,1,0)</f>
        <v>0</v>
      </c>
      <c r="I148" s="9" t="n">
        <f aca="false">IF(Responses!I148=Responses!I$2,1,0)</f>
        <v>1</v>
      </c>
      <c r="J148" s="9" t="n">
        <f aca="false">IF(Responses!J148=Responses!J$2,1,0)</f>
        <v>1</v>
      </c>
      <c r="K148" s="9" t="n">
        <f aca="false">IF(Responses!K148=Responses!K$2,1,0)</f>
        <v>1</v>
      </c>
      <c r="L148" s="9" t="n">
        <f aca="false">IF(Responses!L148=Responses!L$2,1,0)</f>
        <v>1</v>
      </c>
      <c r="M148" s="9" t="n">
        <f aca="false">IF(Responses!M148=Responses!M$2,1,0)</f>
        <v>1</v>
      </c>
      <c r="N148" s="9" t="n">
        <f aca="false">IF(Responses!N148=Responses!N$2,1,0)</f>
        <v>1</v>
      </c>
      <c r="O148" s="9" t="n">
        <f aca="false">IF(Responses!O148=Responses!O$2,1,0)</f>
        <v>1</v>
      </c>
      <c r="P148" s="9" t="n">
        <f aca="false">IF(Responses!P148=Responses!P$2,1,0)</f>
        <v>0</v>
      </c>
      <c r="Q148" s="9" t="n">
        <f aca="false">IF(Responses!Q148=Responses!Q$2,1,0)</f>
        <v>1</v>
      </c>
      <c r="R148" s="9" t="n">
        <f aca="false">IF(Responses!R148=Responses!R$2,1,0)</f>
        <v>1</v>
      </c>
      <c r="S148" s="9" t="n">
        <f aca="false">IF(Responses!S148=Responses!S$2,1,0)</f>
        <v>1</v>
      </c>
      <c r="T148" s="9" t="n">
        <f aca="false">IF(Responses!T148=Responses!T$2,1,0)</f>
        <v>1</v>
      </c>
      <c r="U148" s="9" t="n">
        <f aca="false">IF(Responses!U148=Responses!U$2,1,0)</f>
        <v>1</v>
      </c>
      <c r="V148" s="9" t="n">
        <f aca="false">IF(Responses!V148=Responses!V$2,1,0)</f>
        <v>1</v>
      </c>
      <c r="W148" s="9" t="n">
        <f aca="false">IF(Responses!W148=Responses!W$2,1,0)</f>
        <v>1</v>
      </c>
      <c r="X148" s="9" t="n">
        <f aca="false">IF(Responses!X148=Responses!X$2,1,0)</f>
        <v>1</v>
      </c>
      <c r="Y148" s="9" t="n">
        <f aca="false">IF(Responses!Y148=Responses!Y$2,1,0)</f>
        <v>1</v>
      </c>
      <c r="Z148" s="9" t="n">
        <f aca="false">IF(Responses!Z148=Responses!Z$2,1,0)</f>
        <v>1</v>
      </c>
      <c r="AA148" s="9" t="n">
        <f aca="false">IF(Responses!AA148=Responses!AA$2,1,0)</f>
        <v>1</v>
      </c>
      <c r="AB148" s="9" t="n">
        <f aca="false">IF(Responses!AB148=Responses!AB$2,1,0)</f>
        <v>0</v>
      </c>
      <c r="AC148" s="9" t="n">
        <f aca="false">IF(Responses!AC148=Responses!AC$2,1,0)</f>
        <v>1</v>
      </c>
      <c r="AD148" s="9" t="n">
        <f aca="false">IF(Responses!AD148=Responses!AD$2,1,0)</f>
        <v>1</v>
      </c>
      <c r="AE148" s="9" t="n">
        <f aca="false">IF(Responses!AE148=Responses!AE$2,1,0)</f>
        <v>1</v>
      </c>
      <c r="AF148" s="9" t="n">
        <f aca="false">SUM(B148:AE148)</f>
        <v>27</v>
      </c>
    </row>
    <row r="149" customFormat="false" ht="15" hidden="false" customHeight="false" outlineLevel="0" collapsed="false">
      <c r="A149" s="0" t="str">
        <f aca="false">Responses!A149</f>
        <v>S147</v>
      </c>
      <c r="B149" s="9" t="n">
        <f aca="false">IF(Responses!B149=Responses!B$2,1,0)</f>
        <v>1</v>
      </c>
      <c r="C149" s="9" t="n">
        <f aca="false">IF(Responses!C149=Responses!C$2,1,0)</f>
        <v>1</v>
      </c>
      <c r="D149" s="9" t="n">
        <f aca="false">IF(Responses!D149=Responses!D$2,1,0)</f>
        <v>1</v>
      </c>
      <c r="E149" s="9" t="n">
        <f aca="false">IF(Responses!E149=Responses!E$2,1,0)</f>
        <v>1</v>
      </c>
      <c r="F149" s="9" t="n">
        <f aca="false">IF(Responses!F149=Responses!F$2,1,0)</f>
        <v>1</v>
      </c>
      <c r="G149" s="9" t="n">
        <f aca="false">IF(Responses!G149=Responses!G$2,1,0)</f>
        <v>1</v>
      </c>
      <c r="H149" s="9" t="n">
        <f aca="false">IF(Responses!H149=Responses!H$2,1,0)</f>
        <v>0</v>
      </c>
      <c r="I149" s="9" t="n">
        <f aca="false">IF(Responses!I149=Responses!I$2,1,0)</f>
        <v>1</v>
      </c>
      <c r="J149" s="9" t="n">
        <f aca="false">IF(Responses!J149=Responses!J$2,1,0)</f>
        <v>1</v>
      </c>
      <c r="K149" s="9" t="n">
        <f aca="false">IF(Responses!K149=Responses!K$2,1,0)</f>
        <v>1</v>
      </c>
      <c r="L149" s="9" t="n">
        <f aca="false">IF(Responses!L149=Responses!L$2,1,0)</f>
        <v>1</v>
      </c>
      <c r="M149" s="9" t="n">
        <f aca="false">IF(Responses!M149=Responses!M$2,1,0)</f>
        <v>1</v>
      </c>
      <c r="N149" s="9" t="n">
        <f aca="false">IF(Responses!N149=Responses!N$2,1,0)</f>
        <v>1</v>
      </c>
      <c r="O149" s="9" t="n">
        <f aca="false">IF(Responses!O149=Responses!O$2,1,0)</f>
        <v>1</v>
      </c>
      <c r="P149" s="9" t="n">
        <f aca="false">IF(Responses!P149=Responses!P$2,1,0)</f>
        <v>0</v>
      </c>
      <c r="Q149" s="9" t="n">
        <f aca="false">IF(Responses!Q149=Responses!Q$2,1,0)</f>
        <v>1</v>
      </c>
      <c r="R149" s="9" t="n">
        <f aca="false">IF(Responses!R149=Responses!R$2,1,0)</f>
        <v>1</v>
      </c>
      <c r="S149" s="9" t="n">
        <f aca="false">IF(Responses!S149=Responses!S$2,1,0)</f>
        <v>0</v>
      </c>
      <c r="T149" s="9" t="n">
        <f aca="false">IF(Responses!T149=Responses!T$2,1,0)</f>
        <v>1</v>
      </c>
      <c r="U149" s="9" t="n">
        <f aca="false">IF(Responses!U149=Responses!U$2,1,0)</f>
        <v>1</v>
      </c>
      <c r="V149" s="9" t="n">
        <f aca="false">IF(Responses!V149=Responses!V$2,1,0)</f>
        <v>1</v>
      </c>
      <c r="W149" s="9" t="n">
        <f aca="false">IF(Responses!W149=Responses!W$2,1,0)</f>
        <v>1</v>
      </c>
      <c r="X149" s="9" t="n">
        <f aca="false">IF(Responses!X149=Responses!X$2,1,0)</f>
        <v>1</v>
      </c>
      <c r="Y149" s="9" t="n">
        <f aca="false">IF(Responses!Y149=Responses!Y$2,1,0)</f>
        <v>1</v>
      </c>
      <c r="Z149" s="9" t="n">
        <f aca="false">IF(Responses!Z149=Responses!Z$2,1,0)</f>
        <v>1</v>
      </c>
      <c r="AA149" s="9" t="n">
        <f aca="false">IF(Responses!AA149=Responses!AA$2,1,0)</f>
        <v>1</v>
      </c>
      <c r="AB149" s="9" t="n">
        <f aca="false">IF(Responses!AB149=Responses!AB$2,1,0)</f>
        <v>0</v>
      </c>
      <c r="AC149" s="9" t="n">
        <f aca="false">IF(Responses!AC149=Responses!AC$2,1,0)</f>
        <v>1</v>
      </c>
      <c r="AD149" s="9" t="n">
        <f aca="false">IF(Responses!AD149=Responses!AD$2,1,0)</f>
        <v>1</v>
      </c>
      <c r="AE149" s="9" t="n">
        <f aca="false">IF(Responses!AE149=Responses!AE$2,1,0)</f>
        <v>1</v>
      </c>
      <c r="AF149" s="9" t="n">
        <f aca="false">SUM(B149:AE149)</f>
        <v>26</v>
      </c>
    </row>
    <row r="150" customFormat="false" ht="15" hidden="false" customHeight="false" outlineLevel="0" collapsed="false">
      <c r="A150" s="0" t="str">
        <f aca="false">Responses!A150</f>
        <v>S148</v>
      </c>
      <c r="B150" s="9" t="n">
        <f aca="false">IF(Responses!B150=Responses!B$2,1,0)</f>
        <v>0</v>
      </c>
      <c r="C150" s="9" t="n">
        <f aca="false">IF(Responses!C150=Responses!C$2,1,0)</f>
        <v>1</v>
      </c>
      <c r="D150" s="9" t="n">
        <f aca="false">IF(Responses!D150=Responses!D$2,1,0)</f>
        <v>0</v>
      </c>
      <c r="E150" s="9" t="n">
        <f aca="false">IF(Responses!E150=Responses!E$2,1,0)</f>
        <v>1</v>
      </c>
      <c r="F150" s="9" t="n">
        <f aca="false">IF(Responses!F150=Responses!F$2,1,0)</f>
        <v>0</v>
      </c>
      <c r="G150" s="9" t="n">
        <f aca="false">IF(Responses!G150=Responses!G$2,1,0)</f>
        <v>1</v>
      </c>
      <c r="H150" s="9" t="n">
        <f aca="false">IF(Responses!H150=Responses!H$2,1,0)</f>
        <v>0</v>
      </c>
      <c r="I150" s="9" t="n">
        <f aca="false">IF(Responses!I150=Responses!I$2,1,0)</f>
        <v>1</v>
      </c>
      <c r="J150" s="9" t="n">
        <f aca="false">IF(Responses!J150=Responses!J$2,1,0)</f>
        <v>1</v>
      </c>
      <c r="K150" s="9" t="n">
        <f aca="false">IF(Responses!K150=Responses!K$2,1,0)</f>
        <v>1</v>
      </c>
      <c r="L150" s="9" t="n">
        <f aca="false">IF(Responses!L150=Responses!L$2,1,0)</f>
        <v>1</v>
      </c>
      <c r="M150" s="9" t="n">
        <f aca="false">IF(Responses!M150=Responses!M$2,1,0)</f>
        <v>1</v>
      </c>
      <c r="N150" s="9" t="n">
        <f aca="false">IF(Responses!N150=Responses!N$2,1,0)</f>
        <v>1</v>
      </c>
      <c r="O150" s="9" t="n">
        <f aca="false">IF(Responses!O150=Responses!O$2,1,0)</f>
        <v>1</v>
      </c>
      <c r="P150" s="9" t="n">
        <f aca="false">IF(Responses!P150=Responses!P$2,1,0)</f>
        <v>1</v>
      </c>
      <c r="Q150" s="9" t="n">
        <f aca="false">IF(Responses!Q150=Responses!Q$2,1,0)</f>
        <v>1</v>
      </c>
      <c r="R150" s="9" t="n">
        <f aca="false">IF(Responses!R150=Responses!R$2,1,0)</f>
        <v>1</v>
      </c>
      <c r="S150" s="9" t="n">
        <f aca="false">IF(Responses!S150=Responses!S$2,1,0)</f>
        <v>0</v>
      </c>
      <c r="T150" s="9" t="n">
        <f aca="false">IF(Responses!T150=Responses!T$2,1,0)</f>
        <v>1</v>
      </c>
      <c r="U150" s="9" t="n">
        <f aca="false">IF(Responses!U150=Responses!U$2,1,0)</f>
        <v>0</v>
      </c>
      <c r="V150" s="9" t="n">
        <f aca="false">IF(Responses!V150=Responses!V$2,1,0)</f>
        <v>1</v>
      </c>
      <c r="W150" s="9" t="n">
        <f aca="false">IF(Responses!W150=Responses!W$2,1,0)</f>
        <v>1</v>
      </c>
      <c r="X150" s="9" t="n">
        <f aca="false">IF(Responses!X150=Responses!X$2,1,0)</f>
        <v>0</v>
      </c>
      <c r="Y150" s="9" t="n">
        <f aca="false">IF(Responses!Y150=Responses!Y$2,1,0)</f>
        <v>1</v>
      </c>
      <c r="Z150" s="9" t="n">
        <f aca="false">IF(Responses!Z150=Responses!Z$2,1,0)</f>
        <v>0</v>
      </c>
      <c r="AA150" s="9" t="n">
        <f aca="false">IF(Responses!AA150=Responses!AA$2,1,0)</f>
        <v>0</v>
      </c>
      <c r="AB150" s="9" t="n">
        <f aca="false">IF(Responses!AB150=Responses!AB$2,1,0)</f>
        <v>0</v>
      </c>
      <c r="AC150" s="9" t="n">
        <f aca="false">IF(Responses!AC150=Responses!AC$2,1,0)</f>
        <v>1</v>
      </c>
      <c r="AD150" s="9" t="n">
        <f aca="false">IF(Responses!AD150=Responses!AD$2,1,0)</f>
        <v>0</v>
      </c>
      <c r="AE150" s="9" t="n">
        <f aca="false">IF(Responses!AE150=Responses!AE$2,1,0)</f>
        <v>1</v>
      </c>
      <c r="AF150" s="9" t="n">
        <f aca="false">SUM(B150:AE150)</f>
        <v>19</v>
      </c>
    </row>
    <row r="151" customFormat="false" ht="15" hidden="false" customHeight="false" outlineLevel="0" collapsed="false">
      <c r="A151" s="0" t="str">
        <f aca="false">Responses!A151</f>
        <v>S149</v>
      </c>
      <c r="B151" s="9" t="n">
        <f aca="false">IF(Responses!B151=Responses!B$2,1,0)</f>
        <v>0</v>
      </c>
      <c r="C151" s="9" t="n">
        <f aca="false">IF(Responses!C151=Responses!C$2,1,0)</f>
        <v>1</v>
      </c>
      <c r="D151" s="9" t="n">
        <f aca="false">IF(Responses!D151=Responses!D$2,1,0)</f>
        <v>0</v>
      </c>
      <c r="E151" s="9" t="n">
        <f aca="false">IF(Responses!E151=Responses!E$2,1,0)</f>
        <v>1</v>
      </c>
      <c r="F151" s="9" t="n">
        <f aca="false">IF(Responses!F151=Responses!F$2,1,0)</f>
        <v>0</v>
      </c>
      <c r="G151" s="9" t="n">
        <f aca="false">IF(Responses!G151=Responses!G$2,1,0)</f>
        <v>1</v>
      </c>
      <c r="H151" s="9" t="n">
        <f aca="false">IF(Responses!H151=Responses!H$2,1,0)</f>
        <v>0</v>
      </c>
      <c r="I151" s="9" t="n">
        <f aca="false">IF(Responses!I151=Responses!I$2,1,0)</f>
        <v>0</v>
      </c>
      <c r="J151" s="9" t="n">
        <f aca="false">IF(Responses!J151=Responses!J$2,1,0)</f>
        <v>1</v>
      </c>
      <c r="K151" s="9" t="n">
        <f aca="false">IF(Responses!K151=Responses!K$2,1,0)</f>
        <v>0</v>
      </c>
      <c r="L151" s="9" t="n">
        <f aca="false">IF(Responses!L151=Responses!L$2,1,0)</f>
        <v>1</v>
      </c>
      <c r="M151" s="9" t="n">
        <f aca="false">IF(Responses!M151=Responses!M$2,1,0)</f>
        <v>1</v>
      </c>
      <c r="N151" s="9" t="n">
        <f aca="false">IF(Responses!N151=Responses!N$2,1,0)</f>
        <v>0</v>
      </c>
      <c r="O151" s="9" t="n">
        <f aca="false">IF(Responses!O151=Responses!O$2,1,0)</f>
        <v>0</v>
      </c>
      <c r="P151" s="9" t="n">
        <f aca="false">IF(Responses!P151=Responses!P$2,1,0)</f>
        <v>1</v>
      </c>
      <c r="Q151" s="9" t="n">
        <f aca="false">IF(Responses!Q151=Responses!Q$2,1,0)</f>
        <v>1</v>
      </c>
      <c r="R151" s="9" t="n">
        <f aca="false">IF(Responses!R151=Responses!R$2,1,0)</f>
        <v>1</v>
      </c>
      <c r="S151" s="9" t="n">
        <f aca="false">IF(Responses!S151=Responses!S$2,1,0)</f>
        <v>1</v>
      </c>
      <c r="T151" s="9" t="n">
        <f aca="false">IF(Responses!T151=Responses!T$2,1,0)</f>
        <v>0</v>
      </c>
      <c r="U151" s="9" t="n">
        <f aca="false">IF(Responses!U151=Responses!U$2,1,0)</f>
        <v>1</v>
      </c>
      <c r="V151" s="9" t="n">
        <f aca="false">IF(Responses!V151=Responses!V$2,1,0)</f>
        <v>0</v>
      </c>
      <c r="W151" s="9" t="n">
        <f aca="false">IF(Responses!W151=Responses!W$2,1,0)</f>
        <v>1</v>
      </c>
      <c r="X151" s="9" t="n">
        <f aca="false">IF(Responses!X151=Responses!X$2,1,0)</f>
        <v>0</v>
      </c>
      <c r="Y151" s="9" t="n">
        <f aca="false">IF(Responses!Y151=Responses!Y$2,1,0)</f>
        <v>1</v>
      </c>
      <c r="Z151" s="9" t="n">
        <f aca="false">IF(Responses!Z151=Responses!Z$2,1,0)</f>
        <v>1</v>
      </c>
      <c r="AA151" s="9" t="n">
        <f aca="false">IF(Responses!AA151=Responses!AA$2,1,0)</f>
        <v>0</v>
      </c>
      <c r="AB151" s="9" t="n">
        <f aca="false">IF(Responses!AB151=Responses!AB$2,1,0)</f>
        <v>1</v>
      </c>
      <c r="AC151" s="9" t="n">
        <f aca="false">IF(Responses!AC151=Responses!AC$2,1,0)</f>
        <v>1</v>
      </c>
      <c r="AD151" s="9" t="n">
        <f aca="false">IF(Responses!AD151=Responses!AD$2,1,0)</f>
        <v>1</v>
      </c>
      <c r="AE151" s="9" t="n">
        <f aca="false">IF(Responses!AE151=Responses!AE$2,1,0)</f>
        <v>1</v>
      </c>
      <c r="AF151" s="9" t="n">
        <f aca="false">SUM(B151:AE151)</f>
        <v>18</v>
      </c>
    </row>
    <row r="152" customFormat="false" ht="15" hidden="false" customHeight="false" outlineLevel="0" collapsed="false">
      <c r="A152" s="0" t="str">
        <f aca="false">Responses!A152</f>
        <v>S150</v>
      </c>
      <c r="B152" s="9" t="n">
        <f aca="false">IF(Responses!B152=Responses!B$2,1,0)</f>
        <v>1</v>
      </c>
      <c r="C152" s="9" t="n">
        <f aca="false">IF(Responses!C152=Responses!C$2,1,0)</f>
        <v>0</v>
      </c>
      <c r="D152" s="9" t="n">
        <f aca="false">IF(Responses!D152=Responses!D$2,1,0)</f>
        <v>0</v>
      </c>
      <c r="E152" s="9" t="n">
        <f aca="false">IF(Responses!E152=Responses!E$2,1,0)</f>
        <v>1</v>
      </c>
      <c r="F152" s="9" t="n">
        <f aca="false">IF(Responses!F152=Responses!F$2,1,0)</f>
        <v>1</v>
      </c>
      <c r="G152" s="9" t="n">
        <f aca="false">IF(Responses!G152=Responses!G$2,1,0)</f>
        <v>0</v>
      </c>
      <c r="H152" s="9" t="n">
        <f aca="false">IF(Responses!H152=Responses!H$2,1,0)</f>
        <v>1</v>
      </c>
      <c r="I152" s="9" t="n">
        <f aca="false">IF(Responses!I152=Responses!I$2,1,0)</f>
        <v>1</v>
      </c>
      <c r="J152" s="9" t="n">
        <f aca="false">IF(Responses!J152=Responses!J$2,1,0)</f>
        <v>1</v>
      </c>
      <c r="K152" s="9" t="n">
        <f aca="false">IF(Responses!K152=Responses!K$2,1,0)</f>
        <v>1</v>
      </c>
      <c r="L152" s="9" t="n">
        <f aca="false">IF(Responses!L152=Responses!L$2,1,0)</f>
        <v>1</v>
      </c>
      <c r="M152" s="9" t="n">
        <f aca="false">IF(Responses!M152=Responses!M$2,1,0)</f>
        <v>1</v>
      </c>
      <c r="N152" s="9" t="n">
        <f aca="false">IF(Responses!N152=Responses!N$2,1,0)</f>
        <v>1</v>
      </c>
      <c r="O152" s="9" t="n">
        <f aca="false">IF(Responses!O152=Responses!O$2,1,0)</f>
        <v>1</v>
      </c>
      <c r="P152" s="9" t="n">
        <f aca="false">IF(Responses!P152=Responses!P$2,1,0)</f>
        <v>1</v>
      </c>
      <c r="Q152" s="9" t="n">
        <f aca="false">IF(Responses!Q152=Responses!Q$2,1,0)</f>
        <v>1</v>
      </c>
      <c r="R152" s="9" t="n">
        <f aca="false">IF(Responses!R152=Responses!R$2,1,0)</f>
        <v>1</v>
      </c>
      <c r="S152" s="9" t="n">
        <f aca="false">IF(Responses!S152=Responses!S$2,1,0)</f>
        <v>0</v>
      </c>
      <c r="T152" s="9" t="n">
        <f aca="false">IF(Responses!T152=Responses!T$2,1,0)</f>
        <v>0</v>
      </c>
      <c r="U152" s="9" t="n">
        <f aca="false">IF(Responses!U152=Responses!U$2,1,0)</f>
        <v>1</v>
      </c>
      <c r="V152" s="9" t="n">
        <f aca="false">IF(Responses!V152=Responses!V$2,1,0)</f>
        <v>1</v>
      </c>
      <c r="W152" s="9" t="n">
        <f aca="false">IF(Responses!W152=Responses!W$2,1,0)</f>
        <v>0</v>
      </c>
      <c r="X152" s="9" t="n">
        <f aca="false">IF(Responses!X152=Responses!X$2,1,0)</f>
        <v>0</v>
      </c>
      <c r="Y152" s="9" t="n">
        <f aca="false">IF(Responses!Y152=Responses!Y$2,1,0)</f>
        <v>0</v>
      </c>
      <c r="Z152" s="9" t="n">
        <f aca="false">IF(Responses!Z152=Responses!Z$2,1,0)</f>
        <v>1</v>
      </c>
      <c r="AA152" s="9" t="n">
        <f aca="false">IF(Responses!AA152=Responses!AA$2,1,0)</f>
        <v>0</v>
      </c>
      <c r="AB152" s="9" t="n">
        <f aca="false">IF(Responses!AB152=Responses!AB$2,1,0)</f>
        <v>0</v>
      </c>
      <c r="AC152" s="9" t="n">
        <f aca="false">IF(Responses!AC152=Responses!AC$2,1,0)</f>
        <v>1</v>
      </c>
      <c r="AD152" s="9" t="n">
        <f aca="false">IF(Responses!AD152=Responses!AD$2,1,0)</f>
        <v>1</v>
      </c>
      <c r="AE152" s="9" t="n">
        <f aca="false">IF(Responses!AE152=Responses!AE$2,1,0)</f>
        <v>1</v>
      </c>
      <c r="AF152" s="9" t="n">
        <f aca="false">SUM(B152:AE152)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4" min="11" style="0" width="7"/>
    <col collapsed="false" customWidth="true" hidden="false" outlineLevel="0" max="15" min="15" style="0" width="9"/>
    <col collapsed="false" customWidth="true" hidden="false" outlineLevel="0" max="16" min="16" style="0" width="38"/>
  </cols>
  <sheetData>
    <row r="1" customFormat="false" ht="15" hidden="false" customHeight="false" outlineLevel="0" collapsed="false">
      <c r="A1" s="4" t="s">
        <v>201</v>
      </c>
      <c r="B1" s="4"/>
    </row>
    <row r="2" customFormat="false" ht="15" hidden="false" customHeight="false" outlineLevel="0" collapsed="false">
      <c r="A2" s="7" t="s">
        <v>202</v>
      </c>
      <c r="B2" s="7" t="n">
        <f aca="false">COUNT(Scoring!$AF$3:$AF$152)</f>
        <v>150</v>
      </c>
    </row>
    <row r="3" customFormat="false" ht="15" hidden="false" customHeight="false" outlineLevel="0" collapsed="false">
      <c r="A3" s="7" t="s">
        <v>203</v>
      </c>
      <c r="B3" s="10" t="n">
        <v>0.27</v>
      </c>
    </row>
    <row r="4" customFormat="false" ht="15" hidden="false" customHeight="false" outlineLevel="0" collapsed="false">
      <c r="A4" s="7" t="s">
        <v>204</v>
      </c>
      <c r="B4" s="7" t="n">
        <f aca="false">ROUND(B2*B3,0)</f>
        <v>41</v>
      </c>
    </row>
    <row r="5" customFormat="false" ht="15" hidden="false" customHeight="false" outlineLevel="0" collapsed="false">
      <c r="A5" s="7" t="s">
        <v>205</v>
      </c>
      <c r="B5" s="7" t="n">
        <f aca="false">LARGE(Scoring!$AF$3:$AF$152,B4)</f>
        <v>21</v>
      </c>
    </row>
    <row r="6" customFormat="false" ht="15" hidden="false" customHeight="false" outlineLevel="0" collapsed="false">
      <c r="A6" s="7" t="s">
        <v>206</v>
      </c>
      <c r="B6" s="7" t="n">
        <f aca="false">SMALL(Scoring!$AF$3:$AF$152,B4)</f>
        <v>11</v>
      </c>
    </row>
    <row r="7" customFormat="false" ht="15" hidden="false" customHeight="false" outlineLevel="0" collapsed="false">
      <c r="A7" s="7" t="s">
        <v>207</v>
      </c>
      <c r="B7" s="7" t="n">
        <f aca="false">COUNTIF(Scoring!$AF$3:$AF$152,"&gt;="&amp;B5)</f>
        <v>45</v>
      </c>
    </row>
    <row r="8" customFormat="false" ht="15" hidden="false" customHeight="false" outlineLevel="0" collapsed="false">
      <c r="A8" s="7" t="s">
        <v>208</v>
      </c>
      <c r="B8" s="7" t="n">
        <f aca="false">COUNTIF(Scoring!$AF$3:$AF$152,"&lt;="&amp;B6)</f>
        <v>45</v>
      </c>
    </row>
    <row r="9" customFormat="false" ht="15" hidden="false" customHeight="false" outlineLevel="0" collapsed="false">
      <c r="A9" s="7" t="s">
        <v>209</v>
      </c>
      <c r="B9" s="11" t="n">
        <v>30</v>
      </c>
    </row>
    <row r="10" customFormat="false" ht="15" hidden="false" customHeight="false" outlineLevel="0" collapsed="false">
      <c r="A10" s="7" t="s">
        <v>210</v>
      </c>
      <c r="B10" s="12" t="n">
        <f aca="false">VARP(Scoring!$AF$3:$AF$152)</f>
        <v>40.9555555555556</v>
      </c>
    </row>
    <row r="11" customFormat="false" ht="15" hidden="false" customHeight="false" outlineLevel="0" collapsed="false">
      <c r="A11" s="7" t="s">
        <v>211</v>
      </c>
      <c r="B11" s="12" t="n">
        <f aca="false">SQRT(B10)</f>
        <v>6.39965276835826</v>
      </c>
    </row>
    <row r="12" customFormat="false" ht="15" hidden="false" customHeight="false" outlineLevel="0" collapsed="false">
      <c r="A12" s="7" t="s">
        <v>212</v>
      </c>
      <c r="B12" s="13" t="n">
        <f aca="false">SUM(G21:G50)</f>
        <v>6.51973333333333</v>
      </c>
    </row>
    <row r="13" customFormat="false" ht="15" hidden="false" customHeight="false" outlineLevel="0" collapsed="false">
      <c r="A13" s="7" t="s">
        <v>213</v>
      </c>
      <c r="B13" s="10" t="n">
        <v>0.2</v>
      </c>
    </row>
    <row r="14" customFormat="false" ht="15" hidden="false" customHeight="false" outlineLevel="0" collapsed="false">
      <c r="A14" s="7" t="s">
        <v>214</v>
      </c>
      <c r="B14" s="10" t="n">
        <v>0.9</v>
      </c>
    </row>
    <row r="15" customFormat="false" ht="15" hidden="false" customHeight="false" outlineLevel="0" collapsed="false">
      <c r="A15" s="7" t="s">
        <v>215</v>
      </c>
      <c r="B15" s="10" t="n">
        <v>0.2</v>
      </c>
    </row>
    <row r="16" customFormat="false" ht="15" hidden="false" customHeight="false" outlineLevel="0" collapsed="false">
      <c r="A16" s="7" t="s">
        <v>216</v>
      </c>
      <c r="B16" s="10" t="n">
        <v>0.3</v>
      </c>
    </row>
    <row r="17" customFormat="false" ht="15" hidden="false" customHeight="false" outlineLevel="0" collapsed="false">
      <c r="A17" s="7" t="s">
        <v>217</v>
      </c>
      <c r="B17" s="10" t="n">
        <v>0.05</v>
      </c>
    </row>
    <row r="19" customFormat="false" ht="15" hidden="false" customHeight="false" outlineLevel="0" collapsed="false">
      <c r="A19" s="14" t="s">
        <v>218</v>
      </c>
    </row>
    <row r="20" customFormat="false" ht="28.35" hidden="false" customHeight="false" outlineLevel="0" collapsed="false">
      <c r="A20" s="4" t="s">
        <v>219</v>
      </c>
      <c r="B20" s="4" t="s">
        <v>220</v>
      </c>
      <c r="C20" s="4" t="s">
        <v>221</v>
      </c>
      <c r="D20" s="4" t="s">
        <v>222</v>
      </c>
      <c r="E20" s="4" t="s">
        <v>223</v>
      </c>
      <c r="F20" s="4" t="s">
        <v>224</v>
      </c>
      <c r="G20" s="4" t="s">
        <v>225</v>
      </c>
      <c r="H20" s="4" t="s">
        <v>226</v>
      </c>
      <c r="I20" s="4" t="s">
        <v>227</v>
      </c>
      <c r="J20" s="4" t="s">
        <v>228</v>
      </c>
      <c r="K20" s="4" t="s">
        <v>229</v>
      </c>
      <c r="L20" s="4" t="s">
        <v>230</v>
      </c>
      <c r="M20" s="4" t="s">
        <v>231</v>
      </c>
      <c r="N20" s="4" t="s">
        <v>232</v>
      </c>
      <c r="O20" s="4" t="s">
        <v>233</v>
      </c>
      <c r="P20" s="4" t="s">
        <v>234</v>
      </c>
    </row>
    <row r="21" customFormat="false" ht="15" hidden="false" customHeight="false" outlineLevel="0" collapsed="false">
      <c r="A21" s="15" t="s">
        <v>14</v>
      </c>
      <c r="B21" s="15" t="str">
        <f aca="false">Responses!B2</f>
        <v>D</v>
      </c>
      <c r="C21" s="16" t="n">
        <f aca="false">AVERAGE(Scoring!$B$3:$B$152)</f>
        <v>0.433333333333333</v>
      </c>
      <c r="D21" s="16" t="n">
        <f aca="false">SUMIF(Scoring!$AF$3:$AF$152,"&gt;="&amp;$B$5,Scoring!$B$3:$B$152)/$B$7</f>
        <v>0.777777777777778</v>
      </c>
      <c r="E21" s="16" t="n">
        <f aca="false">SUMIF(Scoring!$AF$3:$AF$152,"&lt;="&amp;$B$6,Scoring!$B$3:$B$152)/$B$8</f>
        <v>0.133333333333333</v>
      </c>
      <c r="F21" s="16" t="n">
        <f aca="false">D21-E21</f>
        <v>0.644444444444445</v>
      </c>
      <c r="G21" s="17" t="n">
        <f aca="false">VARP(Scoring!$B$3:$B$152)</f>
        <v>0.245555555555555</v>
      </c>
      <c r="H21" s="16" t="n">
        <f aca="false">IF(G21=0,0,CORREL(Scoring!$B$3:$B$152,Scoring!$AF$3:$AF$152))</f>
        <v>0.543773344206036</v>
      </c>
      <c r="I21" s="16" t="n">
        <f aca="false">IF(G21=0,0,(H21*$B$11-SQRT(G21))/SQRT(G21+$B$10-2*H21*SQRT(G21)*$B$11))</f>
        <v>0.485723821845763</v>
      </c>
      <c r="J21" s="16" t="n">
        <f aca="false">($B$9-1)/($B$9-2)*(1-($B$12-G21)/($B$10+G21-2*H21*SQRT(G21)*$B$11))</f>
        <v>0.863585198390508</v>
      </c>
      <c r="K21" s="18" t="n">
        <f aca="false">COUNTIF(Responses!$B$3:$B$152,"A")/$B$2</f>
        <v>0.16</v>
      </c>
      <c r="L21" s="18" t="n">
        <f aca="false">COUNTIF(Responses!$B$3:$B$152,"B")/$B$2</f>
        <v>0.22</v>
      </c>
      <c r="M21" s="18" t="n">
        <f aca="false">COUNTIF(Responses!$B$3:$B$152,"C")/$B$2</f>
        <v>0.186666666666667</v>
      </c>
      <c r="N21" s="18" t="n">
        <f aca="false">COUNTIF(Responses!$B$3:$B$152,"D")/$B$2</f>
        <v>0.433333333333333</v>
      </c>
      <c r="O21" s="18" t="n">
        <f aca="false">MIN(IF(B21="A",1,K21),IF(B21="B",1,L21),IF(B21="C",1,M21),IF(B21="D",1,N21))</f>
        <v>0.16</v>
      </c>
      <c r="P21" s="19" t="str">
        <f aca="false">IF(I21&lt;-0.1,"Discrimination negative: review the key immediately",IF(OR(C21&gt;$B$14,C21&lt;$B$13),"Extreme difficulty: review the wording or level",IF(I21&lt;$B$15,"Discrimination weak: review the wording and distractors",IF(O21&lt;$B$17,"Ineffective distractor: replace it",IF(I21&lt;$B$16,"Acceptable and can be improved","Good")))))</f>
        <v>Good</v>
      </c>
    </row>
    <row r="22" customFormat="false" ht="15" hidden="false" customHeight="false" outlineLevel="0" collapsed="false">
      <c r="A22" s="15" t="s">
        <v>15</v>
      </c>
      <c r="B22" s="15" t="str">
        <f aca="false">Responses!C2</f>
        <v>C</v>
      </c>
      <c r="C22" s="16" t="n">
        <f aca="false">AVERAGE(Scoring!$C$3:$C$152)</f>
        <v>0.406666666666667</v>
      </c>
      <c r="D22" s="16" t="n">
        <f aca="false">SUMIF(Scoring!$AF$3:$AF$152,"&gt;="&amp;$B$5,Scoring!$C$3:$C$152)/$B$7</f>
        <v>0.755555555555556</v>
      </c>
      <c r="E22" s="16" t="n">
        <f aca="false">SUMIF(Scoring!$AF$3:$AF$152,"&lt;="&amp;$B$6,Scoring!$C$3:$C$152)/$B$8</f>
        <v>0.133333333333333</v>
      </c>
      <c r="F22" s="16" t="n">
        <f aca="false">D22-E22</f>
        <v>0.622222222222222</v>
      </c>
      <c r="G22" s="17" t="n">
        <f aca="false">VARP(Scoring!$C$3:$C$152)</f>
        <v>0.241288888888889</v>
      </c>
      <c r="H22" s="16" t="n">
        <f aca="false">IF(G22=0,0,CORREL(Scoring!$C$3:$C$152,Scoring!$AF$3:$AF$152))</f>
        <v>0.531311462120981</v>
      </c>
      <c r="I22" s="16" t="n">
        <f aca="false">IF(G22=0,0,(H22*$B$11-SQRT(G22))/SQRT(G22+$B$10-2*H22*SQRT(G22)*$B$11))</f>
        <v>0.47279584324291</v>
      </c>
      <c r="J22" s="16" t="n">
        <f aca="false">($B$9-1)/($B$9-2)*(1-($B$12-G22)/($B$10+G22-2*H22*SQRT(G22)*$B$11))</f>
        <v>0.863942151988559</v>
      </c>
      <c r="K22" s="18" t="n">
        <f aca="false">COUNTIF(Responses!$C$3:$C$152,"A")/$B$2</f>
        <v>0.193333333333333</v>
      </c>
      <c r="L22" s="18" t="n">
        <f aca="false">COUNTIF(Responses!$C$3:$C$152,"B")/$B$2</f>
        <v>0.233333333333333</v>
      </c>
      <c r="M22" s="18" t="n">
        <f aca="false">COUNTIF(Responses!$C$3:$C$152,"C")/$B$2</f>
        <v>0.406666666666667</v>
      </c>
      <c r="N22" s="18" t="n">
        <f aca="false">COUNTIF(Responses!$C$3:$C$152,"D")/$B$2</f>
        <v>0.166666666666667</v>
      </c>
      <c r="O22" s="18" t="n">
        <f aca="false">MIN(IF(B22="A",1,K22),IF(B22="B",1,L22),IF(B22="C",1,M22),IF(B22="D",1,N22))</f>
        <v>0.166666666666667</v>
      </c>
      <c r="P22" s="19" t="str">
        <f aca="false">IF(I22&lt;-0.1,"Discrimination negative: review the key immediately",IF(OR(C22&gt;$B$14,C22&lt;$B$13),"Extreme difficulty: review the wording or level",IF(I22&lt;$B$15,"Discrimination weak: review the wording and distractors",IF(O22&lt;$B$17,"Ineffective distractor: replace it",IF(I22&lt;$B$16,"Acceptable and can be improved","Good")))))</f>
        <v>Good</v>
      </c>
    </row>
    <row r="23" customFormat="false" ht="15" hidden="false" customHeight="false" outlineLevel="0" collapsed="false">
      <c r="A23" s="15" t="s">
        <v>16</v>
      </c>
      <c r="B23" s="15" t="str">
        <f aca="false">Responses!D2</f>
        <v>D</v>
      </c>
      <c r="C23" s="16" t="n">
        <f aca="false">AVERAGE(Scoring!$D$3:$D$152)</f>
        <v>0.373333333333333</v>
      </c>
      <c r="D23" s="16" t="n">
        <f aca="false">SUMIF(Scoring!$AF$3:$AF$152,"&gt;="&amp;$B$5,Scoring!$D$3:$D$152)/$B$7</f>
        <v>0.666666666666667</v>
      </c>
      <c r="E23" s="16" t="n">
        <f aca="false">SUMIF(Scoring!$AF$3:$AF$152,"&lt;="&amp;$B$6,Scoring!$D$3:$D$152)/$B$8</f>
        <v>0.244444444444444</v>
      </c>
      <c r="F23" s="16" t="n">
        <f aca="false">D23-E23</f>
        <v>0.422222222222222</v>
      </c>
      <c r="G23" s="17" t="n">
        <f aca="false">VARP(Scoring!$D$3:$D$152)</f>
        <v>0.233955555555556</v>
      </c>
      <c r="H23" s="16" t="n">
        <f aca="false">IF(G23=0,0,CORREL(Scoring!$D$3:$D$152,Scoring!$AF$3:$AF$152))</f>
        <v>0.415377361716387</v>
      </c>
      <c r="I23" s="16" t="n">
        <f aca="false">IF(G23=0,0,(H23*$B$11-SQRT(G23))/SQRT(G23+$B$10-2*H23*SQRT(G23)*$B$11))</f>
        <v>0.349929874995954</v>
      </c>
      <c r="J23" s="16" t="n">
        <f aca="false">($B$9-1)/($B$9-2)*(1-($B$12-G23)/($B$10+G23-2*H23*SQRT(G23)*$B$11))</f>
        <v>0.867132864258554</v>
      </c>
      <c r="K23" s="18" t="n">
        <f aca="false">COUNTIF(Responses!$D$3:$D$152,"A")/$B$2</f>
        <v>0.166666666666667</v>
      </c>
      <c r="L23" s="18" t="n">
        <f aca="false">COUNTIF(Responses!$D$3:$D$152,"B")/$B$2</f>
        <v>0.2</v>
      </c>
      <c r="M23" s="18" t="n">
        <f aca="false">COUNTIF(Responses!$D$3:$D$152,"C")/$B$2</f>
        <v>0.26</v>
      </c>
      <c r="N23" s="18" t="n">
        <f aca="false">COUNTIF(Responses!$D$3:$D$152,"D")/$B$2</f>
        <v>0.373333333333333</v>
      </c>
      <c r="O23" s="18" t="n">
        <f aca="false">MIN(IF(B23="A",1,K23),IF(B23="B",1,L23),IF(B23="C",1,M23),IF(B23="D",1,N23))</f>
        <v>0.166666666666667</v>
      </c>
      <c r="P23" s="19" t="str">
        <f aca="false">IF(I23&lt;-0.1,"Discrimination negative: review the key immediately",IF(OR(C23&gt;$B$14,C23&lt;$B$13),"Extreme difficulty: review the wording or level",IF(I23&lt;$B$15,"Discrimination weak: review the wording and distractors",IF(O23&lt;$B$17,"Ineffective distractor: replace it",IF(I23&lt;$B$16,"Acceptable and can be improved","Good")))))</f>
        <v>Good</v>
      </c>
    </row>
    <row r="24" customFormat="false" ht="15" hidden="false" customHeight="false" outlineLevel="0" collapsed="false">
      <c r="A24" s="15" t="s">
        <v>17</v>
      </c>
      <c r="B24" s="15" t="str">
        <f aca="false">Responses!E2</f>
        <v>B</v>
      </c>
      <c r="C24" s="16" t="n">
        <f aca="false">AVERAGE(Scoring!$E$3:$E$152)</f>
        <v>0.766666666666667</v>
      </c>
      <c r="D24" s="16" t="n">
        <f aca="false">SUMIF(Scoring!$AF$3:$AF$152,"&gt;="&amp;$B$5,Scoring!$E$3:$E$152)/$B$7</f>
        <v>1</v>
      </c>
      <c r="E24" s="16" t="n">
        <f aca="false">SUMIF(Scoring!$AF$3:$AF$152,"&lt;="&amp;$B$6,Scoring!$E$3:$E$152)/$B$8</f>
        <v>0.444444444444444</v>
      </c>
      <c r="F24" s="16" t="n">
        <f aca="false">D24-E24</f>
        <v>0.555555555555556</v>
      </c>
      <c r="G24" s="17" t="n">
        <f aca="false">VARP(Scoring!$E$3:$E$152)</f>
        <v>0.178888888888889</v>
      </c>
      <c r="H24" s="16" t="n">
        <f aca="false">IF(G24=0,0,CORREL(Scoring!$E$3:$E$152,Scoring!$AF$3:$AF$152))</f>
        <v>0.495879701184197</v>
      </c>
      <c r="I24" s="16" t="n">
        <f aca="false">IF(G24=0,0,(H24*$B$11-SQRT(G24))/SQRT(G24+$B$10-2*H24*SQRT(G24)*$B$11))</f>
        <v>0.443572197019759</v>
      </c>
      <c r="J24" s="16" t="n">
        <f aca="false">($B$9-1)/($B$9-2)*(1-($B$12-G24)/($B$10+G24-2*H24*SQRT(G24)*$B$11))</f>
        <v>0.86491316283774</v>
      </c>
      <c r="K24" s="18" t="n">
        <f aca="false">COUNTIF(Responses!$E$3:$E$152,"A")/$B$2</f>
        <v>0.0533333333333333</v>
      </c>
      <c r="L24" s="18" t="n">
        <f aca="false">COUNTIF(Responses!$E$3:$E$152,"B")/$B$2</f>
        <v>0.766666666666667</v>
      </c>
      <c r="M24" s="18" t="n">
        <f aca="false">COUNTIF(Responses!$E$3:$E$152,"C")/$B$2</f>
        <v>0.06</v>
      </c>
      <c r="N24" s="18" t="n">
        <f aca="false">COUNTIF(Responses!$E$3:$E$152,"D")/$B$2</f>
        <v>0.12</v>
      </c>
      <c r="O24" s="18" t="n">
        <f aca="false">MIN(IF(B24="A",1,K24),IF(B24="B",1,L24),IF(B24="C",1,M24),IF(B24="D",1,N24))</f>
        <v>0.0533333333333333</v>
      </c>
      <c r="P24" s="19" t="str">
        <f aca="false">IF(I24&lt;-0.1,"Discrimination negative: review the key immediately",IF(OR(C24&gt;$B$14,C24&lt;$B$13),"Extreme difficulty: review the wording or level",IF(I24&lt;$B$15,"Discrimination weak: review the wording and distractors",IF(O24&lt;$B$17,"Ineffective distractor: replace it",IF(I24&lt;$B$16,"Acceptable and can be improved","Good")))))</f>
        <v>Good</v>
      </c>
    </row>
    <row r="25" customFormat="false" ht="15" hidden="false" customHeight="false" outlineLevel="0" collapsed="false">
      <c r="A25" s="15" t="s">
        <v>18</v>
      </c>
      <c r="B25" s="15" t="str">
        <f aca="false">Responses!F2</f>
        <v>B</v>
      </c>
      <c r="C25" s="16" t="n">
        <f aca="false">AVERAGE(Scoring!$F$3:$F$152)</f>
        <v>0.426666666666667</v>
      </c>
      <c r="D25" s="16" t="n">
        <f aca="false">SUMIF(Scoring!$AF$3:$AF$152,"&gt;="&amp;$B$5,Scoring!$F$3:$F$152)/$B$7</f>
        <v>0.711111111111111</v>
      </c>
      <c r="E25" s="16" t="n">
        <f aca="false">SUMIF(Scoring!$AF$3:$AF$152,"&lt;="&amp;$B$6,Scoring!$F$3:$F$152)/$B$8</f>
        <v>0.133333333333333</v>
      </c>
      <c r="F25" s="16" t="n">
        <f aca="false">D25-E25</f>
        <v>0.577777777777778</v>
      </c>
      <c r="G25" s="17" t="n">
        <f aca="false">VARP(Scoring!$F$3:$F$152)</f>
        <v>0.244622222222222</v>
      </c>
      <c r="H25" s="16" t="n">
        <f aca="false">IF(G25=0,0,CORREL(Scoring!$F$3:$F$152,Scoring!$AF$3:$AF$152))</f>
        <v>0.505774379665325</v>
      </c>
      <c r="I25" s="16" t="n">
        <f aca="false">IF(G25=0,0,(H25*$B$11-SQRT(G25))/SQRT(G25+$B$10-2*H25*SQRT(G25)*$B$11))</f>
        <v>0.444850906075961</v>
      </c>
      <c r="J25" s="16" t="n">
        <f aca="false">($B$9-1)/($B$9-2)*(1-($B$12-G25)/($B$10+G25-2*H25*SQRT(G25)*$B$11))</f>
        <v>0.864674920314105</v>
      </c>
      <c r="K25" s="18" t="n">
        <f aca="false">COUNTIF(Responses!$F$3:$F$152,"A")/$B$2</f>
        <v>0.286666666666667</v>
      </c>
      <c r="L25" s="18" t="n">
        <f aca="false">COUNTIF(Responses!$F$3:$F$152,"B")/$B$2</f>
        <v>0.426666666666667</v>
      </c>
      <c r="M25" s="18" t="n">
        <f aca="false">COUNTIF(Responses!$F$3:$F$152,"C")/$B$2</f>
        <v>0.173333333333333</v>
      </c>
      <c r="N25" s="18" t="n">
        <f aca="false">COUNTIF(Responses!$F$3:$F$152,"D")/$B$2</f>
        <v>0.113333333333333</v>
      </c>
      <c r="O25" s="18" t="n">
        <f aca="false">MIN(IF(B25="A",1,K25),IF(B25="B",1,L25),IF(B25="C",1,M25),IF(B25="D",1,N25))</f>
        <v>0.113333333333333</v>
      </c>
      <c r="P25" s="19" t="str">
        <f aca="false">IF(I25&lt;-0.1,"Discrimination negative: review the key immediately",IF(OR(C25&gt;$B$14,C25&lt;$B$13),"Extreme difficulty: review the wording or level",IF(I25&lt;$B$15,"Discrimination weak: review the wording and distractors",IF(O25&lt;$B$17,"Ineffective distractor: replace it",IF(I25&lt;$B$16,"Acceptable and can be improved","Good")))))</f>
        <v>Good</v>
      </c>
    </row>
    <row r="26" customFormat="false" ht="15" hidden="false" customHeight="false" outlineLevel="0" collapsed="false">
      <c r="A26" s="15" t="s">
        <v>19</v>
      </c>
      <c r="B26" s="15" t="str">
        <f aca="false">Responses!G2</f>
        <v>B</v>
      </c>
      <c r="C26" s="16" t="n">
        <f aca="false">AVERAGE(Scoring!$G$3:$G$152)</f>
        <v>0.473333333333333</v>
      </c>
      <c r="D26" s="16" t="n">
        <f aca="false">SUMIF(Scoring!$AF$3:$AF$152,"&gt;="&amp;$B$5,Scoring!$G$3:$G$152)/$B$7</f>
        <v>0.822222222222222</v>
      </c>
      <c r="E26" s="16" t="n">
        <f aca="false">SUMIF(Scoring!$AF$3:$AF$152,"&lt;="&amp;$B$6,Scoring!$G$3:$G$152)/$B$8</f>
        <v>0.222222222222222</v>
      </c>
      <c r="F26" s="16" t="n">
        <f aca="false">D26-E26</f>
        <v>0.6</v>
      </c>
      <c r="G26" s="17" t="n">
        <f aca="false">VARP(Scoring!$G$3:$G$152)</f>
        <v>0.249288888888889</v>
      </c>
      <c r="H26" s="16" t="n">
        <f aca="false">IF(G26=0,0,CORREL(Scoring!$G$3:$G$152,Scoring!$AF$3:$AF$152))</f>
        <v>0.481683868109314</v>
      </c>
      <c r="I26" s="16" t="n">
        <f aca="false">IF(G26=0,0,(H26*$B$11-SQRT(G26))/SQRT(G26+$B$10-2*H26*SQRT(G26)*$B$11))</f>
        <v>0.418373558023591</v>
      </c>
      <c r="J26" s="16" t="n">
        <f aca="false">($B$9-1)/($B$9-2)*(1-($B$12-G26)/($B$10+G26-2*H26*SQRT(G26)*$B$11))</f>
        <v>0.865376906991457</v>
      </c>
      <c r="K26" s="18" t="n">
        <f aca="false">COUNTIF(Responses!$G$3:$G$152,"A")/$B$2</f>
        <v>0.226666666666667</v>
      </c>
      <c r="L26" s="18" t="n">
        <f aca="false">COUNTIF(Responses!$G$3:$G$152,"B")/$B$2</f>
        <v>0.473333333333333</v>
      </c>
      <c r="M26" s="18" t="n">
        <f aca="false">COUNTIF(Responses!$G$3:$G$152,"C")/$B$2</f>
        <v>0.126666666666667</v>
      </c>
      <c r="N26" s="18" t="n">
        <f aca="false">COUNTIF(Responses!$G$3:$G$152,"D")/$B$2</f>
        <v>0.173333333333333</v>
      </c>
      <c r="O26" s="18" t="n">
        <f aca="false">MIN(IF(B26="A",1,K26),IF(B26="B",1,L26),IF(B26="C",1,M26),IF(B26="D",1,N26))</f>
        <v>0.126666666666667</v>
      </c>
      <c r="P26" s="19" t="str">
        <f aca="false">IF(I26&lt;-0.1,"Discrimination negative: review the key immediately",IF(OR(C26&gt;$B$14,C26&lt;$B$13),"Extreme difficulty: review the wording or level",IF(I26&lt;$B$15,"Discrimination weak: review the wording and distractors",IF(O26&lt;$B$17,"Ineffective distractor: replace it",IF(I26&lt;$B$16,"Acceptable and can be improved","Good")))))</f>
        <v>Good</v>
      </c>
    </row>
    <row r="27" customFormat="false" ht="15" hidden="false" customHeight="false" outlineLevel="0" collapsed="false">
      <c r="A27" s="15" t="s">
        <v>20</v>
      </c>
      <c r="B27" s="15" t="str">
        <f aca="false">Responses!H2</f>
        <v>B</v>
      </c>
      <c r="C27" s="16" t="n">
        <f aca="false">AVERAGE(Scoring!$H$3:$H$152)</f>
        <v>0.253333333333333</v>
      </c>
      <c r="D27" s="16" t="n">
        <f aca="false">SUMIF(Scoring!$AF$3:$AF$152,"&gt;="&amp;$B$5,Scoring!$H$3:$H$152)/$B$7</f>
        <v>0.0444444444444444</v>
      </c>
      <c r="E27" s="16" t="n">
        <f aca="false">SUMIF(Scoring!$AF$3:$AF$152,"&lt;="&amp;$B$6,Scoring!$H$3:$H$152)/$B$8</f>
        <v>0.444444444444444</v>
      </c>
      <c r="F27" s="16" t="n">
        <f aca="false">D27-E27</f>
        <v>-0.4</v>
      </c>
      <c r="G27" s="17" t="n">
        <f aca="false">VARP(Scoring!$H$3:$H$152)</f>
        <v>0.189155555555556</v>
      </c>
      <c r="H27" s="16" t="n">
        <f aca="false">IF(G27=0,0,CORREL(Scoring!$H$3:$H$152,Scoring!$AF$3:$AF$152))</f>
        <v>-0.373013336004352</v>
      </c>
      <c r="I27" s="16" t="n">
        <f aca="false">IF(G27=0,0,(H27*$B$11-SQRT(G27))/SQRT(G27+$B$10-2*H27*SQRT(G27)*$B$11))</f>
        <v>-0.429260096002956</v>
      </c>
      <c r="J27" s="16" t="n">
        <f aca="false">($B$9-1)/($B$9-2)*(1-($B$12-G27)/($B$10+G27-2*H27*SQRT(G27)*$B$11))</f>
        <v>0.884013810403254</v>
      </c>
      <c r="K27" s="18" t="n">
        <f aca="false">COUNTIF(Responses!$H$3:$H$152,"A")/$B$2</f>
        <v>0.0333333333333333</v>
      </c>
      <c r="L27" s="18" t="n">
        <f aca="false">COUNTIF(Responses!$H$3:$H$152,"B")/$B$2</f>
        <v>0.253333333333333</v>
      </c>
      <c r="M27" s="18" t="n">
        <f aca="false">COUNTIF(Responses!$H$3:$H$152,"C")/$B$2</f>
        <v>0.68</v>
      </c>
      <c r="N27" s="18" t="n">
        <f aca="false">COUNTIF(Responses!$H$3:$H$152,"D")/$B$2</f>
        <v>0.0333333333333333</v>
      </c>
      <c r="O27" s="18" t="n">
        <f aca="false">MIN(IF(B27="A",1,K27),IF(B27="B",1,L27),IF(B27="C",1,M27),IF(B27="D",1,N27))</f>
        <v>0.0333333333333333</v>
      </c>
      <c r="P27" s="19" t="str">
        <f aca="false">IF(I27&lt;-0.1,"Discrimination negative: review the key immediately",IF(OR(C27&gt;$B$14,C27&lt;$B$13),"Extreme difficulty: review the wording or level",IF(I27&lt;$B$15,"Discrimination weak: review the wording and distractors",IF(O27&lt;$B$17,"Ineffective distractor: replace it",IF(I27&lt;$B$16,"Acceptable and can be improved","Good")))))</f>
        <v>Discrimination negative: review the key immediately</v>
      </c>
    </row>
    <row r="28" customFormat="false" ht="15" hidden="false" customHeight="false" outlineLevel="0" collapsed="false">
      <c r="A28" s="15" t="s">
        <v>21</v>
      </c>
      <c r="B28" s="15" t="str">
        <f aca="false">Responses!I2</f>
        <v>C</v>
      </c>
      <c r="C28" s="16" t="n">
        <f aca="false">AVERAGE(Scoring!$I$3:$I$152)</f>
        <v>0.66</v>
      </c>
      <c r="D28" s="16" t="n">
        <f aca="false">SUMIF(Scoring!$AF$3:$AF$152,"&gt;="&amp;$B$5,Scoring!$I$3:$I$152)/$B$7</f>
        <v>0.977777777777778</v>
      </c>
      <c r="E28" s="16" t="n">
        <f aca="false">SUMIF(Scoring!$AF$3:$AF$152,"&lt;="&amp;$B$6,Scoring!$I$3:$I$152)/$B$8</f>
        <v>0.266666666666667</v>
      </c>
      <c r="F28" s="16" t="n">
        <f aca="false">D28-E28</f>
        <v>0.711111111111111</v>
      </c>
      <c r="G28" s="17" t="n">
        <f aca="false">VARP(Scoring!$I$3:$I$152)</f>
        <v>0.224400000000001</v>
      </c>
      <c r="H28" s="16" t="n">
        <f aca="false">IF(G28=0,0,CORREL(Scoring!$I$3:$I$152,Scoring!$AF$3:$AF$152))</f>
        <v>0.617501486480178</v>
      </c>
      <c r="I28" s="16" t="n">
        <f aca="false">IF(G28=0,0,(H28*$B$11-SQRT(G28))/SQRT(G28+$B$10-2*H28*SQRT(G28)*$B$11))</f>
        <v>0.568454744367242</v>
      </c>
      <c r="J28" s="16" t="n">
        <f aca="false">($B$9-1)/($B$9-2)*(1-($B$12-G28)/($B$10+G28-2*H28*SQRT(G28)*$B$11))</f>
        <v>0.861545720496533</v>
      </c>
      <c r="K28" s="18" t="n">
        <f aca="false">COUNTIF(Responses!$I$3:$I$152,"A")/$B$2</f>
        <v>0.133333333333333</v>
      </c>
      <c r="L28" s="18" t="n">
        <f aca="false">COUNTIF(Responses!$I$3:$I$152,"B")/$B$2</f>
        <v>0.1</v>
      </c>
      <c r="M28" s="18" t="n">
        <f aca="false">COUNTIF(Responses!$I$3:$I$152,"C")/$B$2</f>
        <v>0.66</v>
      </c>
      <c r="N28" s="18" t="n">
        <f aca="false">COUNTIF(Responses!$I$3:$I$152,"D")/$B$2</f>
        <v>0.106666666666667</v>
      </c>
      <c r="O28" s="18" t="n">
        <f aca="false">MIN(IF(B28="A",1,K28),IF(B28="B",1,L28),IF(B28="C",1,M28),IF(B28="D",1,N28))</f>
        <v>0.1</v>
      </c>
      <c r="P28" s="19" t="str">
        <f aca="false">IF(I28&lt;-0.1,"Discrimination negative: review the key immediately",IF(OR(C28&gt;$B$14,C28&lt;$B$13),"Extreme difficulty: review the wording or level",IF(I28&lt;$B$15,"Discrimination weak: review the wording and distractors",IF(O28&lt;$B$17,"Ineffective distractor: replace it",IF(I28&lt;$B$16,"Acceptable and can be improved","Good")))))</f>
        <v>Good</v>
      </c>
    </row>
    <row r="29" customFormat="false" ht="15" hidden="false" customHeight="false" outlineLevel="0" collapsed="false">
      <c r="A29" s="15" t="s">
        <v>22</v>
      </c>
      <c r="B29" s="15" t="str">
        <f aca="false">Responses!J2</f>
        <v>A</v>
      </c>
      <c r="C29" s="16" t="n">
        <f aca="false">AVERAGE(Scoring!$J$3:$J$152)</f>
        <v>0.906666666666667</v>
      </c>
      <c r="D29" s="16" t="n">
        <f aca="false">SUMIF(Scoring!$AF$3:$AF$152,"&gt;="&amp;$B$5,Scoring!$J$3:$J$152)/$B$7</f>
        <v>1</v>
      </c>
      <c r="E29" s="16" t="n">
        <f aca="false">SUMIF(Scoring!$AF$3:$AF$152,"&lt;="&amp;$B$6,Scoring!$J$3:$J$152)/$B$8</f>
        <v>0.755555555555556</v>
      </c>
      <c r="F29" s="16" t="n">
        <f aca="false">D29-E29</f>
        <v>0.244444444444444</v>
      </c>
      <c r="G29" s="17" t="n">
        <f aca="false">VARP(Scoring!$J$3:$J$152)</f>
        <v>0.0846222222222224</v>
      </c>
      <c r="H29" s="16" t="n">
        <f aca="false">IF(G29=0,0,CORREL(Scoring!$J$3:$J$152,Scoring!$AF$3:$AF$152))</f>
        <v>0.34210943254515</v>
      </c>
      <c r="I29" s="16" t="n">
        <f aca="false">IF(G29=0,0,(H29*$B$11-SQRT(G29))/SQRT(G29+$B$10-2*H29*SQRT(G29)*$B$11))</f>
        <v>0.301056826870436</v>
      </c>
      <c r="J29" s="16" t="n">
        <f aca="false">($B$9-1)/($B$9-2)*(1-($B$12-G29)/($B$10+G29-2*H29*SQRT(G29)*$B$11))</f>
        <v>0.868112076111795</v>
      </c>
      <c r="K29" s="18" t="n">
        <f aca="false">COUNTIF(Responses!$J$3:$J$152,"A")/$B$2</f>
        <v>0.906666666666667</v>
      </c>
      <c r="L29" s="18" t="n">
        <f aca="false">COUNTIF(Responses!$J$3:$J$152,"B")/$B$2</f>
        <v>0.04</v>
      </c>
      <c r="M29" s="18" t="n">
        <f aca="false">COUNTIF(Responses!$J$3:$J$152,"C")/$B$2</f>
        <v>0.0333333333333333</v>
      </c>
      <c r="N29" s="18" t="n">
        <f aca="false">COUNTIF(Responses!$J$3:$J$152,"D")/$B$2</f>
        <v>0.02</v>
      </c>
      <c r="O29" s="18" t="n">
        <f aca="false">MIN(IF(B29="A",1,K29),IF(B29="B",1,L29),IF(B29="C",1,M29),IF(B29="D",1,N29))</f>
        <v>0.02</v>
      </c>
      <c r="P29" s="19" t="str">
        <f aca="false">IF(I29&lt;-0.1,"Discrimination negative: review the key immediately",IF(OR(C29&gt;$B$14,C29&lt;$B$13),"Extreme difficulty: review the wording or level",IF(I29&lt;$B$15,"Discrimination weak: review the wording and distractors",IF(O29&lt;$B$17,"Ineffective distractor: replace it",IF(I29&lt;$B$16,"Acceptable and can be improved","Good")))))</f>
        <v>Extreme difficulty: review the wording or level</v>
      </c>
    </row>
    <row r="30" customFormat="false" ht="15" hidden="false" customHeight="false" outlineLevel="0" collapsed="false">
      <c r="A30" s="15" t="s">
        <v>23</v>
      </c>
      <c r="B30" s="15" t="str">
        <f aca="false">Responses!K2</f>
        <v>D</v>
      </c>
      <c r="C30" s="16" t="n">
        <f aca="false">AVERAGE(Scoring!$K$3:$K$152)</f>
        <v>0.493333333333333</v>
      </c>
      <c r="D30" s="16" t="n">
        <f aca="false">SUMIF(Scoring!$AF$3:$AF$152,"&gt;="&amp;$B$5,Scoring!$K$3:$K$152)/$B$7</f>
        <v>0.933333333333333</v>
      </c>
      <c r="E30" s="16" t="n">
        <f aca="false">SUMIF(Scoring!$AF$3:$AF$152,"&lt;="&amp;$B$6,Scoring!$K$3:$K$152)/$B$8</f>
        <v>0.177777777777778</v>
      </c>
      <c r="F30" s="16" t="n">
        <f aca="false">D30-E30</f>
        <v>0.755555555555556</v>
      </c>
      <c r="G30" s="17" t="n">
        <f aca="false">VARP(Scoring!$K$3:$K$152)</f>
        <v>0.249955555555556</v>
      </c>
      <c r="H30" s="16" t="n">
        <f aca="false">IF(G30=0,0,CORREL(Scoring!$K$3:$K$152,Scoring!$AF$3:$AF$152))</f>
        <v>0.628145470158095</v>
      </c>
      <c r="I30" s="16" t="n">
        <f aca="false">IF(G30=0,0,(H30*$B$11-SQRT(G30))/SQRT(G30+$B$10-2*H30*SQRT(G30)*$B$11))</f>
        <v>0.577228715085824</v>
      </c>
      <c r="J30" s="16" t="n">
        <f aca="false">($B$9-1)/($B$9-2)*(1-($B$12-G30)/($B$10+G30-2*H30*SQRT(G30)*$B$11))</f>
        <v>0.861086571684002</v>
      </c>
      <c r="K30" s="18" t="n">
        <f aca="false">COUNTIF(Responses!$K$3:$K$152,"A")/$B$2</f>
        <v>0.186666666666667</v>
      </c>
      <c r="L30" s="18" t="n">
        <f aca="false">COUNTIF(Responses!$K$3:$K$152,"B")/$B$2</f>
        <v>0.2</v>
      </c>
      <c r="M30" s="18" t="n">
        <f aca="false">COUNTIF(Responses!$K$3:$K$152,"C")/$B$2</f>
        <v>0.12</v>
      </c>
      <c r="N30" s="18" t="n">
        <f aca="false">COUNTIF(Responses!$K$3:$K$152,"D")/$B$2</f>
        <v>0.493333333333333</v>
      </c>
      <c r="O30" s="18" t="n">
        <f aca="false">MIN(IF(B30="A",1,K30),IF(B30="B",1,L30),IF(B30="C",1,M30),IF(B30="D",1,N30))</f>
        <v>0.12</v>
      </c>
      <c r="P30" s="19" t="str">
        <f aca="false">IF(I30&lt;-0.1,"Discrimination negative: review the key immediately",IF(OR(C30&gt;$B$14,C30&lt;$B$13),"Extreme difficulty: review the wording or level",IF(I30&lt;$B$15,"Discrimination weak: review the wording and distractors",IF(O30&lt;$B$17,"Ineffective distractor: replace it",IF(I30&lt;$B$16,"Acceptable and can be improved","Good")))))</f>
        <v>Good</v>
      </c>
    </row>
    <row r="31" customFormat="false" ht="15" hidden="false" customHeight="false" outlineLevel="0" collapsed="false">
      <c r="A31" s="15" t="s">
        <v>24</v>
      </c>
      <c r="B31" s="15" t="str">
        <f aca="false">Responses!L2</f>
        <v>A</v>
      </c>
      <c r="C31" s="16" t="n">
        <f aca="false">AVERAGE(Scoring!$L$3:$L$152)</f>
        <v>0.62</v>
      </c>
      <c r="D31" s="16" t="n">
        <f aca="false">SUMIF(Scoring!$AF$3:$AF$152,"&gt;="&amp;$B$5,Scoring!$L$3:$L$152)/$B$7</f>
        <v>0.933333333333333</v>
      </c>
      <c r="E31" s="16" t="n">
        <f aca="false">SUMIF(Scoring!$AF$3:$AF$152,"&lt;="&amp;$B$6,Scoring!$L$3:$L$152)/$B$8</f>
        <v>0.222222222222222</v>
      </c>
      <c r="F31" s="16" t="n">
        <f aca="false">D31-E31</f>
        <v>0.711111111111111</v>
      </c>
      <c r="G31" s="17" t="n">
        <f aca="false">VARP(Scoring!$L$3:$L$152)</f>
        <v>0.2356</v>
      </c>
      <c r="H31" s="16" t="n">
        <f aca="false">IF(G31=0,0,CORREL(Scoring!$L$3:$L$152,Scoring!$AF$3:$AF$152))</f>
        <v>0.580754360650138</v>
      </c>
      <c r="I31" s="16" t="n">
        <f aca="false">IF(G31=0,0,(H31*$B$11-SQRT(G31))/SQRT(G31+$B$10-2*H31*SQRT(G31)*$B$11))</f>
        <v>0.527075184938679</v>
      </c>
      <c r="J31" s="16" t="n">
        <f aca="false">($B$9-1)/($B$9-2)*(1-($B$12-G31)/($B$10+G31-2*H31*SQRT(G31)*$B$11))</f>
        <v>0.862536526410768</v>
      </c>
      <c r="K31" s="18" t="n">
        <f aca="false">COUNTIF(Responses!$L$3:$L$152,"A")/$B$2</f>
        <v>0.62</v>
      </c>
      <c r="L31" s="18" t="n">
        <f aca="false">COUNTIF(Responses!$L$3:$L$152,"B")/$B$2</f>
        <v>0.213333333333333</v>
      </c>
      <c r="M31" s="18" t="n">
        <f aca="false">COUNTIF(Responses!$L$3:$L$152,"C")/$B$2</f>
        <v>0.133333333333333</v>
      </c>
      <c r="N31" s="18" t="n">
        <f aca="false">COUNTIF(Responses!$L$3:$L$152,"D")/$B$2</f>
        <v>0.0333333333333333</v>
      </c>
      <c r="O31" s="18" t="n">
        <f aca="false">MIN(IF(B31="A",1,K31),IF(B31="B",1,L31),IF(B31="C",1,M31),IF(B31="D",1,N31))</f>
        <v>0.0333333333333333</v>
      </c>
      <c r="P31" s="19" t="str">
        <f aca="false">IF(I31&lt;-0.1,"Discrimination negative: review the key immediately",IF(OR(C31&gt;$B$14,C31&lt;$B$13),"Extreme difficulty: review the wording or level",IF(I31&lt;$B$15,"Discrimination weak: review the wording and distractors",IF(O31&lt;$B$17,"Ineffective distractor: replace it",IF(I31&lt;$B$16,"Acceptable and can be improved","Good")))))</f>
        <v>Ineffective distractor: replace it</v>
      </c>
    </row>
    <row r="32" customFormat="false" ht="15" hidden="false" customHeight="false" outlineLevel="0" collapsed="false">
      <c r="A32" s="15" t="s">
        <v>25</v>
      </c>
      <c r="B32" s="15" t="str">
        <f aca="false">Responses!M2</f>
        <v>C</v>
      </c>
      <c r="C32" s="16" t="n">
        <f aca="false">AVERAGE(Scoring!$M$3:$M$152)</f>
        <v>0.973333333333333</v>
      </c>
      <c r="D32" s="16" t="n">
        <f aca="false">SUMIF(Scoring!$AF$3:$AF$152,"&gt;="&amp;$B$5,Scoring!$M$3:$M$152)/$B$7</f>
        <v>1</v>
      </c>
      <c r="E32" s="16" t="n">
        <f aca="false">SUMIF(Scoring!$AF$3:$AF$152,"&lt;="&amp;$B$6,Scoring!$M$3:$M$152)/$B$8</f>
        <v>0.911111111111111</v>
      </c>
      <c r="F32" s="16" t="n">
        <f aca="false">D32-E32</f>
        <v>0.0888888888888889</v>
      </c>
      <c r="G32" s="17" t="n">
        <f aca="false">VARP(Scoring!$M$3:$M$152)</f>
        <v>0.0259555555555556</v>
      </c>
      <c r="H32" s="16" t="n">
        <f aca="false">IF(G32=0,0,CORREL(Scoring!$M$3:$M$152,Scoring!$AF$3:$AF$152))</f>
        <v>0.244846692855149</v>
      </c>
      <c r="I32" s="16" t="n">
        <f aca="false">IF(G32=0,0,(H32*$B$11-SQRT(G32))/SQRT(G32+$B$10-2*H32*SQRT(G32)*$B$11))</f>
        <v>0.220968112005339</v>
      </c>
      <c r="J32" s="16" t="n">
        <f aca="false">($B$9-1)/($B$9-2)*(1-($B$12-G32)/($B$10+G32-2*H32*SQRT(G32)*$B$11))</f>
        <v>0.869551744389236</v>
      </c>
      <c r="K32" s="18" t="n">
        <f aca="false">COUNTIF(Responses!$M$3:$M$152,"A")/$B$2</f>
        <v>0.0133333333333333</v>
      </c>
      <c r="L32" s="18" t="n">
        <f aca="false">COUNTIF(Responses!$M$3:$M$152,"B")/$B$2</f>
        <v>0.00666666666666667</v>
      </c>
      <c r="M32" s="18" t="n">
        <f aca="false">COUNTIF(Responses!$M$3:$M$152,"C")/$B$2</f>
        <v>0.973333333333333</v>
      </c>
      <c r="N32" s="18" t="n">
        <f aca="false">COUNTIF(Responses!$M$3:$M$152,"D")/$B$2</f>
        <v>0.00666666666666667</v>
      </c>
      <c r="O32" s="18" t="n">
        <f aca="false">MIN(IF(B32="A",1,K32),IF(B32="B",1,L32),IF(B32="C",1,M32),IF(B32="D",1,N32))</f>
        <v>0.00666666666666667</v>
      </c>
      <c r="P32" s="19" t="str">
        <f aca="false">IF(I32&lt;-0.1,"Discrimination negative: review the key immediately",IF(OR(C32&gt;$B$14,C32&lt;$B$13),"Extreme difficulty: review the wording or level",IF(I32&lt;$B$15,"Discrimination weak: review the wording and distractors",IF(O32&lt;$B$17,"Ineffective distractor: replace it",IF(I32&lt;$B$16,"Acceptable and can be improved","Good")))))</f>
        <v>Extreme difficulty: review the wording or level</v>
      </c>
    </row>
    <row r="33" customFormat="false" ht="15" hidden="false" customHeight="false" outlineLevel="0" collapsed="false">
      <c r="A33" s="15" t="s">
        <v>26</v>
      </c>
      <c r="B33" s="15" t="str">
        <f aca="false">Responses!N2</f>
        <v>B</v>
      </c>
      <c r="C33" s="16" t="n">
        <f aca="false">AVERAGE(Scoring!$N$3:$N$152)</f>
        <v>0.413333333333333</v>
      </c>
      <c r="D33" s="16" t="n">
        <f aca="false">SUMIF(Scoring!$AF$3:$AF$152,"&gt;="&amp;$B$5,Scoring!$N$3:$N$152)/$B$7</f>
        <v>0.844444444444444</v>
      </c>
      <c r="E33" s="16" t="n">
        <f aca="false">SUMIF(Scoring!$AF$3:$AF$152,"&lt;="&amp;$B$6,Scoring!$N$3:$N$152)/$B$8</f>
        <v>0.0444444444444444</v>
      </c>
      <c r="F33" s="16" t="n">
        <f aca="false">D33-E33</f>
        <v>0.8</v>
      </c>
      <c r="G33" s="17" t="n">
        <f aca="false">VARP(Scoring!$N$3:$N$152)</f>
        <v>0.242488888888889</v>
      </c>
      <c r="H33" s="16" t="n">
        <f aca="false">IF(G33=0,0,CORREL(Scoring!$N$3:$N$152,Scoring!$AF$3:$AF$152))</f>
        <v>0.655936032917182</v>
      </c>
      <c r="I33" s="16" t="n">
        <f aca="false">IF(G33=0,0,(H33*$B$11-SQRT(G33))/SQRT(G33+$B$10-2*H33*SQRT(G33)*$B$11))</f>
        <v>0.60862801093688</v>
      </c>
      <c r="J33" s="16" t="n">
        <f aca="false">($B$9-1)/($B$9-2)*(1-($B$12-G33)/($B$10+G33-2*H33*SQRT(G33)*$B$11))</f>
        <v>0.860302486384704</v>
      </c>
      <c r="K33" s="18" t="n">
        <f aca="false">COUNTIF(Responses!$N$3:$N$152,"A")/$B$2</f>
        <v>0.266666666666667</v>
      </c>
      <c r="L33" s="18" t="n">
        <f aca="false">COUNTIF(Responses!$N$3:$N$152,"B")/$B$2</f>
        <v>0.413333333333333</v>
      </c>
      <c r="M33" s="18" t="n">
        <f aca="false">COUNTIF(Responses!$N$3:$N$152,"C")/$B$2</f>
        <v>0.18</v>
      </c>
      <c r="N33" s="18" t="n">
        <f aca="false">COUNTIF(Responses!$N$3:$N$152,"D")/$B$2</f>
        <v>0.14</v>
      </c>
      <c r="O33" s="18" t="n">
        <f aca="false">MIN(IF(B33="A",1,K33),IF(B33="B",1,L33),IF(B33="C",1,M33),IF(B33="D",1,N33))</f>
        <v>0.14</v>
      </c>
      <c r="P33" s="19" t="str">
        <f aca="false">IF(I33&lt;-0.1,"Discrimination negative: review the key immediately",IF(OR(C33&gt;$B$14,C33&lt;$B$13),"Extreme difficulty: review the wording or level",IF(I33&lt;$B$15,"Discrimination weak: review the wording and distractors",IF(O33&lt;$B$17,"Ineffective distractor: replace it",IF(I33&lt;$B$16,"Acceptable and can be improved","Good")))))</f>
        <v>Good</v>
      </c>
    </row>
    <row r="34" customFormat="false" ht="15" hidden="false" customHeight="false" outlineLevel="0" collapsed="false">
      <c r="A34" s="15" t="s">
        <v>27</v>
      </c>
      <c r="B34" s="15" t="str">
        <f aca="false">Responses!O2</f>
        <v>D</v>
      </c>
      <c r="C34" s="16" t="n">
        <f aca="false">AVERAGE(Scoring!$O$3:$O$152)</f>
        <v>0.62</v>
      </c>
      <c r="D34" s="16" t="n">
        <f aca="false">SUMIF(Scoring!$AF$3:$AF$152,"&gt;="&amp;$B$5,Scoring!$O$3:$O$152)/$B$7</f>
        <v>0.911111111111111</v>
      </c>
      <c r="E34" s="16" t="n">
        <f aca="false">SUMIF(Scoring!$AF$3:$AF$152,"&lt;="&amp;$B$6,Scoring!$O$3:$O$152)/$B$8</f>
        <v>0.355555555555556</v>
      </c>
      <c r="F34" s="16" t="n">
        <f aca="false">D34-E34</f>
        <v>0.555555555555556</v>
      </c>
      <c r="G34" s="17" t="n">
        <f aca="false">VARP(Scoring!$O$3:$O$152)</f>
        <v>0.2356</v>
      </c>
      <c r="H34" s="16" t="n">
        <f aca="false">IF(G34=0,0,CORREL(Scoring!$O$3:$O$152,Scoring!$AF$3:$AF$152))</f>
        <v>0.482030411685221</v>
      </c>
      <c r="I34" s="16" t="n">
        <f aca="false">IF(G34=0,0,(H34*$B$11-SQRT(G34))/SQRT(G34+$B$10-2*H34*SQRT(G34)*$B$11))</f>
        <v>0.420598976915863</v>
      </c>
      <c r="J34" s="16" t="n">
        <f aca="false">($B$9-1)/($B$9-2)*(1-($B$12-G34)/($B$10+G34-2*H34*SQRT(G34)*$B$11))</f>
        <v>0.865317297509436</v>
      </c>
      <c r="K34" s="18" t="n">
        <f aca="false">COUNTIF(Responses!$O$3:$O$152,"A")/$B$2</f>
        <v>0.08</v>
      </c>
      <c r="L34" s="18" t="n">
        <f aca="false">COUNTIF(Responses!$O$3:$O$152,"B")/$B$2</f>
        <v>0.18</v>
      </c>
      <c r="M34" s="18" t="n">
        <f aca="false">COUNTIF(Responses!$O$3:$O$152,"C")/$B$2</f>
        <v>0.12</v>
      </c>
      <c r="N34" s="18" t="n">
        <f aca="false">COUNTIF(Responses!$O$3:$O$152,"D")/$B$2</f>
        <v>0.62</v>
      </c>
      <c r="O34" s="18" t="n">
        <f aca="false">MIN(IF(B34="A",1,K34),IF(B34="B",1,L34),IF(B34="C",1,M34),IF(B34="D",1,N34))</f>
        <v>0.08</v>
      </c>
      <c r="P34" s="19" t="str">
        <f aca="false">IF(I34&lt;-0.1,"Discrimination negative: review the key immediately",IF(OR(C34&gt;$B$14,C34&lt;$B$13),"Extreme difficulty: review the wording or level",IF(I34&lt;$B$15,"Discrimination weak: review the wording and distractors",IF(O34&lt;$B$17,"Ineffective distractor: replace it",IF(I34&lt;$B$16,"Acceptable and can be improved","Good")))))</f>
        <v>Good</v>
      </c>
    </row>
    <row r="35" customFormat="false" ht="15" hidden="false" customHeight="false" outlineLevel="0" collapsed="false">
      <c r="A35" s="15" t="s">
        <v>28</v>
      </c>
      <c r="B35" s="15" t="str">
        <f aca="false">Responses!P2</f>
        <v>C</v>
      </c>
      <c r="C35" s="16" t="n">
        <f aca="false">AVERAGE(Scoring!$P$3:$P$152)</f>
        <v>0.4</v>
      </c>
      <c r="D35" s="16" t="n">
        <f aca="false">SUMIF(Scoring!$AF$3:$AF$152,"&gt;="&amp;$B$5,Scoring!$P$3:$P$152)/$B$7</f>
        <v>0.422222222222222</v>
      </c>
      <c r="E35" s="16" t="n">
        <f aca="false">SUMIF(Scoring!$AF$3:$AF$152,"&lt;="&amp;$B$6,Scoring!$P$3:$P$152)/$B$8</f>
        <v>0.155555555555556</v>
      </c>
      <c r="F35" s="16" t="n">
        <f aca="false">D35-E35</f>
        <v>0.266666666666667</v>
      </c>
      <c r="G35" s="17" t="n">
        <f aca="false">VARP(Scoring!$P$3:$P$152)</f>
        <v>0.24</v>
      </c>
      <c r="H35" s="16" t="n">
        <f aca="false">IF(G35=0,0,CORREL(Scoring!$P$3:$P$152,Scoring!$AF$3:$AF$152))</f>
        <v>0.221146488958305</v>
      </c>
      <c r="I35" s="16" t="n">
        <f aca="false">IF(G35=0,0,(H35*$B$11-SQRT(G35))/SQRT(G35+$B$10-2*H35*SQRT(G35)*$B$11))</f>
        <v>0.146663486454842</v>
      </c>
      <c r="J35" s="16" t="n">
        <f aca="false">($B$9-1)/($B$9-2)*(1-($B$12-G35)/($B$10+G35-2*H35*SQRT(G35)*$B$11))</f>
        <v>0.872333450294263</v>
      </c>
      <c r="K35" s="18" t="n">
        <f aca="false">COUNTIF(Responses!$P$3:$P$152,"A")/$B$2</f>
        <v>0.373333333333333</v>
      </c>
      <c r="L35" s="18" t="n">
        <f aca="false">COUNTIF(Responses!$P$3:$P$152,"B")/$B$2</f>
        <v>0.08</v>
      </c>
      <c r="M35" s="18" t="n">
        <f aca="false">COUNTIF(Responses!$P$3:$P$152,"C")/$B$2</f>
        <v>0.4</v>
      </c>
      <c r="N35" s="18" t="n">
        <f aca="false">COUNTIF(Responses!$P$3:$P$152,"D")/$B$2</f>
        <v>0.146666666666667</v>
      </c>
      <c r="O35" s="18" t="n">
        <f aca="false">MIN(IF(B35="A",1,K35),IF(B35="B",1,L35),IF(B35="C",1,M35),IF(B35="D",1,N35))</f>
        <v>0.08</v>
      </c>
      <c r="P35" s="19" t="str">
        <f aca="false">IF(I35&lt;-0.1,"Discrimination negative: review the key immediately",IF(OR(C35&gt;$B$14,C35&lt;$B$13),"Extreme difficulty: review the wording or level",IF(I35&lt;$B$15,"Discrimination weak: review the wording and distractors",IF(O35&lt;$B$17,"Ineffective distractor: replace it",IF(I35&lt;$B$16,"Acceptable and can be improved","Good")))))</f>
        <v>Discrimination weak: review the wording and distractors</v>
      </c>
    </row>
    <row r="36" customFormat="false" ht="15" hidden="false" customHeight="false" outlineLevel="0" collapsed="false">
      <c r="A36" s="15" t="s">
        <v>29</v>
      </c>
      <c r="B36" s="15" t="str">
        <f aca="false">Responses!Q2</f>
        <v>A</v>
      </c>
      <c r="C36" s="16" t="n">
        <f aca="false">AVERAGE(Scoring!$Q$3:$Q$152)</f>
        <v>0.84</v>
      </c>
      <c r="D36" s="16" t="n">
        <f aca="false">SUMIF(Scoring!$AF$3:$AF$152,"&gt;="&amp;$B$5,Scoring!$Q$3:$Q$152)/$B$7</f>
        <v>1</v>
      </c>
      <c r="E36" s="16" t="n">
        <f aca="false">SUMIF(Scoring!$AF$3:$AF$152,"&lt;="&amp;$B$6,Scoring!$Q$3:$Q$152)/$B$8</f>
        <v>0.577777777777778</v>
      </c>
      <c r="F36" s="16" t="n">
        <f aca="false">D36-E36</f>
        <v>0.422222222222222</v>
      </c>
      <c r="G36" s="17" t="n">
        <f aca="false">VARP(Scoring!$Q$3:$Q$152)</f>
        <v>0.1344</v>
      </c>
      <c r="H36" s="16" t="n">
        <f aca="false">IF(G36=0,0,CORREL(Scoring!$Q$3:$Q$152,Scoring!$AF$3:$AF$152))</f>
        <v>0.463738176840309</v>
      </c>
      <c r="I36" s="16" t="n">
        <f aca="false">IF(G36=0,0,(H36*$B$11-SQRT(G36))/SQRT(G36+$B$10-2*H36*SQRT(G36)*$B$11))</f>
        <v>0.416978745840834</v>
      </c>
      <c r="J36" s="16" t="n">
        <f aca="false">($B$9-1)/($B$9-2)*(1-($B$12-G36)/($B$10+G36-2*H36*SQRT(G36)*$B$11))</f>
        <v>0.865765462523095</v>
      </c>
      <c r="K36" s="18" t="n">
        <f aca="false">COUNTIF(Responses!$Q$3:$Q$152,"A")/$B$2</f>
        <v>0.84</v>
      </c>
      <c r="L36" s="18" t="n">
        <f aca="false">COUNTIF(Responses!$Q$3:$Q$152,"B")/$B$2</f>
        <v>0.0533333333333333</v>
      </c>
      <c r="M36" s="18" t="n">
        <f aca="false">COUNTIF(Responses!$Q$3:$Q$152,"C")/$B$2</f>
        <v>0.0533333333333333</v>
      </c>
      <c r="N36" s="18" t="n">
        <f aca="false">COUNTIF(Responses!$Q$3:$Q$152,"D")/$B$2</f>
        <v>0.0533333333333333</v>
      </c>
      <c r="O36" s="18" t="n">
        <f aca="false">MIN(IF(B36="A",1,K36),IF(B36="B",1,L36),IF(B36="C",1,M36),IF(B36="D",1,N36))</f>
        <v>0.0533333333333333</v>
      </c>
      <c r="P36" s="19" t="str">
        <f aca="false">IF(I36&lt;-0.1,"Discrimination negative: review the key immediately",IF(OR(C36&gt;$B$14,C36&lt;$B$13),"Extreme difficulty: review the wording or level",IF(I36&lt;$B$15,"Discrimination weak: review the wording and distractors",IF(O36&lt;$B$17,"Ineffective distractor: replace it",IF(I36&lt;$B$16,"Acceptable and can be improved","Good")))))</f>
        <v>Good</v>
      </c>
    </row>
    <row r="37" customFormat="false" ht="15" hidden="false" customHeight="false" outlineLevel="0" collapsed="false">
      <c r="A37" s="15" t="s">
        <v>30</v>
      </c>
      <c r="B37" s="15" t="str">
        <f aca="false">Responses!R2</f>
        <v>A</v>
      </c>
      <c r="C37" s="16" t="n">
        <f aca="false">AVERAGE(Scoring!$R$3:$R$152)</f>
        <v>0.866666666666667</v>
      </c>
      <c r="D37" s="16" t="n">
        <f aca="false">SUMIF(Scoring!$AF$3:$AF$152,"&gt;="&amp;$B$5,Scoring!$R$3:$R$152)/$B$7</f>
        <v>1</v>
      </c>
      <c r="E37" s="16" t="n">
        <f aca="false">SUMIF(Scoring!$AF$3:$AF$152,"&lt;="&amp;$B$6,Scoring!$R$3:$R$152)/$B$8</f>
        <v>0.6</v>
      </c>
      <c r="F37" s="16" t="n">
        <f aca="false">D37-E37</f>
        <v>0.4</v>
      </c>
      <c r="G37" s="17" t="n">
        <f aca="false">VARP(Scoring!$R$3:$R$152)</f>
        <v>0.115555555555555</v>
      </c>
      <c r="H37" s="16" t="n">
        <f aca="false">IF(G37=0,0,CORREL(Scoring!$R$3:$R$152,Scoring!$AF$3:$AF$152))</f>
        <v>0.448435701341701</v>
      </c>
      <c r="I37" s="16" t="n">
        <f aca="false">IF(G37=0,0,(H37*$B$11-SQRT(G37))/SQRT(G37+$B$10-2*H37*SQRT(G37)*$B$11))</f>
        <v>0.404486110621491</v>
      </c>
      <c r="J37" s="16" t="n">
        <f aca="false">($B$9-1)/($B$9-2)*(1-($B$12-G37)/($B$10+G37-2*H37*SQRT(G37)*$B$11))</f>
        <v>0.866161667802772</v>
      </c>
      <c r="K37" s="18" t="n">
        <f aca="false">COUNTIF(Responses!$R$3:$R$152,"A")/$B$2</f>
        <v>0.866666666666667</v>
      </c>
      <c r="L37" s="18" t="n">
        <f aca="false">COUNTIF(Responses!$R$3:$R$152,"B")/$B$2</f>
        <v>0.0666666666666667</v>
      </c>
      <c r="M37" s="18" t="n">
        <f aca="false">COUNTIF(Responses!$R$3:$R$152,"C")/$B$2</f>
        <v>0.0466666666666667</v>
      </c>
      <c r="N37" s="18" t="n">
        <f aca="false">COUNTIF(Responses!$R$3:$R$152,"D")/$B$2</f>
        <v>0.02</v>
      </c>
      <c r="O37" s="18" t="n">
        <f aca="false">MIN(IF(B37="A",1,K37),IF(B37="B",1,L37),IF(B37="C",1,M37),IF(B37="D",1,N37))</f>
        <v>0.02</v>
      </c>
      <c r="P37" s="19" t="str">
        <f aca="false">IF(I37&lt;-0.1,"Discrimination negative: review the key immediately",IF(OR(C37&gt;$B$14,C37&lt;$B$13),"Extreme difficulty: review the wording or level",IF(I37&lt;$B$15,"Discrimination weak: review the wording and distractors",IF(O37&lt;$B$17,"Ineffective distractor: replace it",IF(I37&lt;$B$16,"Acceptable and can be improved","Good")))))</f>
        <v>Ineffective distractor: replace it</v>
      </c>
    </row>
    <row r="38" customFormat="false" ht="15" hidden="false" customHeight="false" outlineLevel="0" collapsed="false">
      <c r="A38" s="15" t="s">
        <v>31</v>
      </c>
      <c r="B38" s="15" t="str">
        <f aca="false">Responses!S2</f>
        <v>A</v>
      </c>
      <c r="C38" s="16" t="n">
        <f aca="false">AVERAGE(Scoring!$S$3:$S$152)</f>
        <v>0.24</v>
      </c>
      <c r="D38" s="16" t="n">
        <f aca="false">SUMIF(Scoring!$AF$3:$AF$152,"&gt;="&amp;$B$5,Scoring!$S$3:$S$152)/$B$7</f>
        <v>0.288888888888889</v>
      </c>
      <c r="E38" s="16" t="n">
        <f aca="false">SUMIF(Scoring!$AF$3:$AF$152,"&lt;="&amp;$B$6,Scoring!$S$3:$S$152)/$B$8</f>
        <v>0.2</v>
      </c>
      <c r="F38" s="16" t="n">
        <f aca="false">D38-E38</f>
        <v>0.0888888888888889</v>
      </c>
      <c r="G38" s="17" t="n">
        <f aca="false">VARP(Scoring!$S$3:$S$152)</f>
        <v>0.1824</v>
      </c>
      <c r="H38" s="16" t="n">
        <f aca="false">IF(G38=0,0,CORREL(Scoring!$S$3:$S$152,Scoring!$AF$3:$AF$152))</f>
        <v>0.0980541470722191</v>
      </c>
      <c r="I38" s="16" t="n">
        <f aca="false">IF(G38=0,0,(H38*$B$11-SQRT(G38))/SQRT(G38+$B$10-2*H38*SQRT(G38)*$B$11))</f>
        <v>0.0314548683572093</v>
      </c>
      <c r="J38" s="16" t="n">
        <f aca="false">($B$9-1)/($B$9-2)*(1-($B$12-G38)/($B$10+G38-2*H38*SQRT(G38)*$B$11))</f>
        <v>0.874055405572771</v>
      </c>
      <c r="K38" s="18" t="n">
        <f aca="false">COUNTIF(Responses!$S$3:$S$152,"A")/$B$2</f>
        <v>0.24</v>
      </c>
      <c r="L38" s="18" t="n">
        <f aca="false">COUNTIF(Responses!$S$3:$S$152,"B")/$B$2</f>
        <v>0.253333333333333</v>
      </c>
      <c r="M38" s="18" t="n">
        <f aca="false">COUNTIF(Responses!$S$3:$S$152,"C")/$B$2</f>
        <v>0.266666666666667</v>
      </c>
      <c r="N38" s="18" t="n">
        <f aca="false">COUNTIF(Responses!$S$3:$S$152,"D")/$B$2</f>
        <v>0.24</v>
      </c>
      <c r="O38" s="18" t="n">
        <f aca="false">MIN(IF(B38="A",1,K38),IF(B38="B",1,L38),IF(B38="C",1,M38),IF(B38="D",1,N38))</f>
        <v>0.24</v>
      </c>
      <c r="P38" s="19" t="str">
        <f aca="false">IF(I38&lt;-0.1,"Discrimination negative: review the key immediately",IF(OR(C38&gt;$B$14,C38&lt;$B$13),"Extreme difficulty: review the wording or level",IF(I38&lt;$B$15,"Discrimination weak: review the wording and distractors",IF(O38&lt;$B$17,"Ineffective distractor: replace it",IF(I38&lt;$B$16,"Acceptable and can be improved","Good")))))</f>
        <v>Discrimination weak: review the wording and distractors</v>
      </c>
    </row>
    <row r="39" customFormat="false" ht="15" hidden="false" customHeight="false" outlineLevel="0" collapsed="false">
      <c r="A39" s="15" t="s">
        <v>32</v>
      </c>
      <c r="B39" s="15" t="str">
        <f aca="false">Responses!T2</f>
        <v>D</v>
      </c>
      <c r="C39" s="16" t="n">
        <f aca="false">AVERAGE(Scoring!$T$3:$T$152)</f>
        <v>0.566666666666667</v>
      </c>
      <c r="D39" s="16" t="n">
        <f aca="false">SUMIF(Scoring!$AF$3:$AF$152,"&gt;="&amp;$B$5,Scoring!$T$3:$T$152)/$B$7</f>
        <v>0.8</v>
      </c>
      <c r="E39" s="16" t="n">
        <f aca="false">SUMIF(Scoring!$AF$3:$AF$152,"&lt;="&amp;$B$6,Scoring!$T$3:$T$152)/$B$8</f>
        <v>0.355555555555556</v>
      </c>
      <c r="F39" s="16" t="n">
        <f aca="false">D39-E39</f>
        <v>0.444444444444445</v>
      </c>
      <c r="G39" s="17" t="n">
        <f aca="false">VARP(Scoring!$T$3:$T$152)</f>
        <v>0.245555555555555</v>
      </c>
      <c r="H39" s="16" t="n">
        <f aca="false">IF(G39=0,0,CORREL(Scoring!$T$3:$T$152,Scoring!$AF$3:$AF$152))</f>
        <v>0.381201932020727</v>
      </c>
      <c r="I39" s="16" t="n">
        <f aca="false">IF(G39=0,0,(H39*$B$11-SQRT(G39))/SQRT(G39+$B$10-2*H39*SQRT(G39)*$B$11))</f>
        <v>0.312161356627443</v>
      </c>
      <c r="J39" s="16" t="n">
        <f aca="false">($B$9-1)/($B$9-2)*(1-($B$12-G39)/($B$10+G39-2*H39*SQRT(G39)*$B$11))</f>
        <v>0.868161499580494</v>
      </c>
      <c r="K39" s="18" t="n">
        <f aca="false">COUNTIF(Responses!$T$3:$T$152,"A")/$B$2</f>
        <v>0.153333333333333</v>
      </c>
      <c r="L39" s="18" t="n">
        <f aca="false">COUNTIF(Responses!$T$3:$T$152,"B")/$B$2</f>
        <v>0.1</v>
      </c>
      <c r="M39" s="18" t="n">
        <f aca="false">COUNTIF(Responses!$T$3:$T$152,"C")/$B$2</f>
        <v>0.18</v>
      </c>
      <c r="N39" s="18" t="n">
        <f aca="false">COUNTIF(Responses!$T$3:$T$152,"D")/$B$2</f>
        <v>0.566666666666667</v>
      </c>
      <c r="O39" s="18" t="n">
        <f aca="false">MIN(IF(B39="A",1,K39),IF(B39="B",1,L39),IF(B39="C",1,M39),IF(B39="D",1,N39))</f>
        <v>0.1</v>
      </c>
      <c r="P39" s="19" t="str">
        <f aca="false">IF(I39&lt;-0.1,"Discrimination negative: review the key immediately",IF(OR(C39&gt;$B$14,C39&lt;$B$13),"Extreme difficulty: review the wording or level",IF(I39&lt;$B$15,"Discrimination weak: review the wording and distractors",IF(O39&lt;$B$17,"Ineffective distractor: replace it",IF(I39&lt;$B$16,"Acceptable and can be improved","Good")))))</f>
        <v>Good</v>
      </c>
    </row>
    <row r="40" customFormat="false" ht="15" hidden="false" customHeight="false" outlineLevel="0" collapsed="false">
      <c r="A40" s="15" t="s">
        <v>33</v>
      </c>
      <c r="B40" s="15" t="str">
        <f aca="false">Responses!U2</f>
        <v>D</v>
      </c>
      <c r="C40" s="16" t="n">
        <f aca="false">AVERAGE(Scoring!$U$3:$U$152)</f>
        <v>0.52</v>
      </c>
      <c r="D40" s="16" t="n">
        <f aca="false">SUMIF(Scoring!$AF$3:$AF$152,"&gt;="&amp;$B$5,Scoring!$U$3:$U$152)/$B$7</f>
        <v>0.933333333333333</v>
      </c>
      <c r="E40" s="16" t="n">
        <f aca="false">SUMIF(Scoring!$AF$3:$AF$152,"&lt;="&amp;$B$6,Scoring!$U$3:$U$152)/$B$8</f>
        <v>0.133333333333333</v>
      </c>
      <c r="F40" s="16" t="n">
        <f aca="false">D40-E40</f>
        <v>0.8</v>
      </c>
      <c r="G40" s="17" t="n">
        <f aca="false">VARP(Scoring!$U$3:$U$152)</f>
        <v>0.2496</v>
      </c>
      <c r="H40" s="16" t="n">
        <f aca="false">IF(G40=0,0,CORREL(Scoring!$U$3:$U$152,Scoring!$AF$3:$AF$152))</f>
        <v>0.647636759525562</v>
      </c>
      <c r="I40" s="16" t="n">
        <f aca="false">IF(G40=0,0,(H40*$B$11-SQRT(G40))/SQRT(G40+$B$10-2*H40*SQRT(G40)*$B$11))</f>
        <v>0.598726461025423</v>
      </c>
      <c r="J40" s="16" t="n">
        <f aca="false">($B$9-1)/($B$9-2)*(1-($B$12-G40)/($B$10+G40-2*H40*SQRT(G40)*$B$11))</f>
        <v>0.860501199818006</v>
      </c>
      <c r="K40" s="18" t="n">
        <f aca="false">COUNTIF(Responses!$U$3:$U$152,"A")/$B$2</f>
        <v>0.166666666666667</v>
      </c>
      <c r="L40" s="18" t="n">
        <f aca="false">COUNTIF(Responses!$U$3:$U$152,"B")/$B$2</f>
        <v>0.153333333333333</v>
      </c>
      <c r="M40" s="18" t="n">
        <f aca="false">COUNTIF(Responses!$U$3:$U$152,"C")/$B$2</f>
        <v>0.16</v>
      </c>
      <c r="N40" s="18" t="n">
        <f aca="false">COUNTIF(Responses!$U$3:$U$152,"D")/$B$2</f>
        <v>0.52</v>
      </c>
      <c r="O40" s="18" t="n">
        <f aca="false">MIN(IF(B40="A",1,K40),IF(B40="B",1,L40),IF(B40="C",1,M40),IF(B40="D",1,N40))</f>
        <v>0.153333333333333</v>
      </c>
      <c r="P40" s="19" t="str">
        <f aca="false">IF(I40&lt;-0.1,"Discrimination negative: review the key immediately",IF(OR(C40&gt;$B$14,C40&lt;$B$13),"Extreme difficulty: review the wording or level",IF(I40&lt;$B$15,"Discrimination weak: review the wording and distractors",IF(O40&lt;$B$17,"Ineffective distractor: replace it",IF(I40&lt;$B$16,"Acceptable and can be improved","Good")))))</f>
        <v>Good</v>
      </c>
    </row>
    <row r="41" customFormat="false" ht="15" hidden="false" customHeight="false" outlineLevel="0" collapsed="false">
      <c r="A41" s="15" t="s">
        <v>34</v>
      </c>
      <c r="B41" s="15" t="str">
        <f aca="false">Responses!V2</f>
        <v>C</v>
      </c>
      <c r="C41" s="16" t="n">
        <f aca="false">AVERAGE(Scoring!$V$3:$V$152)</f>
        <v>0.553333333333333</v>
      </c>
      <c r="D41" s="16" t="n">
        <f aca="false">SUMIF(Scoring!$AF$3:$AF$152,"&gt;="&amp;$B$5,Scoring!$V$3:$V$152)/$B$7</f>
        <v>0.933333333333333</v>
      </c>
      <c r="E41" s="16" t="n">
        <f aca="false">SUMIF(Scoring!$AF$3:$AF$152,"&lt;="&amp;$B$6,Scoring!$V$3:$V$152)/$B$8</f>
        <v>0.288888888888889</v>
      </c>
      <c r="F41" s="16" t="n">
        <f aca="false">D41-E41</f>
        <v>0.644444444444445</v>
      </c>
      <c r="G41" s="17" t="n">
        <f aca="false">VARP(Scoring!$V$3:$V$152)</f>
        <v>0.247155555555555</v>
      </c>
      <c r="H41" s="16" t="n">
        <f aca="false">IF(G41=0,0,CORREL(Scoring!$V$3:$V$152,Scoring!$AF$3:$AF$152))</f>
        <v>0.545363027200786</v>
      </c>
      <c r="I41" s="16" t="n">
        <f aca="false">IF(G41=0,0,(H41*$B$11-SQRT(G41))/SQRT(G41+$B$10-2*H41*SQRT(G41)*$B$11))</f>
        <v>0.487244610895265</v>
      </c>
      <c r="J41" s="16" t="n">
        <f aca="false">($B$9-1)/($B$9-2)*(1-($B$12-G41)/($B$10+G41-2*H41*SQRT(G41)*$B$11))</f>
        <v>0.86353909653371</v>
      </c>
      <c r="K41" s="18" t="n">
        <f aca="false">COUNTIF(Responses!$V$3:$V$152,"A")/$B$2</f>
        <v>0.18</v>
      </c>
      <c r="L41" s="18" t="n">
        <f aca="false">COUNTIF(Responses!$V$3:$V$152,"B")/$B$2</f>
        <v>0.12</v>
      </c>
      <c r="M41" s="18" t="n">
        <f aca="false">COUNTIF(Responses!$V$3:$V$152,"C")/$B$2</f>
        <v>0.553333333333333</v>
      </c>
      <c r="N41" s="18" t="n">
        <f aca="false">COUNTIF(Responses!$V$3:$V$152,"D")/$B$2</f>
        <v>0.146666666666667</v>
      </c>
      <c r="O41" s="18" t="n">
        <f aca="false">MIN(IF(B41="A",1,K41),IF(B41="B",1,L41),IF(B41="C",1,M41),IF(B41="D",1,N41))</f>
        <v>0.12</v>
      </c>
      <c r="P41" s="19" t="str">
        <f aca="false">IF(I41&lt;-0.1,"Discrimination negative: review the key immediately",IF(OR(C41&gt;$B$14,C41&lt;$B$13),"Extreme difficulty: review the wording or level",IF(I41&lt;$B$15,"Discrimination weak: review the wording and distractors",IF(O41&lt;$B$17,"Ineffective distractor: replace it",IF(I41&lt;$B$16,"Acceptable and can be improved","Good")))))</f>
        <v>Good</v>
      </c>
    </row>
    <row r="42" customFormat="false" ht="15" hidden="false" customHeight="false" outlineLevel="0" collapsed="false">
      <c r="A42" s="15" t="s">
        <v>35</v>
      </c>
      <c r="B42" s="15" t="str">
        <f aca="false">Responses!W2</f>
        <v>C</v>
      </c>
      <c r="C42" s="16" t="n">
        <f aca="false">AVERAGE(Scoring!$W$3:$W$152)</f>
        <v>0.493333333333333</v>
      </c>
      <c r="D42" s="16" t="n">
        <f aca="false">SUMIF(Scoring!$AF$3:$AF$152,"&gt;="&amp;$B$5,Scoring!$W$3:$W$152)/$B$7</f>
        <v>0.911111111111111</v>
      </c>
      <c r="E42" s="16" t="n">
        <f aca="false">SUMIF(Scoring!$AF$3:$AF$152,"&lt;="&amp;$B$6,Scoring!$W$3:$W$152)/$B$8</f>
        <v>0.133333333333333</v>
      </c>
      <c r="F42" s="16" t="n">
        <f aca="false">D42-E42</f>
        <v>0.777777777777778</v>
      </c>
      <c r="G42" s="17" t="n">
        <f aca="false">VARP(Scoring!$W$3:$W$152)</f>
        <v>0.249955555555556</v>
      </c>
      <c r="H42" s="16" t="n">
        <f aca="false">IF(G42=0,0,CORREL(Scoring!$W$3:$W$152,Scoring!$AF$3:$AF$152))</f>
        <v>0.65523268083497</v>
      </c>
      <c r="I42" s="16" t="n">
        <f aca="false">IF(G42=0,0,(H42*$B$11-SQRT(G42))/SQRT(G42+$B$10-2*H42*SQRT(G42)*$B$11))</f>
        <v>0.607072240558488</v>
      </c>
      <c r="J42" s="16" t="n">
        <f aca="false">($B$9-1)/($B$9-2)*(1-($B$12-G42)/($B$10+G42-2*H42*SQRT(G42)*$B$11))</f>
        <v>0.860268774890694</v>
      </c>
      <c r="K42" s="18" t="n">
        <f aca="false">COUNTIF(Responses!$W$3:$W$152,"A")/$B$2</f>
        <v>0.193333333333333</v>
      </c>
      <c r="L42" s="18" t="n">
        <f aca="false">COUNTIF(Responses!$W$3:$W$152,"B")/$B$2</f>
        <v>0.12</v>
      </c>
      <c r="M42" s="18" t="n">
        <f aca="false">COUNTIF(Responses!$W$3:$W$152,"C")/$B$2</f>
        <v>0.493333333333333</v>
      </c>
      <c r="N42" s="18" t="n">
        <f aca="false">COUNTIF(Responses!$W$3:$W$152,"D")/$B$2</f>
        <v>0.193333333333333</v>
      </c>
      <c r="O42" s="18" t="n">
        <f aca="false">MIN(IF(B42="A",1,K42),IF(B42="B",1,L42),IF(B42="C",1,M42),IF(B42="D",1,N42))</f>
        <v>0.12</v>
      </c>
      <c r="P42" s="19" t="str">
        <f aca="false">IF(I42&lt;-0.1,"Discrimination negative: review the key immediately",IF(OR(C42&gt;$B$14,C42&lt;$B$13),"Extreme difficulty: review the wording or level",IF(I42&lt;$B$15,"Discrimination weak: review the wording and distractors",IF(O42&lt;$B$17,"Ineffective distractor: replace it",IF(I42&lt;$B$16,"Acceptable and can be improved","Good")))))</f>
        <v>Good</v>
      </c>
    </row>
    <row r="43" customFormat="false" ht="15" hidden="false" customHeight="false" outlineLevel="0" collapsed="false">
      <c r="A43" s="15" t="s">
        <v>36</v>
      </c>
      <c r="B43" s="15" t="str">
        <f aca="false">Responses!X2</f>
        <v>C</v>
      </c>
      <c r="C43" s="16" t="n">
        <f aca="false">AVERAGE(Scoring!$X$3:$X$152)</f>
        <v>0.58</v>
      </c>
      <c r="D43" s="16" t="n">
        <f aca="false">SUMIF(Scoring!$AF$3:$AF$152,"&gt;="&amp;$B$5,Scoring!$X$3:$X$152)/$B$7</f>
        <v>0.933333333333333</v>
      </c>
      <c r="E43" s="16" t="n">
        <f aca="false">SUMIF(Scoring!$AF$3:$AF$152,"&lt;="&amp;$B$6,Scoring!$X$3:$X$152)/$B$8</f>
        <v>0.288888888888889</v>
      </c>
      <c r="F43" s="16" t="n">
        <f aca="false">D43-E43</f>
        <v>0.644444444444445</v>
      </c>
      <c r="G43" s="17" t="n">
        <f aca="false">VARP(Scoring!$X$3:$X$152)</f>
        <v>0.2436</v>
      </c>
      <c r="H43" s="16" t="n">
        <f aca="false">IF(G43=0,0,CORREL(Scoring!$X$3:$X$152,Scoring!$AF$3:$AF$152))</f>
        <v>0.547499415654117</v>
      </c>
      <c r="I43" s="16" t="n">
        <f aca="false">IF(G43=0,0,(H43*$B$11-SQRT(G43))/SQRT(G43+$B$10-2*H43*SQRT(G43)*$B$11))</f>
        <v>0.490002690097469</v>
      </c>
      <c r="J43" s="16" t="n">
        <f aca="false">($B$9-1)/($B$9-2)*(1-($B$12-G43)/($B$10+G43-2*H43*SQRT(G43)*$B$11))</f>
        <v>0.863478017882189</v>
      </c>
      <c r="K43" s="18" t="n">
        <f aca="false">COUNTIF(Responses!$X$3:$X$152,"A")/$B$2</f>
        <v>0.16</v>
      </c>
      <c r="L43" s="18" t="n">
        <f aca="false">COUNTIF(Responses!$X$3:$X$152,"B")/$B$2</f>
        <v>0.26</v>
      </c>
      <c r="M43" s="18" t="n">
        <f aca="false">COUNTIF(Responses!$X$3:$X$152,"C")/$B$2</f>
        <v>0.58</v>
      </c>
      <c r="N43" s="18" t="n">
        <f aca="false">COUNTIF(Responses!$X$3:$X$152,"D")/$B$2</f>
        <v>0</v>
      </c>
      <c r="O43" s="18" t="n">
        <f aca="false">MIN(IF(B43="A",1,K43),IF(B43="B",1,L43),IF(B43="C",1,M43),IF(B43="D",1,N43))</f>
        <v>0</v>
      </c>
      <c r="P43" s="19" t="str">
        <f aca="false">IF(I43&lt;-0.1,"Discrimination negative: review the key immediately",IF(OR(C43&gt;$B$14,C43&lt;$B$13),"Extreme difficulty: review the wording or level",IF(I43&lt;$B$15,"Discrimination weak: review the wording and distractors",IF(O43&lt;$B$17,"Ineffective distractor: replace it",IF(I43&lt;$B$16,"Acceptable and can be improved","Good")))))</f>
        <v>Ineffective distractor: replace it</v>
      </c>
    </row>
    <row r="44" customFormat="false" ht="15" hidden="false" customHeight="false" outlineLevel="0" collapsed="false">
      <c r="A44" s="15" t="s">
        <v>37</v>
      </c>
      <c r="B44" s="15" t="str">
        <f aca="false">Responses!Y2</f>
        <v>B</v>
      </c>
      <c r="C44" s="16" t="n">
        <f aca="false">AVERAGE(Scoring!$Y$3:$Y$152)</f>
        <v>0.486666666666667</v>
      </c>
      <c r="D44" s="16" t="n">
        <f aca="false">SUMIF(Scoring!$AF$3:$AF$152,"&gt;="&amp;$B$5,Scoring!$Y$3:$Y$152)/$B$7</f>
        <v>0.955555555555556</v>
      </c>
      <c r="E44" s="16" t="n">
        <f aca="false">SUMIF(Scoring!$AF$3:$AF$152,"&lt;="&amp;$B$6,Scoring!$Y$3:$Y$152)/$B$8</f>
        <v>0.222222222222222</v>
      </c>
      <c r="F44" s="16" t="n">
        <f aca="false">D44-E44</f>
        <v>0.733333333333333</v>
      </c>
      <c r="G44" s="17" t="n">
        <f aca="false">VARP(Scoring!$Y$3:$Y$152)</f>
        <v>0.249822222222222</v>
      </c>
      <c r="H44" s="16" t="n">
        <f aca="false">IF(G44=0,0,CORREL(Scoring!$Y$3:$Y$152,Scoring!$AF$3:$AF$152))</f>
        <v>0.585517754828041</v>
      </c>
      <c r="I44" s="16" t="n">
        <f aca="false">IF(G44=0,0,(H44*$B$11-SQRT(G44))/SQRT(G44+$B$10-2*H44*SQRT(G44)*$B$11))</f>
        <v>0.530565806217521</v>
      </c>
      <c r="J44" s="16" t="n">
        <f aca="false">($B$9-1)/($B$9-2)*(1-($B$12-G44)/($B$10+G44-2*H44*SQRT(G44)*$B$11))</f>
        <v>0.86235855025698</v>
      </c>
      <c r="K44" s="18" t="n">
        <f aca="false">COUNTIF(Responses!$Y$3:$Y$152,"A")/$B$2</f>
        <v>0.2</v>
      </c>
      <c r="L44" s="18" t="n">
        <f aca="false">COUNTIF(Responses!$Y$3:$Y$152,"B")/$B$2</f>
        <v>0.486666666666667</v>
      </c>
      <c r="M44" s="18" t="n">
        <f aca="false">COUNTIF(Responses!$Y$3:$Y$152,"C")/$B$2</f>
        <v>0.206666666666667</v>
      </c>
      <c r="N44" s="18" t="n">
        <f aca="false">COUNTIF(Responses!$Y$3:$Y$152,"D")/$B$2</f>
        <v>0.106666666666667</v>
      </c>
      <c r="O44" s="18" t="n">
        <f aca="false">MIN(IF(B44="A",1,K44),IF(B44="B",1,L44),IF(B44="C",1,M44),IF(B44="D",1,N44))</f>
        <v>0.106666666666667</v>
      </c>
      <c r="P44" s="19" t="str">
        <f aca="false">IF(I44&lt;-0.1,"Discrimination negative: review the key immediately",IF(OR(C44&gt;$B$14,C44&lt;$B$13),"Extreme difficulty: review the wording or level",IF(I44&lt;$B$15,"Discrimination weak: review the wording and distractors",IF(O44&lt;$B$17,"Ineffective distractor: replace it",IF(I44&lt;$B$16,"Acceptable and can be improved","Good")))))</f>
        <v>Good</v>
      </c>
    </row>
    <row r="45" customFormat="false" ht="15" hidden="false" customHeight="false" outlineLevel="0" collapsed="false">
      <c r="A45" s="15" t="s">
        <v>38</v>
      </c>
      <c r="B45" s="15" t="str">
        <f aca="false">Responses!Z2</f>
        <v>C</v>
      </c>
      <c r="C45" s="16" t="n">
        <f aca="false">AVERAGE(Scoring!$Z$3:$Z$152)</f>
        <v>0.553333333333333</v>
      </c>
      <c r="D45" s="16" t="n">
        <f aca="false">SUMIF(Scoring!$AF$3:$AF$152,"&gt;="&amp;$B$5,Scoring!$Z$3:$Z$152)/$B$7</f>
        <v>0.888888888888889</v>
      </c>
      <c r="E45" s="16" t="n">
        <f aca="false">SUMIF(Scoring!$AF$3:$AF$152,"&lt;="&amp;$B$6,Scoring!$Z$3:$Z$152)/$B$8</f>
        <v>0.2</v>
      </c>
      <c r="F45" s="16" t="n">
        <f aca="false">D45-E45</f>
        <v>0.688888888888889</v>
      </c>
      <c r="G45" s="17" t="n">
        <f aca="false">VARP(Scoring!$Z$3:$Z$152)</f>
        <v>0.247155555555555</v>
      </c>
      <c r="H45" s="16" t="n">
        <f aca="false">IF(G45=0,0,CORREL(Scoring!$Z$3:$Z$152,Scoring!$AF$3:$AF$152))</f>
        <v>0.568412437930328</v>
      </c>
      <c r="I45" s="16" t="n">
        <f aca="false">IF(G45=0,0,(H45*$B$11-SQRT(G45))/SQRT(G45+$B$10-2*H45*SQRT(G45)*$B$11))</f>
        <v>0.512254819252291</v>
      </c>
      <c r="J45" s="16" t="n">
        <f aca="false">($B$9-1)/($B$9-2)*(1-($B$12-G45)/($B$10+G45-2*H45*SQRT(G45)*$B$11))</f>
        <v>0.862867237849057</v>
      </c>
      <c r="K45" s="18" t="n">
        <f aca="false">COUNTIF(Responses!$Z$3:$Z$152,"A")/$B$2</f>
        <v>0.0933333333333333</v>
      </c>
      <c r="L45" s="18" t="n">
        <f aca="false">COUNTIF(Responses!$Z$3:$Z$152,"B")/$B$2</f>
        <v>0.186666666666667</v>
      </c>
      <c r="M45" s="18" t="n">
        <f aca="false">COUNTIF(Responses!$Z$3:$Z$152,"C")/$B$2</f>
        <v>0.553333333333333</v>
      </c>
      <c r="N45" s="18" t="n">
        <f aca="false">COUNTIF(Responses!$Z$3:$Z$152,"D")/$B$2</f>
        <v>0.166666666666667</v>
      </c>
      <c r="O45" s="18" t="n">
        <f aca="false">MIN(IF(B45="A",1,K45),IF(B45="B",1,L45),IF(B45="C",1,M45),IF(B45="D",1,N45))</f>
        <v>0.0933333333333333</v>
      </c>
      <c r="P45" s="19" t="str">
        <f aca="false">IF(I45&lt;-0.1,"Discrimination negative: review the key immediately",IF(OR(C45&gt;$B$14,C45&lt;$B$13),"Extreme difficulty: review the wording or level",IF(I45&lt;$B$15,"Discrimination weak: review the wording and distractors",IF(O45&lt;$B$17,"Ineffective distractor: replace it",IF(I45&lt;$B$16,"Acceptable and can be improved","Good")))))</f>
        <v>Good</v>
      </c>
    </row>
    <row r="46" customFormat="false" ht="15" hidden="false" customHeight="false" outlineLevel="0" collapsed="false">
      <c r="A46" s="15" t="s">
        <v>39</v>
      </c>
      <c r="B46" s="15" t="str">
        <f aca="false">Responses!AA2</f>
        <v>B</v>
      </c>
      <c r="C46" s="16" t="n">
        <f aca="false">AVERAGE(Scoring!$AA$3:$AA$152)</f>
        <v>0.413333333333333</v>
      </c>
      <c r="D46" s="16" t="n">
        <f aca="false">SUMIF(Scoring!$AF$3:$AF$152,"&gt;="&amp;$B$5,Scoring!$AA$3:$AA$152)/$B$7</f>
        <v>0.8</v>
      </c>
      <c r="E46" s="16" t="n">
        <f aca="false">SUMIF(Scoring!$AF$3:$AF$152,"&lt;="&amp;$B$6,Scoring!$AA$3:$AA$152)/$B$8</f>
        <v>0.111111111111111</v>
      </c>
      <c r="F46" s="16" t="n">
        <f aca="false">D46-E46</f>
        <v>0.688888888888889</v>
      </c>
      <c r="G46" s="17" t="n">
        <f aca="false">VARP(Scoring!$AA$3:$AA$152)</f>
        <v>0.242488888888889</v>
      </c>
      <c r="H46" s="16" t="n">
        <f aca="false">IF(G46=0,0,CORREL(Scoring!$AA$3:$AA$152,Scoring!$AF$3:$AF$152))</f>
        <v>0.541700774550612</v>
      </c>
      <c r="I46" s="16" t="n">
        <f aca="false">IF(G46=0,0,(H46*$B$11-SQRT(G46))/SQRT(G46+$B$10-2*H46*SQRT(G46)*$B$11))</f>
        <v>0.483867834399532</v>
      </c>
      <c r="J46" s="16" t="n">
        <f aca="false">($B$9-1)/($B$9-2)*(1-($B$12-G46)/($B$10+G46-2*H46*SQRT(G46)*$B$11))</f>
        <v>0.863645094095869</v>
      </c>
      <c r="K46" s="18" t="n">
        <f aca="false">COUNTIF(Responses!$AA$3:$AA$152,"A")/$B$2</f>
        <v>0.266666666666667</v>
      </c>
      <c r="L46" s="18" t="n">
        <f aca="false">COUNTIF(Responses!$AA$3:$AA$152,"B")/$B$2</f>
        <v>0.413333333333333</v>
      </c>
      <c r="M46" s="18" t="n">
        <f aca="false">COUNTIF(Responses!$AA$3:$AA$152,"C")/$B$2</f>
        <v>0.2</v>
      </c>
      <c r="N46" s="18" t="n">
        <f aca="false">COUNTIF(Responses!$AA$3:$AA$152,"D")/$B$2</f>
        <v>0.12</v>
      </c>
      <c r="O46" s="18" t="n">
        <f aca="false">MIN(IF(B46="A",1,K46),IF(B46="B",1,L46),IF(B46="C",1,M46),IF(B46="D",1,N46))</f>
        <v>0.12</v>
      </c>
      <c r="P46" s="19" t="str">
        <f aca="false">IF(I46&lt;-0.1,"Discrimination negative: review the key immediately",IF(OR(C46&gt;$B$14,C46&lt;$B$13),"Extreme difficulty: review the wording or level",IF(I46&lt;$B$15,"Discrimination weak: review the wording and distractors",IF(O46&lt;$B$17,"Ineffective distractor: replace it",IF(I46&lt;$B$16,"Acceptable and can be improved","Good")))))</f>
        <v>Good</v>
      </c>
    </row>
    <row r="47" customFormat="false" ht="15" hidden="false" customHeight="false" outlineLevel="0" collapsed="false">
      <c r="A47" s="15" t="s">
        <v>40</v>
      </c>
      <c r="B47" s="15" t="str">
        <f aca="false">Responses!AB2</f>
        <v>B</v>
      </c>
      <c r="C47" s="16" t="n">
        <f aca="false">AVERAGE(Scoring!$AB$3:$AB$152)</f>
        <v>0.493333333333333</v>
      </c>
      <c r="D47" s="16" t="n">
        <f aca="false">SUMIF(Scoring!$AF$3:$AF$152,"&gt;="&amp;$B$5,Scoring!$AB$3:$AB$152)/$B$7</f>
        <v>0.466666666666667</v>
      </c>
      <c r="E47" s="16" t="n">
        <f aca="false">SUMIF(Scoring!$AF$3:$AF$152,"&lt;="&amp;$B$6,Scoring!$AB$3:$AB$152)/$B$8</f>
        <v>0.466666666666667</v>
      </c>
      <c r="F47" s="16" t="n">
        <f aca="false">D47-E47</f>
        <v>0</v>
      </c>
      <c r="G47" s="17" t="n">
        <f aca="false">VARP(Scoring!$AB$3:$AB$152)</f>
        <v>0.249955555555556</v>
      </c>
      <c r="H47" s="16" t="n">
        <f aca="false">IF(G47=0,0,CORREL(Scoring!$AB$3:$AB$152,Scoring!$AF$3:$AF$152))</f>
        <v>0.019725045723673</v>
      </c>
      <c r="I47" s="16" t="n">
        <f aca="false">IF(G47=0,0,(H47*$B$11-SQRT(G47))/SQRT(G47+$B$10-2*H47*SQRT(G47)*$B$11))</f>
        <v>-0.0583092336744131</v>
      </c>
      <c r="J47" s="16" t="n">
        <f aca="false">($B$9-1)/($B$9-2)*(1-($B$12-G47)/($B$10+G47-2*H47*SQRT(G47)*$B$11))</f>
        <v>0.877637099172363</v>
      </c>
      <c r="K47" s="18" t="n">
        <f aca="false">COUNTIF(Responses!$AB$3:$AB$152,"A")/$B$2</f>
        <v>0.113333333333333</v>
      </c>
      <c r="L47" s="18" t="n">
        <f aca="false">COUNTIF(Responses!$AB$3:$AB$152,"B")/$B$2</f>
        <v>0.493333333333333</v>
      </c>
      <c r="M47" s="18" t="n">
        <f aca="false">COUNTIF(Responses!$AB$3:$AB$152,"C")/$B$2</f>
        <v>0.246666666666667</v>
      </c>
      <c r="N47" s="18" t="n">
        <f aca="false">COUNTIF(Responses!$AB$3:$AB$152,"D")/$B$2</f>
        <v>0.146666666666667</v>
      </c>
      <c r="O47" s="18" t="n">
        <f aca="false">MIN(IF(B47="A",1,K47),IF(B47="B",1,L47),IF(B47="C",1,M47),IF(B47="D",1,N47))</f>
        <v>0.113333333333333</v>
      </c>
      <c r="P47" s="19" t="str">
        <f aca="false">IF(I47&lt;-0.1,"Discrimination negative: review the key immediately",IF(OR(C47&gt;$B$14,C47&lt;$B$13),"Extreme difficulty: review the wording or level",IF(I47&lt;$B$15,"Discrimination weak: review the wording and distractors",IF(O47&lt;$B$17,"Ineffective distractor: replace it",IF(I47&lt;$B$16,"Acceptable and can be improved","Good")))))</f>
        <v>Discrimination weak: review the wording and distractors</v>
      </c>
    </row>
    <row r="48" customFormat="false" ht="15" hidden="false" customHeight="false" outlineLevel="0" collapsed="false">
      <c r="A48" s="15" t="s">
        <v>41</v>
      </c>
      <c r="B48" s="15" t="str">
        <f aca="false">Responses!AC2</f>
        <v>B</v>
      </c>
      <c r="C48" s="16" t="n">
        <f aca="false">AVERAGE(Scoring!$AC$3:$AC$152)</f>
        <v>0.513333333333333</v>
      </c>
      <c r="D48" s="16" t="n">
        <f aca="false">SUMIF(Scoring!$AF$3:$AF$152,"&gt;="&amp;$B$5,Scoring!$AC$3:$AC$152)/$B$7</f>
        <v>0.844444444444444</v>
      </c>
      <c r="E48" s="16" t="n">
        <f aca="false">SUMIF(Scoring!$AF$3:$AF$152,"&lt;="&amp;$B$6,Scoring!$AC$3:$AC$152)/$B$8</f>
        <v>0.222222222222222</v>
      </c>
      <c r="F48" s="16" t="n">
        <f aca="false">D48-E48</f>
        <v>0.622222222222222</v>
      </c>
      <c r="G48" s="17" t="n">
        <f aca="false">VARP(Scoring!$AC$3:$AC$152)</f>
        <v>0.249822222222222</v>
      </c>
      <c r="H48" s="16" t="n">
        <f aca="false">IF(G48=0,0,CORREL(Scoring!$AC$3:$AC$152,Scoring!$AF$3:$AF$152))</f>
        <v>0.550364458204525</v>
      </c>
      <c r="I48" s="16" t="n">
        <f aca="false">IF(G48=0,0,(H48*$B$11-SQRT(G48))/SQRT(G48+$B$10-2*H48*SQRT(G48)*$B$11))</f>
        <v>0.492333084271589</v>
      </c>
      <c r="J48" s="16" t="n">
        <f aca="false">($B$9-1)/($B$9-2)*(1-($B$12-G48)/($B$10+G48-2*H48*SQRT(G48)*$B$11))</f>
        <v>0.863393081436226</v>
      </c>
      <c r="K48" s="18" t="n">
        <f aca="false">COUNTIF(Responses!$AC$3:$AC$152,"A")/$B$2</f>
        <v>0.133333333333333</v>
      </c>
      <c r="L48" s="18" t="n">
        <f aca="false">COUNTIF(Responses!$AC$3:$AC$152,"B")/$B$2</f>
        <v>0.513333333333333</v>
      </c>
      <c r="M48" s="18" t="n">
        <f aca="false">COUNTIF(Responses!$AC$3:$AC$152,"C")/$B$2</f>
        <v>0.193333333333333</v>
      </c>
      <c r="N48" s="18" t="n">
        <f aca="false">COUNTIF(Responses!$AC$3:$AC$152,"D")/$B$2</f>
        <v>0.16</v>
      </c>
      <c r="O48" s="18" t="n">
        <f aca="false">MIN(IF(B48="A",1,K48),IF(B48="B",1,L48),IF(B48="C",1,M48),IF(B48="D",1,N48))</f>
        <v>0.133333333333333</v>
      </c>
      <c r="P48" s="19" t="str">
        <f aca="false">IF(I48&lt;-0.1,"Discrimination negative: review the key immediately",IF(OR(C48&gt;$B$14,C48&lt;$B$13),"Extreme difficulty: review the wording or level",IF(I48&lt;$B$15,"Discrimination weak: review the wording and distractors",IF(O48&lt;$B$17,"Ineffective distractor: replace it",IF(I48&lt;$B$16,"Acceptable and can be improved","Good")))))</f>
        <v>Good</v>
      </c>
    </row>
    <row r="49" customFormat="false" ht="15" hidden="false" customHeight="false" outlineLevel="0" collapsed="false">
      <c r="A49" s="15" t="s">
        <v>42</v>
      </c>
      <c r="B49" s="15" t="str">
        <f aca="false">Responses!AD2</f>
        <v>C</v>
      </c>
      <c r="C49" s="16" t="n">
        <f aca="false">AVERAGE(Scoring!$AD$3:$AD$152)</f>
        <v>0.54</v>
      </c>
      <c r="D49" s="16" t="n">
        <f aca="false">SUMIF(Scoring!$AF$3:$AF$152,"&gt;="&amp;$B$5,Scoring!$AD$3:$AD$152)/$B$7</f>
        <v>0.866666666666667</v>
      </c>
      <c r="E49" s="16" t="n">
        <f aca="false">SUMIF(Scoring!$AF$3:$AF$152,"&lt;="&amp;$B$6,Scoring!$AD$3:$AD$152)/$B$8</f>
        <v>0.288888888888889</v>
      </c>
      <c r="F49" s="16" t="n">
        <f aca="false">D49-E49</f>
        <v>0.577777777777778</v>
      </c>
      <c r="G49" s="17" t="n">
        <f aca="false">VARP(Scoring!$AD$3:$AD$152)</f>
        <v>0.2484</v>
      </c>
      <c r="H49" s="16" t="n">
        <f aca="false">IF(G49=0,0,CORREL(Scoring!$AD$3:$AD$152,Scoring!$AF$3:$AF$152))</f>
        <v>0.5083234031977</v>
      </c>
      <c r="I49" s="16" t="n">
        <f aca="false">IF(G49=0,0,(H49*$B$11-SQRT(G49))/SQRT(G49+$B$10-2*H49*SQRT(G49)*$B$11))</f>
        <v>0.447098465027195</v>
      </c>
      <c r="J49" s="16" t="n">
        <f aca="false">($B$9-1)/($B$9-2)*(1-($B$12-G49)/($B$10+G49-2*H49*SQRT(G49)*$B$11))</f>
        <v>0.864610782278957</v>
      </c>
      <c r="K49" s="18" t="n">
        <f aca="false">COUNTIF(Responses!$AD$3:$AD$152,"A")/$B$2</f>
        <v>0.18</v>
      </c>
      <c r="L49" s="18" t="n">
        <f aca="false">COUNTIF(Responses!$AD$3:$AD$152,"B")/$B$2</f>
        <v>0.153333333333333</v>
      </c>
      <c r="M49" s="18" t="n">
        <f aca="false">COUNTIF(Responses!$AD$3:$AD$152,"C")/$B$2</f>
        <v>0.54</v>
      </c>
      <c r="N49" s="18" t="n">
        <f aca="false">COUNTIF(Responses!$AD$3:$AD$152,"D")/$B$2</f>
        <v>0.126666666666667</v>
      </c>
      <c r="O49" s="18" t="n">
        <f aca="false">MIN(IF(B49="A",1,K49),IF(B49="B",1,L49),IF(B49="C",1,M49),IF(B49="D",1,N49))</f>
        <v>0.126666666666667</v>
      </c>
      <c r="P49" s="19" t="str">
        <f aca="false">IF(I49&lt;-0.1,"Discrimination negative: review the key immediately",IF(OR(C49&gt;$B$14,C49&lt;$B$13),"Extreme difficulty: review the wording or level",IF(I49&lt;$B$15,"Discrimination weak: review the wording and distractors",IF(O49&lt;$B$17,"Ineffective distractor: replace it",IF(I49&lt;$B$16,"Acceptable and can be improved","Good")))))</f>
        <v>Good</v>
      </c>
    </row>
    <row r="50" customFormat="false" ht="15" hidden="false" customHeight="false" outlineLevel="0" collapsed="false">
      <c r="A50" s="15" t="s">
        <v>43</v>
      </c>
      <c r="B50" s="15" t="str">
        <f aca="false">Responses!AE2</f>
        <v>C</v>
      </c>
      <c r="C50" s="16" t="n">
        <f aca="false">AVERAGE(Scoring!$AE$3:$AE$152)</f>
        <v>0.586666666666667</v>
      </c>
      <c r="D50" s="16" t="n">
        <f aca="false">SUMIF(Scoring!$AF$3:$AF$152,"&gt;="&amp;$B$5,Scoring!$AE$3:$AE$152)/$B$7</f>
        <v>1</v>
      </c>
      <c r="E50" s="16" t="n">
        <f aca="false">SUMIF(Scoring!$AF$3:$AF$152,"&lt;="&amp;$B$6,Scoring!$AE$3:$AE$152)/$B$8</f>
        <v>0.244444444444444</v>
      </c>
      <c r="F50" s="16" t="n">
        <f aca="false">D50-E50</f>
        <v>0.755555555555556</v>
      </c>
      <c r="G50" s="17" t="n">
        <f aca="false">VARP(Scoring!$AE$3:$AE$152)</f>
        <v>0.242488888888889</v>
      </c>
      <c r="H50" s="16" t="n">
        <f aca="false">IF(G50=0,0,CORREL(Scoring!$AE$3:$AE$152,Scoring!$AF$3:$AF$152))</f>
        <v>0.632383825328025</v>
      </c>
      <c r="I50" s="16" t="n">
        <f aca="false">IF(G50=0,0,(H50*$B$11-SQRT(G50))/SQRT(G50+$B$10-2*H50*SQRT(G50)*$B$11))</f>
        <v>0.582704431100356</v>
      </c>
      <c r="J50" s="16" t="n">
        <f aca="false">($B$9-1)/($B$9-2)*(1-($B$12-G50)/($B$10+G50-2*H50*SQRT(G50)*$B$11))</f>
        <v>0.861002226267085</v>
      </c>
      <c r="K50" s="18" t="n">
        <f aca="false">COUNTIF(Responses!$AE$3:$AE$152,"A")/$B$2</f>
        <v>0.146666666666667</v>
      </c>
      <c r="L50" s="18" t="n">
        <f aca="false">COUNTIF(Responses!$AE$3:$AE$152,"B")/$B$2</f>
        <v>0.113333333333333</v>
      </c>
      <c r="M50" s="18" t="n">
        <f aca="false">COUNTIF(Responses!$AE$3:$AE$152,"C")/$B$2</f>
        <v>0.586666666666667</v>
      </c>
      <c r="N50" s="18" t="n">
        <f aca="false">COUNTIF(Responses!$AE$3:$AE$152,"D")/$B$2</f>
        <v>0.153333333333333</v>
      </c>
      <c r="O50" s="18" t="n">
        <f aca="false">MIN(IF(B50="A",1,K50),IF(B50="B",1,L50),IF(B50="C",1,M50),IF(B50="D",1,N50))</f>
        <v>0.113333333333333</v>
      </c>
      <c r="P50" s="19" t="str">
        <f aca="false">IF(I50&lt;-0.1,"Discrimination negative: review the key immediately",IF(OR(C50&gt;$B$14,C50&lt;$B$13),"Extreme difficulty: review the wording or level",IF(I50&lt;$B$15,"Discrimination weak: review the wording and distractors",IF(O50&lt;$B$17,"Ineffective distractor: replace it",IF(I50&lt;$B$16,"Acceptable and can be improved","Good")))))</f>
        <v>Good</v>
      </c>
    </row>
  </sheetData>
  <conditionalFormatting sqref="P21:P50">
    <cfRule type="expression" priority="2" aboveAverage="0" equalAverage="0" bottom="0" percent="0" rank="0" text="" dxfId="0">
      <formula>LEFT(P21,14)="Discrimination"</formula>
    </cfRule>
    <cfRule type="expression" priority="3" aboveAverage="0" equalAverage="0" bottom="0" percent="0" rank="0" text="" dxfId="1">
      <formula>P21="Good"</formula>
    </cfRule>
    <cfRule type="expression" priority="4" aboveAverage="0" equalAverage="0" bottom="0" percent="0" rank="0" text="" dxfId="2">
      <formula>P21&lt;&gt;"Good"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8.35" hidden="false" customHeight="false" outlineLevel="0" collapsed="false">
      <c r="A1" s="4" t="s">
        <v>219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  <c r="H1" s="4" t="s">
        <v>241</v>
      </c>
    </row>
    <row r="2" customFormat="false" ht="15" hidden="false" customHeight="false" outlineLevel="0" collapsed="false">
      <c r="A2" s="15" t="s">
        <v>14</v>
      </c>
      <c r="B2" s="15" t="s">
        <v>48</v>
      </c>
      <c r="C2" s="15" t="str">
        <f aca="false">IF(Responses!$B$2=B2,"Yes","")</f>
        <v/>
      </c>
      <c r="D2" s="18" t="n">
        <f aca="false">COUNTIF(Responses!$B$3:$B$152,B2)/'Item Analysis'!$B$2</f>
        <v>0.16</v>
      </c>
      <c r="E2" s="15" t="n">
        <f aca="false">COUNTIFS(Responses!$B$3:$B$152,B2,Scoring!$AF$3:$AF$152,"&gt;="&amp;'Item Analysis'!$B$5)</f>
        <v>3</v>
      </c>
      <c r="F2" s="15" t="n">
        <f aca="false">COUNTIFS(Responses!$B$3:$B$152,B2,Scoring!$AF$3:$AF$152,"&lt;="&amp;'Item Analysis'!$B$6)</f>
        <v>10</v>
      </c>
      <c r="G2" s="15" t="n">
        <f aca="false">E2-F2</f>
        <v>-7</v>
      </c>
      <c r="H2" s="15" t="str">
        <f aca="false">IF(C2="Yes",IF(G2&gt;0,"Key discriminates as it should","Key does not discriminate: review"),IF(D2&lt;'Item Analysis'!$B$17,"Ineffective distractor",IF(G2&gt;0,"Distractor attracts high achievers: review it","Distractor works")))</f>
        <v>Distractor works</v>
      </c>
    </row>
    <row r="3" customFormat="false" ht="15" hidden="false" customHeight="false" outlineLevel="0" collapsed="false">
      <c r="A3" s="15" t="s">
        <v>14</v>
      </c>
      <c r="B3" s="15" t="s">
        <v>47</v>
      </c>
      <c r="C3" s="15" t="str">
        <f aca="false">IF(Responses!$B$2=B3,"Yes","")</f>
        <v/>
      </c>
      <c r="D3" s="18" t="n">
        <f aca="false">COUNTIF(Responses!$B$3:$B$152,B3)/'Item Analysis'!$B$2</f>
        <v>0.22</v>
      </c>
      <c r="E3" s="15" t="n">
        <f aca="false">COUNTIFS(Responses!$B$3:$B$152,B3,Scoring!$AF$3:$AF$152,"&gt;="&amp;'Item Analysis'!$B$5)</f>
        <v>4</v>
      </c>
      <c r="F3" s="15" t="n">
        <f aca="false">COUNTIFS(Responses!$B$3:$B$152,B3,Scoring!$AF$3:$AF$152,"&lt;="&amp;'Item Analysis'!$B$6)</f>
        <v>18</v>
      </c>
      <c r="G3" s="15" t="n">
        <f aca="false">E3-F3</f>
        <v>-14</v>
      </c>
      <c r="H3" s="15" t="str">
        <f aca="false">IF(C3="Yes",IF(G3&gt;0,"Key discriminates as it should","Key does not discriminate: review"),IF(D3&lt;'Item Analysis'!$B$17,"Ineffective distractor",IF(G3&gt;0,"Distractor attracts high achievers: review it","Distractor works")))</f>
        <v>Distractor works</v>
      </c>
    </row>
    <row r="4" customFormat="false" ht="15" hidden="false" customHeight="false" outlineLevel="0" collapsed="false">
      <c r="A4" s="15" t="s">
        <v>14</v>
      </c>
      <c r="B4" s="15" t="s">
        <v>46</v>
      </c>
      <c r="C4" s="15" t="str">
        <f aca="false">IF(Responses!$B$2=B4,"Yes","")</f>
        <v/>
      </c>
      <c r="D4" s="18" t="n">
        <f aca="false">COUNTIF(Responses!$B$3:$B$152,B4)/'Item Analysis'!$B$2</f>
        <v>0.186666666666667</v>
      </c>
      <c r="E4" s="15" t="n">
        <f aca="false">COUNTIFS(Responses!$B$3:$B$152,B4,Scoring!$AF$3:$AF$152,"&gt;="&amp;'Item Analysis'!$B$5)</f>
        <v>3</v>
      </c>
      <c r="F4" s="15" t="n">
        <f aca="false">COUNTIFS(Responses!$B$3:$B$152,B4,Scoring!$AF$3:$AF$152,"&lt;="&amp;'Item Analysis'!$B$6)</f>
        <v>11</v>
      </c>
      <c r="G4" s="15" t="n">
        <f aca="false">E4-F4</f>
        <v>-8</v>
      </c>
      <c r="H4" s="15" t="str">
        <f aca="false">IF(C4="Yes",IF(G4&gt;0,"Key discriminates as it should","Key does not discriminate: review"),IF(D4&lt;'Item Analysis'!$B$17,"Ineffective distractor",IF(G4&gt;0,"Distractor attracts high achievers: review it","Distractor works")))</f>
        <v>Distractor works</v>
      </c>
    </row>
    <row r="5" customFormat="false" ht="15" hidden="false" customHeight="false" outlineLevel="0" collapsed="false">
      <c r="A5" s="20" t="s">
        <v>14</v>
      </c>
      <c r="B5" s="20" t="s">
        <v>45</v>
      </c>
      <c r="C5" s="20" t="str">
        <f aca="false">IF(Responses!$B$2=B5,"Yes","")</f>
        <v>Yes</v>
      </c>
      <c r="D5" s="21" t="n">
        <f aca="false">COUNTIF(Responses!$B$3:$B$152,B5)/'Item Analysis'!$B$2</f>
        <v>0.433333333333333</v>
      </c>
      <c r="E5" s="20" t="n">
        <f aca="false">COUNTIFS(Responses!$B$3:$B$152,B5,Scoring!$AF$3:$AF$152,"&gt;="&amp;'Item Analysis'!$B$5)</f>
        <v>35</v>
      </c>
      <c r="F5" s="20" t="n">
        <f aca="false">COUNTIFS(Responses!$B$3:$B$152,B5,Scoring!$AF$3:$AF$152,"&lt;="&amp;'Item Analysis'!$B$6)</f>
        <v>6</v>
      </c>
      <c r="G5" s="20" t="n">
        <f aca="false">E5-F5</f>
        <v>29</v>
      </c>
      <c r="H5" s="20" t="str">
        <f aca="false">IF(C5="Yes",IF(G5&gt;0,"Key discriminates as it should","Key does not discriminate: review"),IF(D5&lt;'Item Analysis'!$B$17,"Ineffective distractor",IF(G5&gt;0,"Distractor attracts high achievers: review it","Distractor works")))</f>
        <v>Key discriminates as it should</v>
      </c>
    </row>
    <row r="6" customFormat="false" ht="15" hidden="false" customHeight="false" outlineLevel="0" collapsed="false">
      <c r="A6" s="15" t="s">
        <v>15</v>
      </c>
      <c r="B6" s="15" t="s">
        <v>48</v>
      </c>
      <c r="C6" s="15" t="str">
        <f aca="false">IF(Responses!$C$2=B6,"Yes","")</f>
        <v/>
      </c>
      <c r="D6" s="18" t="n">
        <f aca="false">COUNTIF(Responses!$C$3:$C$152,B6)/'Item Analysis'!$B$2</f>
        <v>0.193333333333333</v>
      </c>
      <c r="E6" s="15" t="n">
        <f aca="false">COUNTIFS(Responses!$C$3:$C$152,B6,Scoring!$AF$3:$AF$152,"&gt;="&amp;'Item Analysis'!$B$5)</f>
        <v>4</v>
      </c>
      <c r="F6" s="15" t="n">
        <f aca="false">COUNTIFS(Responses!$C$3:$C$152,B6,Scoring!$AF$3:$AF$152,"&lt;="&amp;'Item Analysis'!$B$6)</f>
        <v>12</v>
      </c>
      <c r="G6" s="15" t="n">
        <f aca="false">E6-F6</f>
        <v>-8</v>
      </c>
      <c r="H6" s="15" t="str">
        <f aca="false">IF(C6="Yes",IF(G6&gt;0,"Key discriminates as it should","Key does not discriminate: review"),IF(D6&lt;'Item Analysis'!$B$17,"Ineffective distractor",IF(G6&gt;0,"Distractor attracts high achievers: review it","Distractor works")))</f>
        <v>Distractor works</v>
      </c>
    </row>
    <row r="7" customFormat="false" ht="15" hidden="false" customHeight="false" outlineLevel="0" collapsed="false">
      <c r="A7" s="15" t="s">
        <v>15</v>
      </c>
      <c r="B7" s="15" t="s">
        <v>47</v>
      </c>
      <c r="C7" s="15" t="str">
        <f aca="false">IF(Responses!$C$2=B7,"Yes","")</f>
        <v/>
      </c>
      <c r="D7" s="18" t="n">
        <f aca="false">COUNTIF(Responses!$C$3:$C$152,B7)/'Item Analysis'!$B$2</f>
        <v>0.233333333333333</v>
      </c>
      <c r="E7" s="15" t="n">
        <f aca="false">COUNTIFS(Responses!$C$3:$C$152,B7,Scoring!$AF$3:$AF$152,"&gt;="&amp;'Item Analysis'!$B$5)</f>
        <v>3</v>
      </c>
      <c r="F7" s="15" t="n">
        <f aca="false">COUNTIFS(Responses!$C$3:$C$152,B7,Scoring!$AF$3:$AF$152,"&lt;="&amp;'Item Analysis'!$B$6)</f>
        <v>16</v>
      </c>
      <c r="G7" s="15" t="n">
        <f aca="false">E7-F7</f>
        <v>-13</v>
      </c>
      <c r="H7" s="15" t="str">
        <f aca="false">IF(C7="Yes",IF(G7&gt;0,"Key discriminates as it should","Key does not discriminate: review"),IF(D7&lt;'Item Analysis'!$B$17,"Ineffective distractor",IF(G7&gt;0,"Distractor attracts high achievers: review it","Distractor works")))</f>
        <v>Distractor works</v>
      </c>
    </row>
    <row r="8" customFormat="false" ht="15" hidden="false" customHeight="false" outlineLevel="0" collapsed="false">
      <c r="A8" s="15" t="s">
        <v>15</v>
      </c>
      <c r="B8" s="15" t="s">
        <v>46</v>
      </c>
      <c r="C8" s="15" t="str">
        <f aca="false">IF(Responses!$C$2=B8,"Yes","")</f>
        <v>Yes</v>
      </c>
      <c r="D8" s="18" t="n">
        <f aca="false">COUNTIF(Responses!$C$3:$C$152,B8)/'Item Analysis'!$B$2</f>
        <v>0.406666666666667</v>
      </c>
      <c r="E8" s="15" t="n">
        <f aca="false">COUNTIFS(Responses!$C$3:$C$152,B8,Scoring!$AF$3:$AF$152,"&gt;="&amp;'Item Analysis'!$B$5)</f>
        <v>34</v>
      </c>
      <c r="F8" s="15" t="n">
        <f aca="false">COUNTIFS(Responses!$C$3:$C$152,B8,Scoring!$AF$3:$AF$152,"&lt;="&amp;'Item Analysis'!$B$6)</f>
        <v>6</v>
      </c>
      <c r="G8" s="15" t="n">
        <f aca="false">E8-F8</f>
        <v>28</v>
      </c>
      <c r="H8" s="15" t="str">
        <f aca="false">IF(C8="Yes",IF(G8&gt;0,"Key discriminates as it should","Key does not discriminate: review"),IF(D8&lt;'Item Analysis'!$B$17,"Ineffective distractor",IF(G8&gt;0,"Distractor attracts high achievers: review it","Distractor works")))</f>
        <v>Key discriminates as it should</v>
      </c>
    </row>
    <row r="9" customFormat="false" ht="15" hidden="false" customHeight="false" outlineLevel="0" collapsed="false">
      <c r="A9" s="20" t="s">
        <v>15</v>
      </c>
      <c r="B9" s="20" t="s">
        <v>45</v>
      </c>
      <c r="C9" s="20" t="str">
        <f aca="false">IF(Responses!$C$2=B9,"Yes","")</f>
        <v/>
      </c>
      <c r="D9" s="21" t="n">
        <f aca="false">COUNTIF(Responses!$C$3:$C$152,B9)/'Item Analysis'!$B$2</f>
        <v>0.166666666666667</v>
      </c>
      <c r="E9" s="20" t="n">
        <f aca="false">COUNTIFS(Responses!$C$3:$C$152,B9,Scoring!$AF$3:$AF$152,"&gt;="&amp;'Item Analysis'!$B$5)</f>
        <v>4</v>
      </c>
      <c r="F9" s="20" t="n">
        <f aca="false">COUNTIFS(Responses!$C$3:$C$152,B9,Scoring!$AF$3:$AF$152,"&lt;="&amp;'Item Analysis'!$B$6)</f>
        <v>11</v>
      </c>
      <c r="G9" s="20" t="n">
        <f aca="false">E9-F9</f>
        <v>-7</v>
      </c>
      <c r="H9" s="20" t="str">
        <f aca="false">IF(C9="Yes",IF(G9&gt;0,"Key discriminates as it should","Key does not discriminate: review"),IF(D9&lt;'Item Analysis'!$B$17,"Ineffective distractor",IF(G9&gt;0,"Distractor attracts high achievers: review it","Distractor works")))</f>
        <v>Distractor works</v>
      </c>
    </row>
    <row r="10" customFormat="false" ht="15" hidden="false" customHeight="false" outlineLevel="0" collapsed="false">
      <c r="A10" s="15" t="s">
        <v>16</v>
      </c>
      <c r="B10" s="15" t="s">
        <v>48</v>
      </c>
      <c r="C10" s="15" t="str">
        <f aca="false">IF(Responses!$D$2=B10,"Yes","")</f>
        <v/>
      </c>
      <c r="D10" s="18" t="n">
        <f aca="false">COUNTIF(Responses!$D$3:$D$152,B10)/'Item Analysis'!$B$2</f>
        <v>0.166666666666667</v>
      </c>
      <c r="E10" s="15" t="n">
        <f aca="false">COUNTIFS(Responses!$D$3:$D$152,B10,Scoring!$AF$3:$AF$152,"&gt;="&amp;'Item Analysis'!$B$5)</f>
        <v>8</v>
      </c>
      <c r="F10" s="15" t="n">
        <f aca="false">COUNTIFS(Responses!$D$3:$D$152,B10,Scoring!$AF$3:$AF$152,"&lt;="&amp;'Item Analysis'!$B$6)</f>
        <v>9</v>
      </c>
      <c r="G10" s="15" t="n">
        <f aca="false">E10-F10</f>
        <v>-1</v>
      </c>
      <c r="H10" s="15" t="str">
        <f aca="false">IF(C10="Yes",IF(G10&gt;0,"Key discriminates as it should","Key does not discriminate: review"),IF(D10&lt;'Item Analysis'!$B$17,"Ineffective distractor",IF(G10&gt;0,"Distractor attracts high achievers: review it","Distractor works")))</f>
        <v>Distractor works</v>
      </c>
    </row>
    <row r="11" customFormat="false" ht="15" hidden="false" customHeight="false" outlineLevel="0" collapsed="false">
      <c r="A11" s="15" t="s">
        <v>16</v>
      </c>
      <c r="B11" s="15" t="s">
        <v>47</v>
      </c>
      <c r="C11" s="15" t="str">
        <f aca="false">IF(Responses!$D$2=B11,"Yes","")</f>
        <v/>
      </c>
      <c r="D11" s="18" t="n">
        <f aca="false">COUNTIF(Responses!$D$3:$D$152,B11)/'Item Analysis'!$B$2</f>
        <v>0.2</v>
      </c>
      <c r="E11" s="15" t="n">
        <f aca="false">COUNTIFS(Responses!$D$3:$D$152,B11,Scoring!$AF$3:$AF$152,"&gt;="&amp;'Item Analysis'!$B$5)</f>
        <v>2</v>
      </c>
      <c r="F11" s="15" t="n">
        <f aca="false">COUNTIFS(Responses!$D$3:$D$152,B11,Scoring!$AF$3:$AF$152,"&lt;="&amp;'Item Analysis'!$B$6)</f>
        <v>11</v>
      </c>
      <c r="G11" s="15" t="n">
        <f aca="false">E11-F11</f>
        <v>-9</v>
      </c>
      <c r="H11" s="15" t="str">
        <f aca="false">IF(C11="Yes",IF(G11&gt;0,"Key discriminates as it should","Key does not discriminate: review"),IF(D11&lt;'Item Analysis'!$B$17,"Ineffective distractor",IF(G11&gt;0,"Distractor attracts high achievers: review it","Distractor works")))</f>
        <v>Distractor works</v>
      </c>
    </row>
    <row r="12" customFormat="false" ht="15" hidden="false" customHeight="false" outlineLevel="0" collapsed="false">
      <c r="A12" s="15" t="s">
        <v>16</v>
      </c>
      <c r="B12" s="15" t="s">
        <v>46</v>
      </c>
      <c r="C12" s="15" t="str">
        <f aca="false">IF(Responses!$D$2=B12,"Yes","")</f>
        <v/>
      </c>
      <c r="D12" s="18" t="n">
        <f aca="false">COUNTIF(Responses!$D$3:$D$152,B12)/'Item Analysis'!$B$2</f>
        <v>0.26</v>
      </c>
      <c r="E12" s="15" t="n">
        <f aca="false">COUNTIFS(Responses!$D$3:$D$152,B12,Scoring!$AF$3:$AF$152,"&gt;="&amp;'Item Analysis'!$B$5)</f>
        <v>5</v>
      </c>
      <c r="F12" s="15" t="n">
        <f aca="false">COUNTIFS(Responses!$D$3:$D$152,B12,Scoring!$AF$3:$AF$152,"&lt;="&amp;'Item Analysis'!$B$6)</f>
        <v>14</v>
      </c>
      <c r="G12" s="15" t="n">
        <f aca="false">E12-F12</f>
        <v>-9</v>
      </c>
      <c r="H12" s="15" t="str">
        <f aca="false">IF(C12="Yes",IF(G12&gt;0,"Key discriminates as it should","Key does not discriminate: review"),IF(D12&lt;'Item Analysis'!$B$17,"Ineffective distractor",IF(G12&gt;0,"Distractor attracts high achievers: review it","Distractor works")))</f>
        <v>Distractor works</v>
      </c>
    </row>
    <row r="13" customFormat="false" ht="15" hidden="false" customHeight="false" outlineLevel="0" collapsed="false">
      <c r="A13" s="20" t="s">
        <v>16</v>
      </c>
      <c r="B13" s="20" t="s">
        <v>45</v>
      </c>
      <c r="C13" s="20" t="str">
        <f aca="false">IF(Responses!$D$2=B13,"Yes","")</f>
        <v>Yes</v>
      </c>
      <c r="D13" s="21" t="n">
        <f aca="false">COUNTIF(Responses!$D$3:$D$152,B13)/'Item Analysis'!$B$2</f>
        <v>0.373333333333333</v>
      </c>
      <c r="E13" s="20" t="n">
        <f aca="false">COUNTIFS(Responses!$D$3:$D$152,B13,Scoring!$AF$3:$AF$152,"&gt;="&amp;'Item Analysis'!$B$5)</f>
        <v>30</v>
      </c>
      <c r="F13" s="20" t="n">
        <f aca="false">COUNTIFS(Responses!$D$3:$D$152,B13,Scoring!$AF$3:$AF$152,"&lt;="&amp;'Item Analysis'!$B$6)</f>
        <v>11</v>
      </c>
      <c r="G13" s="20" t="n">
        <f aca="false">E13-F13</f>
        <v>19</v>
      </c>
      <c r="H13" s="20" t="str">
        <f aca="false">IF(C13="Yes",IF(G13&gt;0,"Key discriminates as it should","Key does not discriminate: review"),IF(D13&lt;'Item Analysis'!$B$17,"Ineffective distractor",IF(G13&gt;0,"Distractor attracts high achievers: review it","Distractor works")))</f>
        <v>Key discriminates as it should</v>
      </c>
    </row>
    <row r="14" customFormat="false" ht="15" hidden="false" customHeight="false" outlineLevel="0" collapsed="false">
      <c r="A14" s="15" t="s">
        <v>17</v>
      </c>
      <c r="B14" s="15" t="s">
        <v>48</v>
      </c>
      <c r="C14" s="15" t="str">
        <f aca="false">IF(Responses!$E$2=B14,"Yes","")</f>
        <v/>
      </c>
      <c r="D14" s="18" t="n">
        <f aca="false">COUNTIF(Responses!$E$3:$E$152,B14)/'Item Analysis'!$B$2</f>
        <v>0.0533333333333333</v>
      </c>
      <c r="E14" s="15" t="n">
        <f aca="false">COUNTIFS(Responses!$E$3:$E$152,B14,Scoring!$AF$3:$AF$152,"&gt;="&amp;'Item Analysis'!$B$5)</f>
        <v>0</v>
      </c>
      <c r="F14" s="15" t="n">
        <f aca="false">COUNTIFS(Responses!$E$3:$E$152,B14,Scoring!$AF$3:$AF$152,"&lt;="&amp;'Item Analysis'!$B$6)</f>
        <v>8</v>
      </c>
      <c r="G14" s="15" t="n">
        <f aca="false">E14-F14</f>
        <v>-8</v>
      </c>
      <c r="H14" s="15" t="str">
        <f aca="false">IF(C14="Yes",IF(G14&gt;0,"Key discriminates as it should","Key does not discriminate: review"),IF(D14&lt;'Item Analysis'!$B$17,"Ineffective distractor",IF(G14&gt;0,"Distractor attracts high achievers: review it","Distractor works")))</f>
        <v>Distractor works</v>
      </c>
    </row>
    <row r="15" customFormat="false" ht="15" hidden="false" customHeight="false" outlineLevel="0" collapsed="false">
      <c r="A15" s="15" t="s">
        <v>17</v>
      </c>
      <c r="B15" s="15" t="s">
        <v>47</v>
      </c>
      <c r="C15" s="15" t="str">
        <f aca="false">IF(Responses!$E$2=B15,"Yes","")</f>
        <v>Yes</v>
      </c>
      <c r="D15" s="18" t="n">
        <f aca="false">COUNTIF(Responses!$E$3:$E$152,B15)/'Item Analysis'!$B$2</f>
        <v>0.766666666666667</v>
      </c>
      <c r="E15" s="15" t="n">
        <f aca="false">COUNTIFS(Responses!$E$3:$E$152,B15,Scoring!$AF$3:$AF$152,"&gt;="&amp;'Item Analysis'!$B$5)</f>
        <v>45</v>
      </c>
      <c r="F15" s="15" t="n">
        <f aca="false">COUNTIFS(Responses!$E$3:$E$152,B15,Scoring!$AF$3:$AF$152,"&lt;="&amp;'Item Analysis'!$B$6)</f>
        <v>20</v>
      </c>
      <c r="G15" s="15" t="n">
        <f aca="false">E15-F15</f>
        <v>25</v>
      </c>
      <c r="H15" s="15" t="str">
        <f aca="false">IF(C15="Yes",IF(G15&gt;0,"Key discriminates as it should","Key does not discriminate: review"),IF(D15&lt;'Item Analysis'!$B$17,"Ineffective distractor",IF(G15&gt;0,"Distractor attracts high achievers: review it","Distractor works")))</f>
        <v>Key discriminates as it should</v>
      </c>
    </row>
    <row r="16" customFormat="false" ht="15" hidden="false" customHeight="false" outlineLevel="0" collapsed="false">
      <c r="A16" s="15" t="s">
        <v>17</v>
      </c>
      <c r="B16" s="15" t="s">
        <v>46</v>
      </c>
      <c r="C16" s="15" t="str">
        <f aca="false">IF(Responses!$E$2=B16,"Yes","")</f>
        <v/>
      </c>
      <c r="D16" s="18" t="n">
        <f aca="false">COUNTIF(Responses!$E$3:$E$152,B16)/'Item Analysis'!$B$2</f>
        <v>0.06</v>
      </c>
      <c r="E16" s="15" t="n">
        <f aca="false">COUNTIFS(Responses!$E$3:$E$152,B16,Scoring!$AF$3:$AF$152,"&gt;="&amp;'Item Analysis'!$B$5)</f>
        <v>0</v>
      </c>
      <c r="F16" s="15" t="n">
        <f aca="false">COUNTIFS(Responses!$E$3:$E$152,B16,Scoring!$AF$3:$AF$152,"&lt;="&amp;'Item Analysis'!$B$6)</f>
        <v>6</v>
      </c>
      <c r="G16" s="15" t="n">
        <f aca="false">E16-F16</f>
        <v>-6</v>
      </c>
      <c r="H16" s="15" t="str">
        <f aca="false">IF(C16="Yes",IF(G16&gt;0,"Key discriminates as it should","Key does not discriminate: review"),IF(D16&lt;'Item Analysis'!$B$17,"Ineffective distractor",IF(G16&gt;0,"Distractor attracts high achievers: review it","Distractor works")))</f>
        <v>Distractor works</v>
      </c>
    </row>
    <row r="17" customFormat="false" ht="15" hidden="false" customHeight="false" outlineLevel="0" collapsed="false">
      <c r="A17" s="20" t="s">
        <v>17</v>
      </c>
      <c r="B17" s="20" t="s">
        <v>45</v>
      </c>
      <c r="C17" s="20" t="str">
        <f aca="false">IF(Responses!$E$2=B17,"Yes","")</f>
        <v/>
      </c>
      <c r="D17" s="21" t="n">
        <f aca="false">COUNTIF(Responses!$E$3:$E$152,B17)/'Item Analysis'!$B$2</f>
        <v>0.12</v>
      </c>
      <c r="E17" s="20" t="n">
        <f aca="false">COUNTIFS(Responses!$E$3:$E$152,B17,Scoring!$AF$3:$AF$152,"&gt;="&amp;'Item Analysis'!$B$5)</f>
        <v>0</v>
      </c>
      <c r="F17" s="20" t="n">
        <f aca="false">COUNTIFS(Responses!$E$3:$E$152,B17,Scoring!$AF$3:$AF$152,"&lt;="&amp;'Item Analysis'!$B$6)</f>
        <v>11</v>
      </c>
      <c r="G17" s="20" t="n">
        <f aca="false">E17-F17</f>
        <v>-11</v>
      </c>
      <c r="H17" s="20" t="str">
        <f aca="false">IF(C17="Yes",IF(G17&gt;0,"Key discriminates as it should","Key does not discriminate: review"),IF(D17&lt;'Item Analysis'!$B$17,"Ineffective distractor",IF(G17&gt;0,"Distractor attracts high achievers: review it","Distractor works")))</f>
        <v>Distractor works</v>
      </c>
    </row>
    <row r="18" customFormat="false" ht="15" hidden="false" customHeight="false" outlineLevel="0" collapsed="false">
      <c r="A18" s="15" t="s">
        <v>18</v>
      </c>
      <c r="B18" s="15" t="s">
        <v>48</v>
      </c>
      <c r="C18" s="15" t="str">
        <f aca="false">IF(Responses!$F$2=B18,"Yes","")</f>
        <v/>
      </c>
      <c r="D18" s="18" t="n">
        <f aca="false">COUNTIF(Responses!$F$3:$F$152,B18)/'Item Analysis'!$B$2</f>
        <v>0.286666666666667</v>
      </c>
      <c r="E18" s="15" t="n">
        <f aca="false">COUNTIFS(Responses!$F$3:$F$152,B18,Scoring!$AF$3:$AF$152,"&gt;="&amp;'Item Analysis'!$B$5)</f>
        <v>6</v>
      </c>
      <c r="F18" s="15" t="n">
        <f aca="false">COUNTIFS(Responses!$F$3:$F$152,B18,Scoring!$AF$3:$AF$152,"&lt;="&amp;'Item Analysis'!$B$6)</f>
        <v>20</v>
      </c>
      <c r="G18" s="15" t="n">
        <f aca="false">E18-F18</f>
        <v>-14</v>
      </c>
      <c r="H18" s="15" t="str">
        <f aca="false">IF(C18="Yes",IF(G18&gt;0,"Key discriminates as it should","Key does not discriminate: review"),IF(D18&lt;'Item Analysis'!$B$17,"Ineffective distractor",IF(G18&gt;0,"Distractor attracts high achievers: review it","Distractor works")))</f>
        <v>Distractor works</v>
      </c>
    </row>
    <row r="19" customFormat="false" ht="15" hidden="false" customHeight="false" outlineLevel="0" collapsed="false">
      <c r="A19" s="15" t="s">
        <v>18</v>
      </c>
      <c r="B19" s="15" t="s">
        <v>47</v>
      </c>
      <c r="C19" s="15" t="str">
        <f aca="false">IF(Responses!$F$2=B19,"Yes","")</f>
        <v>Yes</v>
      </c>
      <c r="D19" s="18" t="n">
        <f aca="false">COUNTIF(Responses!$F$3:$F$152,B19)/'Item Analysis'!$B$2</f>
        <v>0.426666666666667</v>
      </c>
      <c r="E19" s="15" t="n">
        <f aca="false">COUNTIFS(Responses!$F$3:$F$152,B19,Scoring!$AF$3:$AF$152,"&gt;="&amp;'Item Analysis'!$B$5)</f>
        <v>32</v>
      </c>
      <c r="F19" s="15" t="n">
        <f aca="false">COUNTIFS(Responses!$F$3:$F$152,B19,Scoring!$AF$3:$AF$152,"&lt;="&amp;'Item Analysis'!$B$6)</f>
        <v>6</v>
      </c>
      <c r="G19" s="15" t="n">
        <f aca="false">E19-F19</f>
        <v>26</v>
      </c>
      <c r="H19" s="15" t="str">
        <f aca="false">IF(C19="Yes",IF(G19&gt;0,"Key discriminates as it should","Key does not discriminate: review"),IF(D19&lt;'Item Analysis'!$B$17,"Ineffective distractor",IF(G19&gt;0,"Distractor attracts high achievers: review it","Distractor works")))</f>
        <v>Key discriminates as it should</v>
      </c>
    </row>
    <row r="20" customFormat="false" ht="15" hidden="false" customHeight="false" outlineLevel="0" collapsed="false">
      <c r="A20" s="15" t="s">
        <v>18</v>
      </c>
      <c r="B20" s="15" t="s">
        <v>46</v>
      </c>
      <c r="C20" s="15" t="str">
        <f aca="false">IF(Responses!$F$2=B20,"Yes","")</f>
        <v/>
      </c>
      <c r="D20" s="18" t="n">
        <f aca="false">COUNTIF(Responses!$F$3:$F$152,B20)/'Item Analysis'!$B$2</f>
        <v>0.173333333333333</v>
      </c>
      <c r="E20" s="15" t="n">
        <f aca="false">COUNTIFS(Responses!$F$3:$F$152,B20,Scoring!$AF$3:$AF$152,"&gt;="&amp;'Item Analysis'!$B$5)</f>
        <v>4</v>
      </c>
      <c r="F20" s="15" t="n">
        <f aca="false">COUNTIFS(Responses!$F$3:$F$152,B20,Scoring!$AF$3:$AF$152,"&lt;="&amp;'Item Analysis'!$B$6)</f>
        <v>13</v>
      </c>
      <c r="G20" s="15" t="n">
        <f aca="false">E20-F20</f>
        <v>-9</v>
      </c>
      <c r="H20" s="15" t="str">
        <f aca="false">IF(C20="Yes",IF(G20&gt;0,"Key discriminates as it should","Key does not discriminate: review"),IF(D20&lt;'Item Analysis'!$B$17,"Ineffective distractor",IF(G20&gt;0,"Distractor attracts high achievers: review it","Distractor works")))</f>
        <v>Distractor works</v>
      </c>
    </row>
    <row r="21" customFormat="false" ht="15" hidden="false" customHeight="false" outlineLevel="0" collapsed="false">
      <c r="A21" s="20" t="s">
        <v>18</v>
      </c>
      <c r="B21" s="20" t="s">
        <v>45</v>
      </c>
      <c r="C21" s="20" t="str">
        <f aca="false">IF(Responses!$F$2=B21,"Yes","")</f>
        <v/>
      </c>
      <c r="D21" s="21" t="n">
        <f aca="false">COUNTIF(Responses!$F$3:$F$152,B21)/'Item Analysis'!$B$2</f>
        <v>0.113333333333333</v>
      </c>
      <c r="E21" s="20" t="n">
        <f aca="false">COUNTIFS(Responses!$F$3:$F$152,B21,Scoring!$AF$3:$AF$152,"&gt;="&amp;'Item Analysis'!$B$5)</f>
        <v>3</v>
      </c>
      <c r="F21" s="20" t="n">
        <f aca="false">COUNTIFS(Responses!$F$3:$F$152,B21,Scoring!$AF$3:$AF$152,"&lt;="&amp;'Item Analysis'!$B$6)</f>
        <v>6</v>
      </c>
      <c r="G21" s="20" t="n">
        <f aca="false">E21-F21</f>
        <v>-3</v>
      </c>
      <c r="H21" s="20" t="str">
        <f aca="false">IF(C21="Yes",IF(G21&gt;0,"Key discriminates as it should","Key does not discriminate: review"),IF(D21&lt;'Item Analysis'!$B$17,"Ineffective distractor",IF(G21&gt;0,"Distractor attracts high achievers: review it","Distractor works")))</f>
        <v>Distractor works</v>
      </c>
    </row>
    <row r="22" customFormat="false" ht="15" hidden="false" customHeight="false" outlineLevel="0" collapsed="false">
      <c r="A22" s="15" t="s">
        <v>19</v>
      </c>
      <c r="B22" s="15" t="s">
        <v>48</v>
      </c>
      <c r="C22" s="15" t="str">
        <f aca="false">IF(Responses!$G$2=B22,"Yes","")</f>
        <v/>
      </c>
      <c r="D22" s="18" t="n">
        <f aca="false">COUNTIF(Responses!$G$3:$G$152,B22)/'Item Analysis'!$B$2</f>
        <v>0.226666666666667</v>
      </c>
      <c r="E22" s="15" t="n">
        <f aca="false">COUNTIFS(Responses!$G$3:$G$152,B22,Scoring!$AF$3:$AF$152,"&gt;="&amp;'Item Analysis'!$B$5)</f>
        <v>4</v>
      </c>
      <c r="F22" s="15" t="n">
        <f aca="false">COUNTIFS(Responses!$G$3:$G$152,B22,Scoring!$AF$3:$AF$152,"&lt;="&amp;'Item Analysis'!$B$6)</f>
        <v>14</v>
      </c>
      <c r="G22" s="15" t="n">
        <f aca="false">E22-F22</f>
        <v>-10</v>
      </c>
      <c r="H22" s="15" t="str">
        <f aca="false">IF(C22="Yes",IF(G22&gt;0,"Key discriminates as it should","Key does not discriminate: review"),IF(D22&lt;'Item Analysis'!$B$17,"Ineffective distractor",IF(G22&gt;0,"Distractor attracts high achievers: review it","Distractor works")))</f>
        <v>Distractor works</v>
      </c>
    </row>
    <row r="23" customFormat="false" ht="15" hidden="false" customHeight="false" outlineLevel="0" collapsed="false">
      <c r="A23" s="15" t="s">
        <v>19</v>
      </c>
      <c r="B23" s="15" t="s">
        <v>47</v>
      </c>
      <c r="C23" s="15" t="str">
        <f aca="false">IF(Responses!$G$2=B23,"Yes","")</f>
        <v>Yes</v>
      </c>
      <c r="D23" s="18" t="n">
        <f aca="false">COUNTIF(Responses!$G$3:$G$152,B23)/'Item Analysis'!$B$2</f>
        <v>0.473333333333333</v>
      </c>
      <c r="E23" s="15" t="n">
        <f aca="false">COUNTIFS(Responses!$G$3:$G$152,B23,Scoring!$AF$3:$AF$152,"&gt;="&amp;'Item Analysis'!$B$5)</f>
        <v>37</v>
      </c>
      <c r="F23" s="15" t="n">
        <f aca="false">COUNTIFS(Responses!$G$3:$G$152,B23,Scoring!$AF$3:$AF$152,"&lt;="&amp;'Item Analysis'!$B$6)</f>
        <v>10</v>
      </c>
      <c r="G23" s="15" t="n">
        <f aca="false">E23-F23</f>
        <v>27</v>
      </c>
      <c r="H23" s="15" t="str">
        <f aca="false">IF(C23="Yes",IF(G23&gt;0,"Key discriminates as it should","Key does not discriminate: review"),IF(D23&lt;'Item Analysis'!$B$17,"Ineffective distractor",IF(G23&gt;0,"Distractor attracts high achievers: review it","Distractor works")))</f>
        <v>Key discriminates as it should</v>
      </c>
    </row>
    <row r="24" customFormat="false" ht="15" hidden="false" customHeight="false" outlineLevel="0" collapsed="false">
      <c r="A24" s="15" t="s">
        <v>19</v>
      </c>
      <c r="B24" s="15" t="s">
        <v>46</v>
      </c>
      <c r="C24" s="15" t="str">
        <f aca="false">IF(Responses!$G$2=B24,"Yes","")</f>
        <v/>
      </c>
      <c r="D24" s="18" t="n">
        <f aca="false">COUNTIF(Responses!$G$3:$G$152,B24)/'Item Analysis'!$B$2</f>
        <v>0.126666666666667</v>
      </c>
      <c r="E24" s="15" t="n">
        <f aca="false">COUNTIFS(Responses!$G$3:$G$152,B24,Scoring!$AF$3:$AF$152,"&gt;="&amp;'Item Analysis'!$B$5)</f>
        <v>1</v>
      </c>
      <c r="F24" s="15" t="n">
        <f aca="false">COUNTIFS(Responses!$G$3:$G$152,B24,Scoring!$AF$3:$AF$152,"&lt;="&amp;'Item Analysis'!$B$6)</f>
        <v>13</v>
      </c>
      <c r="G24" s="15" t="n">
        <f aca="false">E24-F24</f>
        <v>-12</v>
      </c>
      <c r="H24" s="15" t="str">
        <f aca="false">IF(C24="Yes",IF(G24&gt;0,"Key discriminates as it should","Key does not discriminate: review"),IF(D24&lt;'Item Analysis'!$B$17,"Ineffective distractor",IF(G24&gt;0,"Distractor attracts high achievers: review it","Distractor works")))</f>
        <v>Distractor works</v>
      </c>
    </row>
    <row r="25" customFormat="false" ht="15" hidden="false" customHeight="false" outlineLevel="0" collapsed="false">
      <c r="A25" s="20" t="s">
        <v>19</v>
      </c>
      <c r="B25" s="20" t="s">
        <v>45</v>
      </c>
      <c r="C25" s="20" t="str">
        <f aca="false">IF(Responses!$G$2=B25,"Yes","")</f>
        <v/>
      </c>
      <c r="D25" s="21" t="n">
        <f aca="false">COUNTIF(Responses!$G$3:$G$152,B25)/'Item Analysis'!$B$2</f>
        <v>0.173333333333333</v>
      </c>
      <c r="E25" s="20" t="n">
        <f aca="false">COUNTIFS(Responses!$G$3:$G$152,B25,Scoring!$AF$3:$AF$152,"&gt;="&amp;'Item Analysis'!$B$5)</f>
        <v>3</v>
      </c>
      <c r="F25" s="20" t="n">
        <f aca="false">COUNTIFS(Responses!$G$3:$G$152,B25,Scoring!$AF$3:$AF$152,"&lt;="&amp;'Item Analysis'!$B$6)</f>
        <v>8</v>
      </c>
      <c r="G25" s="20" t="n">
        <f aca="false">E25-F25</f>
        <v>-5</v>
      </c>
      <c r="H25" s="20" t="str">
        <f aca="false">IF(C25="Yes",IF(G25&gt;0,"Key discriminates as it should","Key does not discriminate: review"),IF(D25&lt;'Item Analysis'!$B$17,"Ineffective distractor",IF(G25&gt;0,"Distractor attracts high achievers: review it","Distractor works")))</f>
        <v>Distractor works</v>
      </c>
    </row>
    <row r="26" customFormat="false" ht="15" hidden="false" customHeight="false" outlineLevel="0" collapsed="false">
      <c r="A26" s="15" t="s">
        <v>20</v>
      </c>
      <c r="B26" s="15" t="s">
        <v>48</v>
      </c>
      <c r="C26" s="15" t="str">
        <f aca="false">IF(Responses!$H$2=B26,"Yes","")</f>
        <v/>
      </c>
      <c r="D26" s="18" t="n">
        <f aca="false">COUNTIF(Responses!$H$3:$H$152,B26)/'Item Analysis'!$B$2</f>
        <v>0.0333333333333333</v>
      </c>
      <c r="E26" s="15" t="n">
        <f aca="false">COUNTIFS(Responses!$H$3:$H$152,B26,Scoring!$AF$3:$AF$152,"&gt;="&amp;'Item Analysis'!$B$5)</f>
        <v>0</v>
      </c>
      <c r="F26" s="15" t="n">
        <f aca="false">COUNTIFS(Responses!$H$3:$H$152,B26,Scoring!$AF$3:$AF$152,"&lt;="&amp;'Item Analysis'!$B$6)</f>
        <v>3</v>
      </c>
      <c r="G26" s="15" t="n">
        <f aca="false">E26-F26</f>
        <v>-3</v>
      </c>
      <c r="H26" s="15" t="str">
        <f aca="false">IF(C26="Yes",IF(G26&gt;0,"Key discriminates as it should","Key does not discriminate: review"),IF(D26&lt;'Item Analysis'!$B$17,"Ineffective distractor",IF(G26&gt;0,"Distractor attracts high achievers: review it","Distractor works")))</f>
        <v>Ineffective distractor</v>
      </c>
    </row>
    <row r="27" customFormat="false" ht="15" hidden="false" customHeight="false" outlineLevel="0" collapsed="false">
      <c r="A27" s="15" t="s">
        <v>20</v>
      </c>
      <c r="B27" s="15" t="s">
        <v>47</v>
      </c>
      <c r="C27" s="15" t="str">
        <f aca="false">IF(Responses!$H$2=B27,"Yes","")</f>
        <v>Yes</v>
      </c>
      <c r="D27" s="18" t="n">
        <f aca="false">COUNTIF(Responses!$H$3:$H$152,B27)/'Item Analysis'!$B$2</f>
        <v>0.253333333333333</v>
      </c>
      <c r="E27" s="15" t="n">
        <f aca="false">COUNTIFS(Responses!$H$3:$H$152,B27,Scoring!$AF$3:$AF$152,"&gt;="&amp;'Item Analysis'!$B$5)</f>
        <v>2</v>
      </c>
      <c r="F27" s="15" t="n">
        <f aca="false">COUNTIFS(Responses!$H$3:$H$152,B27,Scoring!$AF$3:$AF$152,"&lt;="&amp;'Item Analysis'!$B$6)</f>
        <v>20</v>
      </c>
      <c r="G27" s="15" t="n">
        <f aca="false">E27-F27</f>
        <v>-18</v>
      </c>
      <c r="H27" s="15" t="str">
        <f aca="false">IF(C27="Yes",IF(G27&gt;0,"Key discriminates as it should","Key does not discriminate: review"),IF(D27&lt;'Item Analysis'!$B$17,"Ineffective distractor",IF(G27&gt;0,"Distractor attracts high achievers: review it","Distractor works")))</f>
        <v>Key does not discriminate: review</v>
      </c>
    </row>
    <row r="28" customFormat="false" ht="28.35" hidden="false" customHeight="false" outlineLevel="0" collapsed="false">
      <c r="A28" s="15" t="s">
        <v>20</v>
      </c>
      <c r="B28" s="15" t="s">
        <v>46</v>
      </c>
      <c r="C28" s="15" t="str">
        <f aca="false">IF(Responses!$H$2=B28,"Yes","")</f>
        <v/>
      </c>
      <c r="D28" s="18" t="n">
        <f aca="false">COUNTIF(Responses!$H$3:$H$152,B28)/'Item Analysis'!$B$2</f>
        <v>0.68</v>
      </c>
      <c r="E28" s="15" t="n">
        <f aca="false">COUNTIFS(Responses!$H$3:$H$152,B28,Scoring!$AF$3:$AF$152,"&gt;="&amp;'Item Analysis'!$B$5)</f>
        <v>43</v>
      </c>
      <c r="F28" s="15" t="n">
        <f aca="false">COUNTIFS(Responses!$H$3:$H$152,B28,Scoring!$AF$3:$AF$152,"&lt;="&amp;'Item Analysis'!$B$6)</f>
        <v>17</v>
      </c>
      <c r="G28" s="15" t="n">
        <f aca="false">E28-F28</f>
        <v>26</v>
      </c>
      <c r="H28" s="15" t="str">
        <f aca="false">IF(C28="Yes",IF(G28&gt;0,"Key discriminates as it should","Key does not discriminate: review"),IF(D28&lt;'Item Analysis'!$B$17,"Ineffective distractor",IF(G28&gt;0,"Distractor attracts high achievers: review it","Distractor works")))</f>
        <v>Distractor attracts high achievers: review it</v>
      </c>
    </row>
    <row r="29" customFormat="false" ht="15" hidden="false" customHeight="false" outlineLevel="0" collapsed="false">
      <c r="A29" s="20" t="s">
        <v>20</v>
      </c>
      <c r="B29" s="20" t="s">
        <v>45</v>
      </c>
      <c r="C29" s="20" t="str">
        <f aca="false">IF(Responses!$H$2=B29,"Yes","")</f>
        <v/>
      </c>
      <c r="D29" s="21" t="n">
        <f aca="false">COUNTIF(Responses!$H$3:$H$152,B29)/'Item Analysis'!$B$2</f>
        <v>0.0333333333333333</v>
      </c>
      <c r="E29" s="20" t="n">
        <f aca="false">COUNTIFS(Responses!$H$3:$H$152,B29,Scoring!$AF$3:$AF$152,"&gt;="&amp;'Item Analysis'!$B$5)</f>
        <v>0</v>
      </c>
      <c r="F29" s="20" t="n">
        <f aca="false">COUNTIFS(Responses!$H$3:$H$152,B29,Scoring!$AF$3:$AF$152,"&lt;="&amp;'Item Analysis'!$B$6)</f>
        <v>5</v>
      </c>
      <c r="G29" s="20" t="n">
        <f aca="false">E29-F29</f>
        <v>-5</v>
      </c>
      <c r="H29" s="20" t="str">
        <f aca="false">IF(C29="Yes",IF(G29&gt;0,"Key discriminates as it should","Key does not discriminate: review"),IF(D29&lt;'Item Analysis'!$B$17,"Ineffective distractor",IF(G29&gt;0,"Distractor attracts high achievers: review it","Distractor works")))</f>
        <v>Ineffective distractor</v>
      </c>
    </row>
    <row r="30" customFormat="false" ht="15" hidden="false" customHeight="false" outlineLevel="0" collapsed="false">
      <c r="A30" s="15" t="s">
        <v>21</v>
      </c>
      <c r="B30" s="15" t="s">
        <v>48</v>
      </c>
      <c r="C30" s="15" t="str">
        <f aca="false">IF(Responses!$I$2=B30,"Yes","")</f>
        <v/>
      </c>
      <c r="D30" s="18" t="n">
        <f aca="false">COUNTIF(Responses!$I$3:$I$152,B30)/'Item Analysis'!$B$2</f>
        <v>0.133333333333333</v>
      </c>
      <c r="E30" s="15" t="n">
        <f aca="false">COUNTIFS(Responses!$I$3:$I$152,B30,Scoring!$AF$3:$AF$152,"&gt;="&amp;'Item Analysis'!$B$5)</f>
        <v>0</v>
      </c>
      <c r="F30" s="15" t="n">
        <f aca="false">COUNTIFS(Responses!$I$3:$I$152,B30,Scoring!$AF$3:$AF$152,"&lt;="&amp;'Item Analysis'!$B$6)</f>
        <v>14</v>
      </c>
      <c r="G30" s="15" t="n">
        <f aca="false">E30-F30</f>
        <v>-14</v>
      </c>
      <c r="H30" s="15" t="str">
        <f aca="false">IF(C30="Yes",IF(G30&gt;0,"Key discriminates as it should","Key does not discriminate: review"),IF(D30&lt;'Item Analysis'!$B$17,"Ineffective distractor",IF(G30&gt;0,"Distractor attracts high achievers: review it","Distractor works")))</f>
        <v>Distractor works</v>
      </c>
    </row>
    <row r="31" customFormat="false" ht="15" hidden="false" customHeight="false" outlineLevel="0" collapsed="false">
      <c r="A31" s="15" t="s">
        <v>21</v>
      </c>
      <c r="B31" s="15" t="s">
        <v>47</v>
      </c>
      <c r="C31" s="15" t="str">
        <f aca="false">IF(Responses!$I$2=B31,"Yes","")</f>
        <v/>
      </c>
      <c r="D31" s="18" t="n">
        <f aca="false">COUNTIF(Responses!$I$3:$I$152,B31)/'Item Analysis'!$B$2</f>
        <v>0.1</v>
      </c>
      <c r="E31" s="15" t="n">
        <f aca="false">COUNTIFS(Responses!$I$3:$I$152,B31,Scoring!$AF$3:$AF$152,"&gt;="&amp;'Item Analysis'!$B$5)</f>
        <v>1</v>
      </c>
      <c r="F31" s="15" t="n">
        <f aca="false">COUNTIFS(Responses!$I$3:$I$152,B31,Scoring!$AF$3:$AF$152,"&lt;="&amp;'Item Analysis'!$B$6)</f>
        <v>7</v>
      </c>
      <c r="G31" s="15" t="n">
        <f aca="false">E31-F31</f>
        <v>-6</v>
      </c>
      <c r="H31" s="15" t="str">
        <f aca="false">IF(C31="Yes",IF(G31&gt;0,"Key discriminates as it should","Key does not discriminate: review"),IF(D31&lt;'Item Analysis'!$B$17,"Ineffective distractor",IF(G31&gt;0,"Distractor attracts high achievers: review it","Distractor works")))</f>
        <v>Distractor works</v>
      </c>
    </row>
    <row r="32" customFormat="false" ht="15" hidden="false" customHeight="false" outlineLevel="0" collapsed="false">
      <c r="A32" s="15" t="s">
        <v>21</v>
      </c>
      <c r="B32" s="15" t="s">
        <v>46</v>
      </c>
      <c r="C32" s="15" t="str">
        <f aca="false">IF(Responses!$I$2=B32,"Yes","")</f>
        <v>Yes</v>
      </c>
      <c r="D32" s="18" t="n">
        <f aca="false">COUNTIF(Responses!$I$3:$I$152,B32)/'Item Analysis'!$B$2</f>
        <v>0.66</v>
      </c>
      <c r="E32" s="15" t="n">
        <f aca="false">COUNTIFS(Responses!$I$3:$I$152,B32,Scoring!$AF$3:$AF$152,"&gt;="&amp;'Item Analysis'!$B$5)</f>
        <v>44</v>
      </c>
      <c r="F32" s="15" t="n">
        <f aca="false">COUNTIFS(Responses!$I$3:$I$152,B32,Scoring!$AF$3:$AF$152,"&lt;="&amp;'Item Analysis'!$B$6)</f>
        <v>12</v>
      </c>
      <c r="G32" s="15" t="n">
        <f aca="false">E32-F32</f>
        <v>32</v>
      </c>
      <c r="H32" s="15" t="str">
        <f aca="false">IF(C32="Yes",IF(G32&gt;0,"Key discriminates as it should","Key does not discriminate: review"),IF(D32&lt;'Item Analysis'!$B$17,"Ineffective distractor",IF(G32&gt;0,"Distractor attracts high achievers: review it","Distractor works")))</f>
        <v>Key discriminates as it should</v>
      </c>
    </row>
    <row r="33" customFormat="false" ht="15" hidden="false" customHeight="false" outlineLevel="0" collapsed="false">
      <c r="A33" s="20" t="s">
        <v>21</v>
      </c>
      <c r="B33" s="20" t="s">
        <v>45</v>
      </c>
      <c r="C33" s="20" t="str">
        <f aca="false">IF(Responses!$I$2=B33,"Yes","")</f>
        <v/>
      </c>
      <c r="D33" s="21" t="n">
        <f aca="false">COUNTIF(Responses!$I$3:$I$152,B33)/'Item Analysis'!$B$2</f>
        <v>0.106666666666667</v>
      </c>
      <c r="E33" s="20" t="n">
        <f aca="false">COUNTIFS(Responses!$I$3:$I$152,B33,Scoring!$AF$3:$AF$152,"&gt;="&amp;'Item Analysis'!$B$5)</f>
        <v>0</v>
      </c>
      <c r="F33" s="20" t="n">
        <f aca="false">COUNTIFS(Responses!$I$3:$I$152,B33,Scoring!$AF$3:$AF$152,"&lt;="&amp;'Item Analysis'!$B$6)</f>
        <v>12</v>
      </c>
      <c r="G33" s="20" t="n">
        <f aca="false">E33-F33</f>
        <v>-12</v>
      </c>
      <c r="H33" s="20" t="str">
        <f aca="false">IF(C33="Yes",IF(G33&gt;0,"Key discriminates as it should","Key does not discriminate: review"),IF(D33&lt;'Item Analysis'!$B$17,"Ineffective distractor",IF(G33&gt;0,"Distractor attracts high achievers: review it","Distractor works")))</f>
        <v>Distractor works</v>
      </c>
    </row>
    <row r="34" customFormat="false" ht="15" hidden="false" customHeight="false" outlineLevel="0" collapsed="false">
      <c r="A34" s="15" t="s">
        <v>22</v>
      </c>
      <c r="B34" s="15" t="s">
        <v>48</v>
      </c>
      <c r="C34" s="15" t="str">
        <f aca="false">IF(Responses!$J$2=B34,"Yes","")</f>
        <v>Yes</v>
      </c>
      <c r="D34" s="18" t="n">
        <f aca="false">COUNTIF(Responses!$J$3:$J$152,B34)/'Item Analysis'!$B$2</f>
        <v>0.906666666666667</v>
      </c>
      <c r="E34" s="15" t="n">
        <f aca="false">COUNTIFS(Responses!$J$3:$J$152,B34,Scoring!$AF$3:$AF$152,"&gt;="&amp;'Item Analysis'!$B$5)</f>
        <v>45</v>
      </c>
      <c r="F34" s="15" t="n">
        <f aca="false">COUNTIFS(Responses!$J$3:$J$152,B34,Scoring!$AF$3:$AF$152,"&lt;="&amp;'Item Analysis'!$B$6)</f>
        <v>34</v>
      </c>
      <c r="G34" s="15" t="n">
        <f aca="false">E34-F34</f>
        <v>11</v>
      </c>
      <c r="H34" s="15" t="str">
        <f aca="false">IF(C34="Yes",IF(G34&gt;0,"Key discriminates as it should","Key does not discriminate: review"),IF(D34&lt;'Item Analysis'!$B$17,"Ineffective distractor",IF(G34&gt;0,"Distractor attracts high achievers: review it","Distractor works")))</f>
        <v>Key discriminates as it should</v>
      </c>
    </row>
    <row r="35" customFormat="false" ht="15" hidden="false" customHeight="false" outlineLevel="0" collapsed="false">
      <c r="A35" s="15" t="s">
        <v>22</v>
      </c>
      <c r="B35" s="15" t="s">
        <v>47</v>
      </c>
      <c r="C35" s="15" t="str">
        <f aca="false">IF(Responses!$J$2=B35,"Yes","")</f>
        <v/>
      </c>
      <c r="D35" s="18" t="n">
        <f aca="false">COUNTIF(Responses!$J$3:$J$152,B35)/'Item Analysis'!$B$2</f>
        <v>0.04</v>
      </c>
      <c r="E35" s="15" t="n">
        <f aca="false">COUNTIFS(Responses!$J$3:$J$152,B35,Scoring!$AF$3:$AF$152,"&gt;="&amp;'Item Analysis'!$B$5)</f>
        <v>0</v>
      </c>
      <c r="F35" s="15" t="n">
        <f aca="false">COUNTIFS(Responses!$J$3:$J$152,B35,Scoring!$AF$3:$AF$152,"&lt;="&amp;'Item Analysis'!$B$6)</f>
        <v>5</v>
      </c>
      <c r="G35" s="15" t="n">
        <f aca="false">E35-F35</f>
        <v>-5</v>
      </c>
      <c r="H35" s="15" t="str">
        <f aca="false">IF(C35="Yes",IF(G35&gt;0,"Key discriminates as it should","Key does not discriminate: review"),IF(D35&lt;'Item Analysis'!$B$17,"Ineffective distractor",IF(G35&gt;0,"Distractor attracts high achievers: review it","Distractor works")))</f>
        <v>Ineffective distractor</v>
      </c>
    </row>
    <row r="36" customFormat="false" ht="15" hidden="false" customHeight="false" outlineLevel="0" collapsed="false">
      <c r="A36" s="15" t="s">
        <v>22</v>
      </c>
      <c r="B36" s="15" t="s">
        <v>46</v>
      </c>
      <c r="C36" s="15" t="str">
        <f aca="false">IF(Responses!$J$2=B36,"Yes","")</f>
        <v/>
      </c>
      <c r="D36" s="18" t="n">
        <f aca="false">COUNTIF(Responses!$J$3:$J$152,B36)/'Item Analysis'!$B$2</f>
        <v>0.0333333333333333</v>
      </c>
      <c r="E36" s="15" t="n">
        <f aca="false">COUNTIFS(Responses!$J$3:$J$152,B36,Scoring!$AF$3:$AF$152,"&gt;="&amp;'Item Analysis'!$B$5)</f>
        <v>0</v>
      </c>
      <c r="F36" s="15" t="n">
        <f aca="false">COUNTIFS(Responses!$J$3:$J$152,B36,Scoring!$AF$3:$AF$152,"&lt;="&amp;'Item Analysis'!$B$6)</f>
        <v>4</v>
      </c>
      <c r="G36" s="15" t="n">
        <f aca="false">E36-F36</f>
        <v>-4</v>
      </c>
      <c r="H36" s="15" t="str">
        <f aca="false">IF(C36="Yes",IF(G36&gt;0,"Key discriminates as it should","Key does not discriminate: review"),IF(D36&lt;'Item Analysis'!$B$17,"Ineffective distractor",IF(G36&gt;0,"Distractor attracts high achievers: review it","Distractor works")))</f>
        <v>Ineffective distractor</v>
      </c>
    </row>
    <row r="37" customFormat="false" ht="15" hidden="false" customHeight="false" outlineLevel="0" collapsed="false">
      <c r="A37" s="20" t="s">
        <v>22</v>
      </c>
      <c r="B37" s="20" t="s">
        <v>45</v>
      </c>
      <c r="C37" s="20" t="str">
        <f aca="false">IF(Responses!$J$2=B37,"Yes","")</f>
        <v/>
      </c>
      <c r="D37" s="21" t="n">
        <f aca="false">COUNTIF(Responses!$J$3:$J$152,B37)/'Item Analysis'!$B$2</f>
        <v>0.02</v>
      </c>
      <c r="E37" s="20" t="n">
        <f aca="false">COUNTIFS(Responses!$J$3:$J$152,B37,Scoring!$AF$3:$AF$152,"&gt;="&amp;'Item Analysis'!$B$5)</f>
        <v>0</v>
      </c>
      <c r="F37" s="20" t="n">
        <f aca="false">COUNTIFS(Responses!$J$3:$J$152,B37,Scoring!$AF$3:$AF$152,"&lt;="&amp;'Item Analysis'!$B$6)</f>
        <v>2</v>
      </c>
      <c r="G37" s="20" t="n">
        <f aca="false">E37-F37</f>
        <v>-2</v>
      </c>
      <c r="H37" s="20" t="str">
        <f aca="false">IF(C37="Yes",IF(G37&gt;0,"Key discriminates as it should","Key does not discriminate: review"),IF(D37&lt;'Item Analysis'!$B$17,"Ineffective distractor",IF(G37&gt;0,"Distractor attracts high achievers: review it","Distractor works")))</f>
        <v>Ineffective distractor</v>
      </c>
    </row>
    <row r="38" customFormat="false" ht="15" hidden="false" customHeight="false" outlineLevel="0" collapsed="false">
      <c r="A38" s="15" t="s">
        <v>23</v>
      </c>
      <c r="B38" s="15" t="s">
        <v>48</v>
      </c>
      <c r="C38" s="15" t="str">
        <f aca="false">IF(Responses!$K$2=B38,"Yes","")</f>
        <v/>
      </c>
      <c r="D38" s="18" t="n">
        <f aca="false">COUNTIF(Responses!$K$3:$K$152,B38)/'Item Analysis'!$B$2</f>
        <v>0.186666666666667</v>
      </c>
      <c r="E38" s="15" t="n">
        <f aca="false">COUNTIFS(Responses!$K$3:$K$152,B38,Scoring!$AF$3:$AF$152,"&gt;="&amp;'Item Analysis'!$B$5)</f>
        <v>1</v>
      </c>
      <c r="F38" s="15" t="n">
        <f aca="false">COUNTIFS(Responses!$K$3:$K$152,B38,Scoring!$AF$3:$AF$152,"&lt;="&amp;'Item Analysis'!$B$6)</f>
        <v>15</v>
      </c>
      <c r="G38" s="15" t="n">
        <f aca="false">E38-F38</f>
        <v>-14</v>
      </c>
      <c r="H38" s="15" t="str">
        <f aca="false">IF(C38="Yes",IF(G38&gt;0,"Key discriminates as it should","Key does not discriminate: review"),IF(D38&lt;'Item Analysis'!$B$17,"Ineffective distractor",IF(G38&gt;0,"Distractor attracts high achievers: review it","Distractor works")))</f>
        <v>Distractor works</v>
      </c>
    </row>
    <row r="39" customFormat="false" ht="15" hidden="false" customHeight="false" outlineLevel="0" collapsed="false">
      <c r="A39" s="15" t="s">
        <v>23</v>
      </c>
      <c r="B39" s="15" t="s">
        <v>47</v>
      </c>
      <c r="C39" s="15" t="str">
        <f aca="false">IF(Responses!$K$2=B39,"Yes","")</f>
        <v/>
      </c>
      <c r="D39" s="18" t="n">
        <f aca="false">COUNTIF(Responses!$K$3:$K$152,B39)/'Item Analysis'!$B$2</f>
        <v>0.2</v>
      </c>
      <c r="E39" s="15" t="n">
        <f aca="false">COUNTIFS(Responses!$K$3:$K$152,B39,Scoring!$AF$3:$AF$152,"&gt;="&amp;'Item Analysis'!$B$5)</f>
        <v>2</v>
      </c>
      <c r="F39" s="15" t="n">
        <f aca="false">COUNTIFS(Responses!$K$3:$K$152,B39,Scoring!$AF$3:$AF$152,"&lt;="&amp;'Item Analysis'!$B$6)</f>
        <v>12</v>
      </c>
      <c r="G39" s="15" t="n">
        <f aca="false">E39-F39</f>
        <v>-10</v>
      </c>
      <c r="H39" s="15" t="str">
        <f aca="false">IF(C39="Yes",IF(G39&gt;0,"Key discriminates as it should","Key does not discriminate: review"),IF(D39&lt;'Item Analysis'!$B$17,"Ineffective distractor",IF(G39&gt;0,"Distractor attracts high achievers: review it","Distractor works")))</f>
        <v>Distractor works</v>
      </c>
    </row>
    <row r="40" customFormat="false" ht="15" hidden="false" customHeight="false" outlineLevel="0" collapsed="false">
      <c r="A40" s="15" t="s">
        <v>23</v>
      </c>
      <c r="B40" s="15" t="s">
        <v>46</v>
      </c>
      <c r="C40" s="15" t="str">
        <f aca="false">IF(Responses!$K$2=B40,"Yes","")</f>
        <v/>
      </c>
      <c r="D40" s="18" t="n">
        <f aca="false">COUNTIF(Responses!$K$3:$K$152,B40)/'Item Analysis'!$B$2</f>
        <v>0.12</v>
      </c>
      <c r="E40" s="15" t="n">
        <f aca="false">COUNTIFS(Responses!$K$3:$K$152,B40,Scoring!$AF$3:$AF$152,"&gt;="&amp;'Item Analysis'!$B$5)</f>
        <v>0</v>
      </c>
      <c r="F40" s="15" t="n">
        <f aca="false">COUNTIFS(Responses!$K$3:$K$152,B40,Scoring!$AF$3:$AF$152,"&lt;="&amp;'Item Analysis'!$B$6)</f>
        <v>10</v>
      </c>
      <c r="G40" s="15" t="n">
        <f aca="false">E40-F40</f>
        <v>-10</v>
      </c>
      <c r="H40" s="15" t="str">
        <f aca="false">IF(C40="Yes",IF(G40&gt;0,"Key discriminates as it should","Key does not discriminate: review"),IF(D40&lt;'Item Analysis'!$B$17,"Ineffective distractor",IF(G40&gt;0,"Distractor attracts high achievers: review it","Distractor works")))</f>
        <v>Distractor works</v>
      </c>
    </row>
    <row r="41" customFormat="false" ht="15" hidden="false" customHeight="false" outlineLevel="0" collapsed="false">
      <c r="A41" s="20" t="s">
        <v>23</v>
      </c>
      <c r="B41" s="20" t="s">
        <v>45</v>
      </c>
      <c r="C41" s="20" t="str">
        <f aca="false">IF(Responses!$K$2=B41,"Yes","")</f>
        <v>Yes</v>
      </c>
      <c r="D41" s="21" t="n">
        <f aca="false">COUNTIF(Responses!$K$3:$K$152,B41)/'Item Analysis'!$B$2</f>
        <v>0.493333333333333</v>
      </c>
      <c r="E41" s="20" t="n">
        <f aca="false">COUNTIFS(Responses!$K$3:$K$152,B41,Scoring!$AF$3:$AF$152,"&gt;="&amp;'Item Analysis'!$B$5)</f>
        <v>42</v>
      </c>
      <c r="F41" s="20" t="n">
        <f aca="false">COUNTIFS(Responses!$K$3:$K$152,B41,Scoring!$AF$3:$AF$152,"&lt;="&amp;'Item Analysis'!$B$6)</f>
        <v>8</v>
      </c>
      <c r="G41" s="20" t="n">
        <f aca="false">E41-F41</f>
        <v>34</v>
      </c>
      <c r="H41" s="20" t="str">
        <f aca="false">IF(C41="Yes",IF(G41&gt;0,"Key discriminates as it should","Key does not discriminate: review"),IF(D41&lt;'Item Analysis'!$B$17,"Ineffective distractor",IF(G41&gt;0,"Distractor attracts high achievers: review it","Distractor works")))</f>
        <v>Key discriminates as it should</v>
      </c>
    </row>
    <row r="42" customFormat="false" ht="15" hidden="false" customHeight="false" outlineLevel="0" collapsed="false">
      <c r="A42" s="15" t="s">
        <v>24</v>
      </c>
      <c r="B42" s="15" t="s">
        <v>48</v>
      </c>
      <c r="C42" s="15" t="str">
        <f aca="false">IF(Responses!$L$2=B42,"Yes","")</f>
        <v>Yes</v>
      </c>
      <c r="D42" s="18" t="n">
        <f aca="false">COUNTIF(Responses!$L$3:$L$152,B42)/'Item Analysis'!$B$2</f>
        <v>0.62</v>
      </c>
      <c r="E42" s="15" t="n">
        <f aca="false">COUNTIFS(Responses!$L$3:$L$152,B42,Scoring!$AF$3:$AF$152,"&gt;="&amp;'Item Analysis'!$B$5)</f>
        <v>42</v>
      </c>
      <c r="F42" s="15" t="n">
        <f aca="false">COUNTIFS(Responses!$L$3:$L$152,B42,Scoring!$AF$3:$AF$152,"&lt;="&amp;'Item Analysis'!$B$6)</f>
        <v>10</v>
      </c>
      <c r="G42" s="15" t="n">
        <f aca="false">E42-F42</f>
        <v>32</v>
      </c>
      <c r="H42" s="15" t="str">
        <f aca="false">IF(C42="Yes",IF(G42&gt;0,"Key discriminates as it should","Key does not discriminate: review"),IF(D42&lt;'Item Analysis'!$B$17,"Ineffective distractor",IF(G42&gt;0,"Distractor attracts high achievers: review it","Distractor works")))</f>
        <v>Key discriminates as it should</v>
      </c>
    </row>
    <row r="43" customFormat="false" ht="15" hidden="false" customHeight="false" outlineLevel="0" collapsed="false">
      <c r="A43" s="15" t="s">
        <v>24</v>
      </c>
      <c r="B43" s="15" t="s">
        <v>47</v>
      </c>
      <c r="C43" s="15" t="str">
        <f aca="false">IF(Responses!$L$2=B43,"Yes","")</f>
        <v/>
      </c>
      <c r="D43" s="18" t="n">
        <f aca="false">COUNTIF(Responses!$L$3:$L$152,B43)/'Item Analysis'!$B$2</f>
        <v>0.213333333333333</v>
      </c>
      <c r="E43" s="15" t="n">
        <f aca="false">COUNTIFS(Responses!$L$3:$L$152,B43,Scoring!$AF$3:$AF$152,"&gt;="&amp;'Item Analysis'!$B$5)</f>
        <v>1</v>
      </c>
      <c r="F43" s="15" t="n">
        <f aca="false">COUNTIFS(Responses!$L$3:$L$152,B43,Scoring!$AF$3:$AF$152,"&lt;="&amp;'Item Analysis'!$B$6)</f>
        <v>19</v>
      </c>
      <c r="G43" s="15" t="n">
        <f aca="false">E43-F43</f>
        <v>-18</v>
      </c>
      <c r="H43" s="15" t="str">
        <f aca="false">IF(C43="Yes",IF(G43&gt;0,"Key discriminates as it should","Key does not discriminate: review"),IF(D43&lt;'Item Analysis'!$B$17,"Ineffective distractor",IF(G43&gt;0,"Distractor attracts high achievers: review it","Distractor works")))</f>
        <v>Distractor works</v>
      </c>
    </row>
    <row r="44" customFormat="false" ht="15" hidden="false" customHeight="false" outlineLevel="0" collapsed="false">
      <c r="A44" s="15" t="s">
        <v>24</v>
      </c>
      <c r="B44" s="15" t="s">
        <v>46</v>
      </c>
      <c r="C44" s="15" t="str">
        <f aca="false">IF(Responses!$L$2=B44,"Yes","")</f>
        <v/>
      </c>
      <c r="D44" s="18" t="n">
        <f aca="false">COUNTIF(Responses!$L$3:$L$152,B44)/'Item Analysis'!$B$2</f>
        <v>0.133333333333333</v>
      </c>
      <c r="E44" s="15" t="n">
        <f aca="false">COUNTIFS(Responses!$L$3:$L$152,B44,Scoring!$AF$3:$AF$152,"&gt;="&amp;'Item Analysis'!$B$5)</f>
        <v>1</v>
      </c>
      <c r="F44" s="15" t="n">
        <f aca="false">COUNTIFS(Responses!$L$3:$L$152,B44,Scoring!$AF$3:$AF$152,"&lt;="&amp;'Item Analysis'!$B$6)</f>
        <v>13</v>
      </c>
      <c r="G44" s="15" t="n">
        <f aca="false">E44-F44</f>
        <v>-12</v>
      </c>
      <c r="H44" s="15" t="str">
        <f aca="false">IF(C44="Yes",IF(G44&gt;0,"Key discriminates as it should","Key does not discriminate: review"),IF(D44&lt;'Item Analysis'!$B$17,"Ineffective distractor",IF(G44&gt;0,"Distractor attracts high achievers: review it","Distractor works")))</f>
        <v>Distractor works</v>
      </c>
    </row>
    <row r="45" customFormat="false" ht="15" hidden="false" customHeight="false" outlineLevel="0" collapsed="false">
      <c r="A45" s="20" t="s">
        <v>24</v>
      </c>
      <c r="B45" s="20" t="s">
        <v>45</v>
      </c>
      <c r="C45" s="20" t="str">
        <f aca="false">IF(Responses!$L$2=B45,"Yes","")</f>
        <v/>
      </c>
      <c r="D45" s="21" t="n">
        <f aca="false">COUNTIF(Responses!$L$3:$L$152,B45)/'Item Analysis'!$B$2</f>
        <v>0.0333333333333333</v>
      </c>
      <c r="E45" s="20" t="n">
        <f aca="false">COUNTIFS(Responses!$L$3:$L$152,B45,Scoring!$AF$3:$AF$152,"&gt;="&amp;'Item Analysis'!$B$5)</f>
        <v>1</v>
      </c>
      <c r="F45" s="20" t="n">
        <f aca="false">COUNTIFS(Responses!$L$3:$L$152,B45,Scoring!$AF$3:$AF$152,"&lt;="&amp;'Item Analysis'!$B$6)</f>
        <v>3</v>
      </c>
      <c r="G45" s="20" t="n">
        <f aca="false">E45-F45</f>
        <v>-2</v>
      </c>
      <c r="H45" s="20" t="str">
        <f aca="false">IF(C45="Yes",IF(G45&gt;0,"Key discriminates as it should","Key does not discriminate: review"),IF(D45&lt;'Item Analysis'!$B$17,"Ineffective distractor",IF(G45&gt;0,"Distractor attracts high achievers: review it","Distractor works")))</f>
        <v>Ineffective distractor</v>
      </c>
    </row>
    <row r="46" customFormat="false" ht="15" hidden="false" customHeight="false" outlineLevel="0" collapsed="false">
      <c r="A46" s="15" t="s">
        <v>25</v>
      </c>
      <c r="B46" s="15" t="s">
        <v>48</v>
      </c>
      <c r="C46" s="15" t="str">
        <f aca="false">IF(Responses!$M$2=B46,"Yes","")</f>
        <v/>
      </c>
      <c r="D46" s="18" t="n">
        <f aca="false">COUNTIF(Responses!$M$3:$M$152,B46)/'Item Analysis'!$B$2</f>
        <v>0.0133333333333333</v>
      </c>
      <c r="E46" s="15" t="n">
        <f aca="false">COUNTIFS(Responses!$M$3:$M$152,B46,Scoring!$AF$3:$AF$152,"&gt;="&amp;'Item Analysis'!$B$5)</f>
        <v>0</v>
      </c>
      <c r="F46" s="15" t="n">
        <f aca="false">COUNTIFS(Responses!$M$3:$M$152,B46,Scoring!$AF$3:$AF$152,"&lt;="&amp;'Item Analysis'!$B$6)</f>
        <v>2</v>
      </c>
      <c r="G46" s="15" t="n">
        <f aca="false">E46-F46</f>
        <v>-2</v>
      </c>
      <c r="H46" s="15" t="str">
        <f aca="false">IF(C46="Yes",IF(G46&gt;0,"Key discriminates as it should","Key does not discriminate: review"),IF(D46&lt;'Item Analysis'!$B$17,"Ineffective distractor",IF(G46&gt;0,"Distractor attracts high achievers: review it","Distractor works")))</f>
        <v>Ineffective distractor</v>
      </c>
    </row>
    <row r="47" customFormat="false" ht="15" hidden="false" customHeight="false" outlineLevel="0" collapsed="false">
      <c r="A47" s="15" t="s">
        <v>25</v>
      </c>
      <c r="B47" s="15" t="s">
        <v>47</v>
      </c>
      <c r="C47" s="15" t="str">
        <f aca="false">IF(Responses!$M$2=B47,"Yes","")</f>
        <v/>
      </c>
      <c r="D47" s="18" t="n">
        <f aca="false">COUNTIF(Responses!$M$3:$M$152,B47)/'Item Analysis'!$B$2</f>
        <v>0.00666666666666667</v>
      </c>
      <c r="E47" s="15" t="n">
        <f aca="false">COUNTIFS(Responses!$M$3:$M$152,B47,Scoring!$AF$3:$AF$152,"&gt;="&amp;'Item Analysis'!$B$5)</f>
        <v>0</v>
      </c>
      <c r="F47" s="15" t="n">
        <f aca="false">COUNTIFS(Responses!$M$3:$M$152,B47,Scoring!$AF$3:$AF$152,"&lt;="&amp;'Item Analysis'!$B$6)</f>
        <v>1</v>
      </c>
      <c r="G47" s="15" t="n">
        <f aca="false">E47-F47</f>
        <v>-1</v>
      </c>
      <c r="H47" s="15" t="str">
        <f aca="false">IF(C47="Yes",IF(G47&gt;0,"Key discriminates as it should","Key does not discriminate: review"),IF(D47&lt;'Item Analysis'!$B$17,"Ineffective distractor",IF(G47&gt;0,"Distractor attracts high achievers: review it","Distractor works")))</f>
        <v>Ineffective distractor</v>
      </c>
    </row>
    <row r="48" customFormat="false" ht="15" hidden="false" customHeight="false" outlineLevel="0" collapsed="false">
      <c r="A48" s="15" t="s">
        <v>25</v>
      </c>
      <c r="B48" s="15" t="s">
        <v>46</v>
      </c>
      <c r="C48" s="15" t="str">
        <f aca="false">IF(Responses!$M$2=B48,"Yes","")</f>
        <v>Yes</v>
      </c>
      <c r="D48" s="18" t="n">
        <f aca="false">COUNTIF(Responses!$M$3:$M$152,B48)/'Item Analysis'!$B$2</f>
        <v>0.973333333333333</v>
      </c>
      <c r="E48" s="15" t="n">
        <f aca="false">COUNTIFS(Responses!$M$3:$M$152,B48,Scoring!$AF$3:$AF$152,"&gt;="&amp;'Item Analysis'!$B$5)</f>
        <v>45</v>
      </c>
      <c r="F48" s="15" t="n">
        <f aca="false">COUNTIFS(Responses!$M$3:$M$152,B48,Scoring!$AF$3:$AF$152,"&lt;="&amp;'Item Analysis'!$B$6)</f>
        <v>41</v>
      </c>
      <c r="G48" s="15" t="n">
        <f aca="false">E48-F48</f>
        <v>4</v>
      </c>
      <c r="H48" s="15" t="str">
        <f aca="false">IF(C48="Yes",IF(G48&gt;0,"Key discriminates as it should","Key does not discriminate: review"),IF(D48&lt;'Item Analysis'!$B$17,"Ineffective distractor",IF(G48&gt;0,"Distractor attracts high achievers: review it","Distractor works")))</f>
        <v>Key discriminates as it should</v>
      </c>
    </row>
    <row r="49" customFormat="false" ht="15" hidden="false" customHeight="false" outlineLevel="0" collapsed="false">
      <c r="A49" s="20" t="s">
        <v>25</v>
      </c>
      <c r="B49" s="20" t="s">
        <v>45</v>
      </c>
      <c r="C49" s="20" t="str">
        <f aca="false">IF(Responses!$M$2=B49,"Yes","")</f>
        <v/>
      </c>
      <c r="D49" s="21" t="n">
        <f aca="false">COUNTIF(Responses!$M$3:$M$152,B49)/'Item Analysis'!$B$2</f>
        <v>0.00666666666666667</v>
      </c>
      <c r="E49" s="20" t="n">
        <f aca="false">COUNTIFS(Responses!$M$3:$M$152,B49,Scoring!$AF$3:$AF$152,"&gt;="&amp;'Item Analysis'!$B$5)</f>
        <v>0</v>
      </c>
      <c r="F49" s="20" t="n">
        <f aca="false">COUNTIFS(Responses!$M$3:$M$152,B49,Scoring!$AF$3:$AF$152,"&lt;="&amp;'Item Analysis'!$B$6)</f>
        <v>1</v>
      </c>
      <c r="G49" s="20" t="n">
        <f aca="false">E49-F49</f>
        <v>-1</v>
      </c>
      <c r="H49" s="20" t="str">
        <f aca="false">IF(C49="Yes",IF(G49&gt;0,"Key discriminates as it should","Key does not discriminate: review"),IF(D49&lt;'Item Analysis'!$B$17,"Ineffective distractor",IF(G49&gt;0,"Distractor attracts high achievers: review it","Distractor works")))</f>
        <v>Ineffective distractor</v>
      </c>
    </row>
    <row r="50" customFormat="false" ht="15" hidden="false" customHeight="false" outlineLevel="0" collapsed="false">
      <c r="A50" s="15" t="s">
        <v>26</v>
      </c>
      <c r="B50" s="15" t="s">
        <v>48</v>
      </c>
      <c r="C50" s="15" t="str">
        <f aca="false">IF(Responses!$N$2=B50,"Yes","")</f>
        <v/>
      </c>
      <c r="D50" s="18" t="n">
        <f aca="false">COUNTIF(Responses!$N$3:$N$152,B50)/'Item Analysis'!$B$2</f>
        <v>0.266666666666667</v>
      </c>
      <c r="E50" s="15" t="n">
        <f aca="false">COUNTIFS(Responses!$N$3:$N$152,B50,Scoring!$AF$3:$AF$152,"&gt;="&amp;'Item Analysis'!$B$5)</f>
        <v>3</v>
      </c>
      <c r="F50" s="15" t="n">
        <f aca="false">COUNTIFS(Responses!$N$3:$N$152,B50,Scoring!$AF$3:$AF$152,"&lt;="&amp;'Item Analysis'!$B$6)</f>
        <v>20</v>
      </c>
      <c r="G50" s="15" t="n">
        <f aca="false">E50-F50</f>
        <v>-17</v>
      </c>
      <c r="H50" s="15" t="str">
        <f aca="false">IF(C50="Yes",IF(G50&gt;0,"Key discriminates as it should","Key does not discriminate: review"),IF(D50&lt;'Item Analysis'!$B$17,"Ineffective distractor",IF(G50&gt;0,"Distractor attracts high achievers: review it","Distractor works")))</f>
        <v>Distractor works</v>
      </c>
    </row>
    <row r="51" customFormat="false" ht="15" hidden="false" customHeight="false" outlineLevel="0" collapsed="false">
      <c r="A51" s="15" t="s">
        <v>26</v>
      </c>
      <c r="B51" s="15" t="s">
        <v>47</v>
      </c>
      <c r="C51" s="15" t="str">
        <f aca="false">IF(Responses!$N$2=B51,"Yes","")</f>
        <v>Yes</v>
      </c>
      <c r="D51" s="18" t="n">
        <f aca="false">COUNTIF(Responses!$N$3:$N$152,B51)/'Item Analysis'!$B$2</f>
        <v>0.413333333333333</v>
      </c>
      <c r="E51" s="15" t="n">
        <f aca="false">COUNTIFS(Responses!$N$3:$N$152,B51,Scoring!$AF$3:$AF$152,"&gt;="&amp;'Item Analysis'!$B$5)</f>
        <v>38</v>
      </c>
      <c r="F51" s="15" t="n">
        <f aca="false">COUNTIFS(Responses!$N$3:$N$152,B51,Scoring!$AF$3:$AF$152,"&lt;="&amp;'Item Analysis'!$B$6)</f>
        <v>2</v>
      </c>
      <c r="G51" s="15" t="n">
        <f aca="false">E51-F51</f>
        <v>36</v>
      </c>
      <c r="H51" s="15" t="str">
        <f aca="false">IF(C51="Yes",IF(G51&gt;0,"Key discriminates as it should","Key does not discriminate: review"),IF(D51&lt;'Item Analysis'!$B$17,"Ineffective distractor",IF(G51&gt;0,"Distractor attracts high achievers: review it","Distractor works")))</f>
        <v>Key discriminates as it should</v>
      </c>
    </row>
    <row r="52" customFormat="false" ht="15" hidden="false" customHeight="false" outlineLevel="0" collapsed="false">
      <c r="A52" s="15" t="s">
        <v>26</v>
      </c>
      <c r="B52" s="15" t="s">
        <v>46</v>
      </c>
      <c r="C52" s="15" t="str">
        <f aca="false">IF(Responses!$N$2=B52,"Yes","")</f>
        <v/>
      </c>
      <c r="D52" s="18" t="n">
        <f aca="false">COUNTIF(Responses!$N$3:$N$152,B52)/'Item Analysis'!$B$2</f>
        <v>0.18</v>
      </c>
      <c r="E52" s="15" t="n">
        <f aca="false">COUNTIFS(Responses!$N$3:$N$152,B52,Scoring!$AF$3:$AF$152,"&gt;="&amp;'Item Analysis'!$B$5)</f>
        <v>2</v>
      </c>
      <c r="F52" s="15" t="n">
        <f aca="false">COUNTIFS(Responses!$N$3:$N$152,B52,Scoring!$AF$3:$AF$152,"&lt;="&amp;'Item Analysis'!$B$6)</f>
        <v>15</v>
      </c>
      <c r="G52" s="15" t="n">
        <f aca="false">E52-F52</f>
        <v>-13</v>
      </c>
      <c r="H52" s="15" t="str">
        <f aca="false">IF(C52="Yes",IF(G52&gt;0,"Key discriminates as it should","Key does not discriminate: review"),IF(D52&lt;'Item Analysis'!$B$17,"Ineffective distractor",IF(G52&gt;0,"Distractor attracts high achievers: review it","Distractor works")))</f>
        <v>Distractor works</v>
      </c>
    </row>
    <row r="53" customFormat="false" ht="15" hidden="false" customHeight="false" outlineLevel="0" collapsed="false">
      <c r="A53" s="20" t="s">
        <v>26</v>
      </c>
      <c r="B53" s="20" t="s">
        <v>45</v>
      </c>
      <c r="C53" s="20" t="str">
        <f aca="false">IF(Responses!$N$2=B53,"Yes","")</f>
        <v/>
      </c>
      <c r="D53" s="21" t="n">
        <f aca="false">COUNTIF(Responses!$N$3:$N$152,B53)/'Item Analysis'!$B$2</f>
        <v>0.14</v>
      </c>
      <c r="E53" s="20" t="n">
        <f aca="false">COUNTIFS(Responses!$N$3:$N$152,B53,Scoring!$AF$3:$AF$152,"&gt;="&amp;'Item Analysis'!$B$5)</f>
        <v>2</v>
      </c>
      <c r="F53" s="20" t="n">
        <f aca="false">COUNTIFS(Responses!$N$3:$N$152,B53,Scoring!$AF$3:$AF$152,"&lt;="&amp;'Item Analysis'!$B$6)</f>
        <v>8</v>
      </c>
      <c r="G53" s="20" t="n">
        <f aca="false">E53-F53</f>
        <v>-6</v>
      </c>
      <c r="H53" s="20" t="str">
        <f aca="false">IF(C53="Yes",IF(G53&gt;0,"Key discriminates as it should","Key does not discriminate: review"),IF(D53&lt;'Item Analysis'!$B$17,"Ineffective distractor",IF(G53&gt;0,"Distractor attracts high achievers: review it","Distractor works")))</f>
        <v>Distractor works</v>
      </c>
    </row>
    <row r="54" customFormat="false" ht="15" hidden="false" customHeight="false" outlineLevel="0" collapsed="false">
      <c r="A54" s="15" t="s">
        <v>27</v>
      </c>
      <c r="B54" s="15" t="s">
        <v>48</v>
      </c>
      <c r="C54" s="15" t="str">
        <f aca="false">IF(Responses!$O$2=B54,"Yes","")</f>
        <v/>
      </c>
      <c r="D54" s="18" t="n">
        <f aca="false">COUNTIF(Responses!$O$3:$O$152,B54)/'Item Analysis'!$B$2</f>
        <v>0.08</v>
      </c>
      <c r="E54" s="15" t="n">
        <f aca="false">COUNTIFS(Responses!$O$3:$O$152,B54,Scoring!$AF$3:$AF$152,"&gt;="&amp;'Item Analysis'!$B$5)</f>
        <v>0</v>
      </c>
      <c r="F54" s="15" t="n">
        <f aca="false">COUNTIFS(Responses!$O$3:$O$152,B54,Scoring!$AF$3:$AF$152,"&lt;="&amp;'Item Analysis'!$B$6)</f>
        <v>5</v>
      </c>
      <c r="G54" s="15" t="n">
        <f aca="false">E54-F54</f>
        <v>-5</v>
      </c>
      <c r="H54" s="15" t="str">
        <f aca="false">IF(C54="Yes",IF(G54&gt;0,"Key discriminates as it should","Key does not discriminate: review"),IF(D54&lt;'Item Analysis'!$B$17,"Ineffective distractor",IF(G54&gt;0,"Distractor attracts high achievers: review it","Distractor works")))</f>
        <v>Distractor works</v>
      </c>
    </row>
    <row r="55" customFormat="false" ht="15" hidden="false" customHeight="false" outlineLevel="0" collapsed="false">
      <c r="A55" s="15" t="s">
        <v>27</v>
      </c>
      <c r="B55" s="15" t="s">
        <v>47</v>
      </c>
      <c r="C55" s="15" t="str">
        <f aca="false">IF(Responses!$O$2=B55,"Yes","")</f>
        <v/>
      </c>
      <c r="D55" s="18" t="n">
        <f aca="false">COUNTIF(Responses!$O$3:$O$152,B55)/'Item Analysis'!$B$2</f>
        <v>0.18</v>
      </c>
      <c r="E55" s="15" t="n">
        <f aca="false">COUNTIFS(Responses!$O$3:$O$152,B55,Scoring!$AF$3:$AF$152,"&gt;="&amp;'Item Analysis'!$B$5)</f>
        <v>3</v>
      </c>
      <c r="F55" s="15" t="n">
        <f aca="false">COUNTIFS(Responses!$O$3:$O$152,B55,Scoring!$AF$3:$AF$152,"&lt;="&amp;'Item Analysis'!$B$6)</f>
        <v>14</v>
      </c>
      <c r="G55" s="15" t="n">
        <f aca="false">E55-F55</f>
        <v>-11</v>
      </c>
      <c r="H55" s="15" t="str">
        <f aca="false">IF(C55="Yes",IF(G55&gt;0,"Key discriminates as it should","Key does not discriminate: review"),IF(D55&lt;'Item Analysis'!$B$17,"Ineffective distractor",IF(G55&gt;0,"Distractor attracts high achievers: review it","Distractor works")))</f>
        <v>Distractor works</v>
      </c>
    </row>
    <row r="56" customFormat="false" ht="15" hidden="false" customHeight="false" outlineLevel="0" collapsed="false">
      <c r="A56" s="15" t="s">
        <v>27</v>
      </c>
      <c r="B56" s="15" t="s">
        <v>46</v>
      </c>
      <c r="C56" s="15" t="str">
        <f aca="false">IF(Responses!$O$2=B56,"Yes","")</f>
        <v/>
      </c>
      <c r="D56" s="18" t="n">
        <f aca="false">COUNTIF(Responses!$O$3:$O$152,B56)/'Item Analysis'!$B$2</f>
        <v>0.12</v>
      </c>
      <c r="E56" s="15" t="n">
        <f aca="false">COUNTIFS(Responses!$O$3:$O$152,B56,Scoring!$AF$3:$AF$152,"&gt;="&amp;'Item Analysis'!$B$5)</f>
        <v>1</v>
      </c>
      <c r="F56" s="15" t="n">
        <f aca="false">COUNTIFS(Responses!$O$3:$O$152,B56,Scoring!$AF$3:$AF$152,"&lt;="&amp;'Item Analysis'!$B$6)</f>
        <v>10</v>
      </c>
      <c r="G56" s="15" t="n">
        <f aca="false">E56-F56</f>
        <v>-9</v>
      </c>
      <c r="H56" s="15" t="str">
        <f aca="false">IF(C56="Yes",IF(G56&gt;0,"Key discriminates as it should","Key does not discriminate: review"),IF(D56&lt;'Item Analysis'!$B$17,"Ineffective distractor",IF(G56&gt;0,"Distractor attracts high achievers: review it","Distractor works")))</f>
        <v>Distractor works</v>
      </c>
    </row>
    <row r="57" customFormat="false" ht="15" hidden="false" customHeight="false" outlineLevel="0" collapsed="false">
      <c r="A57" s="20" t="s">
        <v>27</v>
      </c>
      <c r="B57" s="20" t="s">
        <v>45</v>
      </c>
      <c r="C57" s="20" t="str">
        <f aca="false">IF(Responses!$O$2=B57,"Yes","")</f>
        <v>Yes</v>
      </c>
      <c r="D57" s="21" t="n">
        <f aca="false">COUNTIF(Responses!$O$3:$O$152,B57)/'Item Analysis'!$B$2</f>
        <v>0.62</v>
      </c>
      <c r="E57" s="20" t="n">
        <f aca="false">COUNTIFS(Responses!$O$3:$O$152,B57,Scoring!$AF$3:$AF$152,"&gt;="&amp;'Item Analysis'!$B$5)</f>
        <v>41</v>
      </c>
      <c r="F57" s="20" t="n">
        <f aca="false">COUNTIFS(Responses!$O$3:$O$152,B57,Scoring!$AF$3:$AF$152,"&lt;="&amp;'Item Analysis'!$B$6)</f>
        <v>16</v>
      </c>
      <c r="G57" s="20" t="n">
        <f aca="false">E57-F57</f>
        <v>25</v>
      </c>
      <c r="H57" s="20" t="str">
        <f aca="false">IF(C57="Yes",IF(G57&gt;0,"Key discriminates as it should","Key does not discriminate: review"),IF(D57&lt;'Item Analysis'!$B$17,"Ineffective distractor",IF(G57&gt;0,"Distractor attracts high achievers: review it","Distractor works")))</f>
        <v>Key discriminates as it should</v>
      </c>
    </row>
    <row r="58" customFormat="false" ht="28.35" hidden="false" customHeight="false" outlineLevel="0" collapsed="false">
      <c r="A58" s="15" t="s">
        <v>28</v>
      </c>
      <c r="B58" s="15" t="s">
        <v>48</v>
      </c>
      <c r="C58" s="15" t="str">
        <f aca="false">IF(Responses!$P$2=B58,"Yes","")</f>
        <v/>
      </c>
      <c r="D58" s="18" t="n">
        <f aca="false">COUNTIF(Responses!$P$3:$P$152,B58)/'Item Analysis'!$B$2</f>
        <v>0.373333333333333</v>
      </c>
      <c r="E58" s="15" t="n">
        <f aca="false">COUNTIFS(Responses!$P$3:$P$152,B58,Scoring!$AF$3:$AF$152,"&gt;="&amp;'Item Analysis'!$B$5)</f>
        <v>24</v>
      </c>
      <c r="F58" s="15" t="n">
        <f aca="false">COUNTIFS(Responses!$P$3:$P$152,B58,Scoring!$AF$3:$AF$152,"&lt;="&amp;'Item Analysis'!$B$6)</f>
        <v>13</v>
      </c>
      <c r="G58" s="15" t="n">
        <f aca="false">E58-F58</f>
        <v>11</v>
      </c>
      <c r="H58" s="15" t="str">
        <f aca="false">IF(C58="Yes",IF(G58&gt;0,"Key discriminates as it should","Key does not discriminate: review"),IF(D58&lt;'Item Analysis'!$B$17,"Ineffective distractor",IF(G58&gt;0,"Distractor attracts high achievers: review it","Distractor works")))</f>
        <v>Distractor attracts high achievers: review it</v>
      </c>
    </row>
    <row r="59" customFormat="false" ht="15" hidden="false" customHeight="false" outlineLevel="0" collapsed="false">
      <c r="A59" s="15" t="s">
        <v>28</v>
      </c>
      <c r="B59" s="15" t="s">
        <v>47</v>
      </c>
      <c r="C59" s="15" t="str">
        <f aca="false">IF(Responses!$P$2=B59,"Yes","")</f>
        <v/>
      </c>
      <c r="D59" s="18" t="n">
        <f aca="false">COUNTIF(Responses!$P$3:$P$152,B59)/'Item Analysis'!$B$2</f>
        <v>0.08</v>
      </c>
      <c r="E59" s="15" t="n">
        <f aca="false">COUNTIFS(Responses!$P$3:$P$152,B59,Scoring!$AF$3:$AF$152,"&gt;="&amp;'Item Analysis'!$B$5)</f>
        <v>0</v>
      </c>
      <c r="F59" s="15" t="n">
        <f aca="false">COUNTIFS(Responses!$P$3:$P$152,B59,Scoring!$AF$3:$AF$152,"&lt;="&amp;'Item Analysis'!$B$6)</f>
        <v>9</v>
      </c>
      <c r="G59" s="15" t="n">
        <f aca="false">E59-F59</f>
        <v>-9</v>
      </c>
      <c r="H59" s="15" t="str">
        <f aca="false">IF(C59="Yes",IF(G59&gt;0,"Key discriminates as it should","Key does not discriminate: review"),IF(D59&lt;'Item Analysis'!$B$17,"Ineffective distractor",IF(G59&gt;0,"Distractor attracts high achievers: review it","Distractor works")))</f>
        <v>Distractor works</v>
      </c>
    </row>
    <row r="60" customFormat="false" ht="15" hidden="false" customHeight="false" outlineLevel="0" collapsed="false">
      <c r="A60" s="15" t="s">
        <v>28</v>
      </c>
      <c r="B60" s="15" t="s">
        <v>46</v>
      </c>
      <c r="C60" s="15" t="str">
        <f aca="false">IF(Responses!$P$2=B60,"Yes","")</f>
        <v>Yes</v>
      </c>
      <c r="D60" s="18" t="n">
        <f aca="false">COUNTIF(Responses!$P$3:$P$152,B60)/'Item Analysis'!$B$2</f>
        <v>0.4</v>
      </c>
      <c r="E60" s="15" t="n">
        <f aca="false">COUNTIFS(Responses!$P$3:$P$152,B60,Scoring!$AF$3:$AF$152,"&gt;="&amp;'Item Analysis'!$B$5)</f>
        <v>19</v>
      </c>
      <c r="F60" s="15" t="n">
        <f aca="false">COUNTIFS(Responses!$P$3:$P$152,B60,Scoring!$AF$3:$AF$152,"&lt;="&amp;'Item Analysis'!$B$6)</f>
        <v>7</v>
      </c>
      <c r="G60" s="15" t="n">
        <f aca="false">E60-F60</f>
        <v>12</v>
      </c>
      <c r="H60" s="15" t="str">
        <f aca="false">IF(C60="Yes",IF(G60&gt;0,"Key discriminates as it should","Key does not discriminate: review"),IF(D60&lt;'Item Analysis'!$B$17,"Ineffective distractor",IF(G60&gt;0,"Distractor attracts high achievers: review it","Distractor works")))</f>
        <v>Key discriminates as it should</v>
      </c>
    </row>
    <row r="61" customFormat="false" ht="15" hidden="false" customHeight="false" outlineLevel="0" collapsed="false">
      <c r="A61" s="20" t="s">
        <v>28</v>
      </c>
      <c r="B61" s="20" t="s">
        <v>45</v>
      </c>
      <c r="C61" s="20" t="str">
        <f aca="false">IF(Responses!$P$2=B61,"Yes","")</f>
        <v/>
      </c>
      <c r="D61" s="21" t="n">
        <f aca="false">COUNTIF(Responses!$P$3:$P$152,B61)/'Item Analysis'!$B$2</f>
        <v>0.146666666666667</v>
      </c>
      <c r="E61" s="20" t="n">
        <f aca="false">COUNTIFS(Responses!$P$3:$P$152,B61,Scoring!$AF$3:$AF$152,"&gt;="&amp;'Item Analysis'!$B$5)</f>
        <v>2</v>
      </c>
      <c r="F61" s="20" t="n">
        <f aca="false">COUNTIFS(Responses!$P$3:$P$152,B61,Scoring!$AF$3:$AF$152,"&lt;="&amp;'Item Analysis'!$B$6)</f>
        <v>16</v>
      </c>
      <c r="G61" s="20" t="n">
        <f aca="false">E61-F61</f>
        <v>-14</v>
      </c>
      <c r="H61" s="20" t="str">
        <f aca="false">IF(C61="Yes",IF(G61&gt;0,"Key discriminates as it should","Key does not discriminate: review"),IF(D61&lt;'Item Analysis'!$B$17,"Ineffective distractor",IF(G61&gt;0,"Distractor attracts high achievers: review it","Distractor works")))</f>
        <v>Distractor works</v>
      </c>
    </row>
    <row r="62" customFormat="false" ht="15" hidden="false" customHeight="false" outlineLevel="0" collapsed="false">
      <c r="A62" s="15" t="s">
        <v>29</v>
      </c>
      <c r="B62" s="15" t="s">
        <v>48</v>
      </c>
      <c r="C62" s="15" t="str">
        <f aca="false">IF(Responses!$Q$2=B62,"Yes","")</f>
        <v>Yes</v>
      </c>
      <c r="D62" s="18" t="n">
        <f aca="false">COUNTIF(Responses!$Q$3:$Q$152,B62)/'Item Analysis'!$B$2</f>
        <v>0.84</v>
      </c>
      <c r="E62" s="15" t="n">
        <f aca="false">COUNTIFS(Responses!$Q$3:$Q$152,B62,Scoring!$AF$3:$AF$152,"&gt;="&amp;'Item Analysis'!$B$5)</f>
        <v>45</v>
      </c>
      <c r="F62" s="15" t="n">
        <f aca="false">COUNTIFS(Responses!$Q$3:$Q$152,B62,Scoring!$AF$3:$AF$152,"&lt;="&amp;'Item Analysis'!$B$6)</f>
        <v>26</v>
      </c>
      <c r="G62" s="15" t="n">
        <f aca="false">E62-F62</f>
        <v>19</v>
      </c>
      <c r="H62" s="15" t="str">
        <f aca="false">IF(C62="Yes",IF(G62&gt;0,"Key discriminates as it should","Key does not discriminate: review"),IF(D62&lt;'Item Analysis'!$B$17,"Ineffective distractor",IF(G62&gt;0,"Distractor attracts high achievers: review it","Distractor works")))</f>
        <v>Key discriminates as it should</v>
      </c>
    </row>
    <row r="63" customFormat="false" ht="15" hidden="false" customHeight="false" outlineLevel="0" collapsed="false">
      <c r="A63" s="15" t="s">
        <v>29</v>
      </c>
      <c r="B63" s="15" t="s">
        <v>47</v>
      </c>
      <c r="C63" s="15" t="str">
        <f aca="false">IF(Responses!$Q$2=B63,"Yes","")</f>
        <v/>
      </c>
      <c r="D63" s="18" t="n">
        <f aca="false">COUNTIF(Responses!$Q$3:$Q$152,B63)/'Item Analysis'!$B$2</f>
        <v>0.0533333333333333</v>
      </c>
      <c r="E63" s="15" t="n">
        <f aca="false">COUNTIFS(Responses!$Q$3:$Q$152,B63,Scoring!$AF$3:$AF$152,"&gt;="&amp;'Item Analysis'!$B$5)</f>
        <v>0</v>
      </c>
      <c r="F63" s="15" t="n">
        <f aca="false">COUNTIFS(Responses!$Q$3:$Q$152,B63,Scoring!$AF$3:$AF$152,"&lt;="&amp;'Item Analysis'!$B$6)</f>
        <v>3</v>
      </c>
      <c r="G63" s="15" t="n">
        <f aca="false">E63-F63</f>
        <v>-3</v>
      </c>
      <c r="H63" s="15" t="str">
        <f aca="false">IF(C63="Yes",IF(G63&gt;0,"Key discriminates as it should","Key does not discriminate: review"),IF(D63&lt;'Item Analysis'!$B$17,"Ineffective distractor",IF(G63&gt;0,"Distractor attracts high achievers: review it","Distractor works")))</f>
        <v>Distractor works</v>
      </c>
    </row>
    <row r="64" customFormat="false" ht="15" hidden="false" customHeight="false" outlineLevel="0" collapsed="false">
      <c r="A64" s="15" t="s">
        <v>29</v>
      </c>
      <c r="B64" s="15" t="s">
        <v>46</v>
      </c>
      <c r="C64" s="15" t="str">
        <f aca="false">IF(Responses!$Q$2=B64,"Yes","")</f>
        <v/>
      </c>
      <c r="D64" s="18" t="n">
        <f aca="false">COUNTIF(Responses!$Q$3:$Q$152,B64)/'Item Analysis'!$B$2</f>
        <v>0.0533333333333333</v>
      </c>
      <c r="E64" s="15" t="n">
        <f aca="false">COUNTIFS(Responses!$Q$3:$Q$152,B64,Scoring!$AF$3:$AF$152,"&gt;="&amp;'Item Analysis'!$B$5)</f>
        <v>0</v>
      </c>
      <c r="F64" s="15" t="n">
        <f aca="false">COUNTIFS(Responses!$Q$3:$Q$152,B64,Scoring!$AF$3:$AF$152,"&lt;="&amp;'Item Analysis'!$B$6)</f>
        <v>8</v>
      </c>
      <c r="G64" s="15" t="n">
        <f aca="false">E64-F64</f>
        <v>-8</v>
      </c>
      <c r="H64" s="15" t="str">
        <f aca="false">IF(C64="Yes",IF(G64&gt;0,"Key discriminates as it should","Key does not discriminate: review"),IF(D64&lt;'Item Analysis'!$B$17,"Ineffective distractor",IF(G64&gt;0,"Distractor attracts high achievers: review it","Distractor works")))</f>
        <v>Distractor works</v>
      </c>
    </row>
    <row r="65" customFormat="false" ht="15" hidden="false" customHeight="false" outlineLevel="0" collapsed="false">
      <c r="A65" s="20" t="s">
        <v>29</v>
      </c>
      <c r="B65" s="20" t="s">
        <v>45</v>
      </c>
      <c r="C65" s="20" t="str">
        <f aca="false">IF(Responses!$Q$2=B65,"Yes","")</f>
        <v/>
      </c>
      <c r="D65" s="21" t="n">
        <f aca="false">COUNTIF(Responses!$Q$3:$Q$152,B65)/'Item Analysis'!$B$2</f>
        <v>0.0533333333333333</v>
      </c>
      <c r="E65" s="20" t="n">
        <f aca="false">COUNTIFS(Responses!$Q$3:$Q$152,B65,Scoring!$AF$3:$AF$152,"&gt;="&amp;'Item Analysis'!$B$5)</f>
        <v>0</v>
      </c>
      <c r="F65" s="20" t="n">
        <f aca="false">COUNTIFS(Responses!$Q$3:$Q$152,B65,Scoring!$AF$3:$AF$152,"&lt;="&amp;'Item Analysis'!$B$6)</f>
        <v>8</v>
      </c>
      <c r="G65" s="20" t="n">
        <f aca="false">E65-F65</f>
        <v>-8</v>
      </c>
      <c r="H65" s="20" t="str">
        <f aca="false">IF(C65="Yes",IF(G65&gt;0,"Key discriminates as it should","Key does not discriminate: review"),IF(D65&lt;'Item Analysis'!$B$17,"Ineffective distractor",IF(G65&gt;0,"Distractor attracts high achievers: review it","Distractor works")))</f>
        <v>Distractor works</v>
      </c>
    </row>
    <row r="66" customFormat="false" ht="15" hidden="false" customHeight="false" outlineLevel="0" collapsed="false">
      <c r="A66" s="15" t="s">
        <v>30</v>
      </c>
      <c r="B66" s="15" t="s">
        <v>48</v>
      </c>
      <c r="C66" s="15" t="str">
        <f aca="false">IF(Responses!$R$2=B66,"Yes","")</f>
        <v>Yes</v>
      </c>
      <c r="D66" s="18" t="n">
        <f aca="false">COUNTIF(Responses!$R$3:$R$152,B66)/'Item Analysis'!$B$2</f>
        <v>0.866666666666667</v>
      </c>
      <c r="E66" s="15" t="n">
        <f aca="false">COUNTIFS(Responses!$R$3:$R$152,B66,Scoring!$AF$3:$AF$152,"&gt;="&amp;'Item Analysis'!$B$5)</f>
        <v>45</v>
      </c>
      <c r="F66" s="15" t="n">
        <f aca="false">COUNTIFS(Responses!$R$3:$R$152,B66,Scoring!$AF$3:$AF$152,"&lt;="&amp;'Item Analysis'!$B$6)</f>
        <v>27</v>
      </c>
      <c r="G66" s="15" t="n">
        <f aca="false">E66-F66</f>
        <v>18</v>
      </c>
      <c r="H66" s="15" t="str">
        <f aca="false">IF(C66="Yes",IF(G66&gt;0,"Key discriminates as it should","Key does not discriminate: review"),IF(D66&lt;'Item Analysis'!$B$17,"Ineffective distractor",IF(G66&gt;0,"Distractor attracts high achievers: review it","Distractor works")))</f>
        <v>Key discriminates as it should</v>
      </c>
    </row>
    <row r="67" customFormat="false" ht="15" hidden="false" customHeight="false" outlineLevel="0" collapsed="false">
      <c r="A67" s="15" t="s">
        <v>30</v>
      </c>
      <c r="B67" s="15" t="s">
        <v>47</v>
      </c>
      <c r="C67" s="15" t="str">
        <f aca="false">IF(Responses!$R$2=B67,"Yes","")</f>
        <v/>
      </c>
      <c r="D67" s="18" t="n">
        <f aca="false">COUNTIF(Responses!$R$3:$R$152,B67)/'Item Analysis'!$B$2</f>
        <v>0.0666666666666667</v>
      </c>
      <c r="E67" s="15" t="n">
        <f aca="false">COUNTIFS(Responses!$R$3:$R$152,B67,Scoring!$AF$3:$AF$152,"&gt;="&amp;'Item Analysis'!$B$5)</f>
        <v>0</v>
      </c>
      <c r="F67" s="15" t="n">
        <f aca="false">COUNTIFS(Responses!$R$3:$R$152,B67,Scoring!$AF$3:$AF$152,"&lt;="&amp;'Item Analysis'!$B$6)</f>
        <v>9</v>
      </c>
      <c r="G67" s="15" t="n">
        <f aca="false">E67-F67</f>
        <v>-9</v>
      </c>
      <c r="H67" s="15" t="str">
        <f aca="false">IF(C67="Yes",IF(G67&gt;0,"Key discriminates as it should","Key does not discriminate: review"),IF(D67&lt;'Item Analysis'!$B$17,"Ineffective distractor",IF(G67&gt;0,"Distractor attracts high achievers: review it","Distractor works")))</f>
        <v>Distractor works</v>
      </c>
    </row>
    <row r="68" customFormat="false" ht="15" hidden="false" customHeight="false" outlineLevel="0" collapsed="false">
      <c r="A68" s="15" t="s">
        <v>30</v>
      </c>
      <c r="B68" s="15" t="s">
        <v>46</v>
      </c>
      <c r="C68" s="15" t="str">
        <f aca="false">IF(Responses!$R$2=B68,"Yes","")</f>
        <v/>
      </c>
      <c r="D68" s="18" t="n">
        <f aca="false">COUNTIF(Responses!$R$3:$R$152,B68)/'Item Analysis'!$B$2</f>
        <v>0.0466666666666667</v>
      </c>
      <c r="E68" s="15" t="n">
        <f aca="false">COUNTIFS(Responses!$R$3:$R$152,B68,Scoring!$AF$3:$AF$152,"&gt;="&amp;'Item Analysis'!$B$5)</f>
        <v>0</v>
      </c>
      <c r="F68" s="15" t="n">
        <f aca="false">COUNTIFS(Responses!$R$3:$R$152,B68,Scoring!$AF$3:$AF$152,"&lt;="&amp;'Item Analysis'!$B$6)</f>
        <v>6</v>
      </c>
      <c r="G68" s="15" t="n">
        <f aca="false">E68-F68</f>
        <v>-6</v>
      </c>
      <c r="H68" s="15" t="str">
        <f aca="false">IF(C68="Yes",IF(G68&gt;0,"Key discriminates as it should","Key does not discriminate: review"),IF(D68&lt;'Item Analysis'!$B$17,"Ineffective distractor",IF(G68&gt;0,"Distractor attracts high achievers: review it","Distractor works")))</f>
        <v>Ineffective distractor</v>
      </c>
    </row>
    <row r="69" customFormat="false" ht="15" hidden="false" customHeight="false" outlineLevel="0" collapsed="false">
      <c r="A69" s="20" t="s">
        <v>30</v>
      </c>
      <c r="B69" s="20" t="s">
        <v>45</v>
      </c>
      <c r="C69" s="20" t="str">
        <f aca="false">IF(Responses!$R$2=B69,"Yes","")</f>
        <v/>
      </c>
      <c r="D69" s="21" t="n">
        <f aca="false">COUNTIF(Responses!$R$3:$R$152,B69)/'Item Analysis'!$B$2</f>
        <v>0.02</v>
      </c>
      <c r="E69" s="20" t="n">
        <f aca="false">COUNTIFS(Responses!$R$3:$R$152,B69,Scoring!$AF$3:$AF$152,"&gt;="&amp;'Item Analysis'!$B$5)</f>
        <v>0</v>
      </c>
      <c r="F69" s="20" t="n">
        <f aca="false">COUNTIFS(Responses!$R$3:$R$152,B69,Scoring!$AF$3:$AF$152,"&lt;="&amp;'Item Analysis'!$B$6)</f>
        <v>3</v>
      </c>
      <c r="G69" s="20" t="n">
        <f aca="false">E69-F69</f>
        <v>-3</v>
      </c>
      <c r="H69" s="20" t="str">
        <f aca="false">IF(C69="Yes",IF(G69&gt;0,"Key discriminates as it should","Key does not discriminate: review"),IF(D69&lt;'Item Analysis'!$B$17,"Ineffective distractor",IF(G69&gt;0,"Distractor attracts high achievers: review it","Distractor works")))</f>
        <v>Ineffective distractor</v>
      </c>
    </row>
    <row r="70" customFormat="false" ht="15" hidden="false" customHeight="false" outlineLevel="0" collapsed="false">
      <c r="A70" s="15" t="s">
        <v>31</v>
      </c>
      <c r="B70" s="15" t="s">
        <v>48</v>
      </c>
      <c r="C70" s="15" t="str">
        <f aca="false">IF(Responses!$S$2=B70,"Yes","")</f>
        <v>Yes</v>
      </c>
      <c r="D70" s="18" t="n">
        <f aca="false">COUNTIF(Responses!$S$3:$S$152,B70)/'Item Analysis'!$B$2</f>
        <v>0.24</v>
      </c>
      <c r="E70" s="15" t="n">
        <f aca="false">COUNTIFS(Responses!$S$3:$S$152,B70,Scoring!$AF$3:$AF$152,"&gt;="&amp;'Item Analysis'!$B$5)</f>
        <v>13</v>
      </c>
      <c r="F70" s="15" t="n">
        <f aca="false">COUNTIFS(Responses!$S$3:$S$152,B70,Scoring!$AF$3:$AF$152,"&lt;="&amp;'Item Analysis'!$B$6)</f>
        <v>9</v>
      </c>
      <c r="G70" s="15" t="n">
        <f aca="false">E70-F70</f>
        <v>4</v>
      </c>
      <c r="H70" s="15" t="str">
        <f aca="false">IF(C70="Yes",IF(G70&gt;0,"Key discriminates as it should","Key does not discriminate: review"),IF(D70&lt;'Item Analysis'!$B$17,"Ineffective distractor",IF(G70&gt;0,"Distractor attracts high achievers: review it","Distractor works")))</f>
        <v>Key discriminates as it should</v>
      </c>
    </row>
    <row r="71" customFormat="false" ht="15" hidden="false" customHeight="false" outlineLevel="0" collapsed="false">
      <c r="A71" s="15" t="s">
        <v>31</v>
      </c>
      <c r="B71" s="15" t="s">
        <v>47</v>
      </c>
      <c r="C71" s="15" t="str">
        <f aca="false">IF(Responses!$S$2=B71,"Yes","")</f>
        <v/>
      </c>
      <c r="D71" s="18" t="n">
        <f aca="false">COUNTIF(Responses!$S$3:$S$152,B71)/'Item Analysis'!$B$2</f>
        <v>0.253333333333333</v>
      </c>
      <c r="E71" s="15" t="n">
        <f aca="false">COUNTIFS(Responses!$S$3:$S$152,B71,Scoring!$AF$3:$AF$152,"&gt;="&amp;'Item Analysis'!$B$5)</f>
        <v>9</v>
      </c>
      <c r="F71" s="15" t="n">
        <f aca="false">COUNTIFS(Responses!$S$3:$S$152,B71,Scoring!$AF$3:$AF$152,"&lt;="&amp;'Item Analysis'!$B$6)</f>
        <v>12</v>
      </c>
      <c r="G71" s="15" t="n">
        <f aca="false">E71-F71</f>
        <v>-3</v>
      </c>
      <c r="H71" s="15" t="str">
        <f aca="false">IF(C71="Yes",IF(G71&gt;0,"Key discriminates as it should","Key does not discriminate: review"),IF(D71&lt;'Item Analysis'!$B$17,"Ineffective distractor",IF(G71&gt;0,"Distractor attracts high achievers: review it","Distractor works")))</f>
        <v>Distractor works</v>
      </c>
    </row>
    <row r="72" customFormat="false" ht="28.35" hidden="false" customHeight="false" outlineLevel="0" collapsed="false">
      <c r="A72" s="15" t="s">
        <v>31</v>
      </c>
      <c r="B72" s="15" t="s">
        <v>46</v>
      </c>
      <c r="C72" s="15" t="str">
        <f aca="false">IF(Responses!$S$2=B72,"Yes","")</f>
        <v/>
      </c>
      <c r="D72" s="18" t="n">
        <f aca="false">COUNTIF(Responses!$S$3:$S$152,B72)/'Item Analysis'!$B$2</f>
        <v>0.266666666666667</v>
      </c>
      <c r="E72" s="15" t="n">
        <f aca="false">COUNTIFS(Responses!$S$3:$S$152,B72,Scoring!$AF$3:$AF$152,"&gt;="&amp;'Item Analysis'!$B$5)</f>
        <v>12</v>
      </c>
      <c r="F72" s="15" t="n">
        <f aca="false">COUNTIFS(Responses!$S$3:$S$152,B72,Scoring!$AF$3:$AF$152,"&lt;="&amp;'Item Analysis'!$B$6)</f>
        <v>11</v>
      </c>
      <c r="G72" s="15" t="n">
        <f aca="false">E72-F72</f>
        <v>1</v>
      </c>
      <c r="H72" s="15" t="str">
        <f aca="false">IF(C72="Yes",IF(G72&gt;0,"Key discriminates as it should","Key does not discriminate: review"),IF(D72&lt;'Item Analysis'!$B$17,"Ineffective distractor",IF(G72&gt;0,"Distractor attracts high achievers: review it","Distractor works")))</f>
        <v>Distractor attracts high achievers: review it</v>
      </c>
    </row>
    <row r="73" customFormat="false" ht="15" hidden="false" customHeight="false" outlineLevel="0" collapsed="false">
      <c r="A73" s="20" t="s">
        <v>31</v>
      </c>
      <c r="B73" s="20" t="s">
        <v>45</v>
      </c>
      <c r="C73" s="20" t="str">
        <f aca="false">IF(Responses!$S$2=B73,"Yes","")</f>
        <v/>
      </c>
      <c r="D73" s="21" t="n">
        <f aca="false">COUNTIF(Responses!$S$3:$S$152,B73)/'Item Analysis'!$B$2</f>
        <v>0.24</v>
      </c>
      <c r="E73" s="20" t="n">
        <f aca="false">COUNTIFS(Responses!$S$3:$S$152,B73,Scoring!$AF$3:$AF$152,"&gt;="&amp;'Item Analysis'!$B$5)</f>
        <v>11</v>
      </c>
      <c r="F73" s="20" t="n">
        <f aca="false">COUNTIFS(Responses!$S$3:$S$152,B73,Scoring!$AF$3:$AF$152,"&lt;="&amp;'Item Analysis'!$B$6)</f>
        <v>13</v>
      </c>
      <c r="G73" s="20" t="n">
        <f aca="false">E73-F73</f>
        <v>-2</v>
      </c>
      <c r="H73" s="20" t="str">
        <f aca="false">IF(C73="Yes",IF(G73&gt;0,"Key discriminates as it should","Key does not discriminate: review"),IF(D73&lt;'Item Analysis'!$B$17,"Ineffective distractor",IF(G73&gt;0,"Distractor attracts high achievers: review it","Distractor works")))</f>
        <v>Distractor works</v>
      </c>
    </row>
    <row r="74" customFormat="false" ht="15" hidden="false" customHeight="false" outlineLevel="0" collapsed="false">
      <c r="A74" s="15" t="s">
        <v>32</v>
      </c>
      <c r="B74" s="15" t="s">
        <v>48</v>
      </c>
      <c r="C74" s="15" t="str">
        <f aca="false">IF(Responses!$T$2=B74,"Yes","")</f>
        <v/>
      </c>
      <c r="D74" s="18" t="n">
        <f aca="false">COUNTIF(Responses!$T$3:$T$152,B74)/'Item Analysis'!$B$2</f>
        <v>0.153333333333333</v>
      </c>
      <c r="E74" s="15" t="n">
        <f aca="false">COUNTIFS(Responses!$T$3:$T$152,B74,Scoring!$AF$3:$AF$152,"&gt;="&amp;'Item Analysis'!$B$5)</f>
        <v>3</v>
      </c>
      <c r="F74" s="15" t="n">
        <f aca="false">COUNTIFS(Responses!$T$3:$T$152,B74,Scoring!$AF$3:$AF$152,"&lt;="&amp;'Item Analysis'!$B$6)</f>
        <v>6</v>
      </c>
      <c r="G74" s="15" t="n">
        <f aca="false">E74-F74</f>
        <v>-3</v>
      </c>
      <c r="H74" s="15" t="str">
        <f aca="false">IF(C74="Yes",IF(G74&gt;0,"Key discriminates as it should","Key does not discriminate: review"),IF(D74&lt;'Item Analysis'!$B$17,"Ineffective distractor",IF(G74&gt;0,"Distractor attracts high achievers: review it","Distractor works")))</f>
        <v>Distractor works</v>
      </c>
    </row>
    <row r="75" customFormat="false" ht="15" hidden="false" customHeight="false" outlineLevel="0" collapsed="false">
      <c r="A75" s="15" t="s">
        <v>32</v>
      </c>
      <c r="B75" s="15" t="s">
        <v>47</v>
      </c>
      <c r="C75" s="15" t="str">
        <f aca="false">IF(Responses!$T$2=B75,"Yes","")</f>
        <v/>
      </c>
      <c r="D75" s="18" t="n">
        <f aca="false">COUNTIF(Responses!$T$3:$T$152,B75)/'Item Analysis'!$B$2</f>
        <v>0.1</v>
      </c>
      <c r="E75" s="15" t="n">
        <f aca="false">COUNTIFS(Responses!$T$3:$T$152,B75,Scoring!$AF$3:$AF$152,"&gt;="&amp;'Item Analysis'!$B$5)</f>
        <v>2</v>
      </c>
      <c r="F75" s="15" t="n">
        <f aca="false">COUNTIFS(Responses!$T$3:$T$152,B75,Scoring!$AF$3:$AF$152,"&lt;="&amp;'Item Analysis'!$B$6)</f>
        <v>10</v>
      </c>
      <c r="G75" s="15" t="n">
        <f aca="false">E75-F75</f>
        <v>-8</v>
      </c>
      <c r="H75" s="15" t="str">
        <f aca="false">IF(C75="Yes",IF(G75&gt;0,"Key discriminates as it should","Key does not discriminate: review"),IF(D75&lt;'Item Analysis'!$B$17,"Ineffective distractor",IF(G75&gt;0,"Distractor attracts high achievers: review it","Distractor works")))</f>
        <v>Distractor works</v>
      </c>
    </row>
    <row r="76" customFormat="false" ht="15" hidden="false" customHeight="false" outlineLevel="0" collapsed="false">
      <c r="A76" s="15" t="s">
        <v>32</v>
      </c>
      <c r="B76" s="15" t="s">
        <v>46</v>
      </c>
      <c r="C76" s="15" t="str">
        <f aca="false">IF(Responses!$T$2=B76,"Yes","")</f>
        <v/>
      </c>
      <c r="D76" s="18" t="n">
        <f aca="false">COUNTIF(Responses!$T$3:$T$152,B76)/'Item Analysis'!$B$2</f>
        <v>0.18</v>
      </c>
      <c r="E76" s="15" t="n">
        <f aca="false">COUNTIFS(Responses!$T$3:$T$152,B76,Scoring!$AF$3:$AF$152,"&gt;="&amp;'Item Analysis'!$B$5)</f>
        <v>4</v>
      </c>
      <c r="F76" s="15" t="n">
        <f aca="false">COUNTIFS(Responses!$T$3:$T$152,B76,Scoring!$AF$3:$AF$152,"&lt;="&amp;'Item Analysis'!$B$6)</f>
        <v>13</v>
      </c>
      <c r="G76" s="15" t="n">
        <f aca="false">E76-F76</f>
        <v>-9</v>
      </c>
      <c r="H76" s="15" t="str">
        <f aca="false">IF(C76="Yes",IF(G76&gt;0,"Key discriminates as it should","Key does not discriminate: review"),IF(D76&lt;'Item Analysis'!$B$17,"Ineffective distractor",IF(G76&gt;0,"Distractor attracts high achievers: review it","Distractor works")))</f>
        <v>Distractor works</v>
      </c>
    </row>
    <row r="77" customFormat="false" ht="15" hidden="false" customHeight="false" outlineLevel="0" collapsed="false">
      <c r="A77" s="20" t="s">
        <v>32</v>
      </c>
      <c r="B77" s="20" t="s">
        <v>45</v>
      </c>
      <c r="C77" s="20" t="str">
        <f aca="false">IF(Responses!$T$2=B77,"Yes","")</f>
        <v>Yes</v>
      </c>
      <c r="D77" s="21" t="n">
        <f aca="false">COUNTIF(Responses!$T$3:$T$152,B77)/'Item Analysis'!$B$2</f>
        <v>0.566666666666667</v>
      </c>
      <c r="E77" s="20" t="n">
        <f aca="false">COUNTIFS(Responses!$T$3:$T$152,B77,Scoring!$AF$3:$AF$152,"&gt;="&amp;'Item Analysis'!$B$5)</f>
        <v>36</v>
      </c>
      <c r="F77" s="20" t="n">
        <f aca="false">COUNTIFS(Responses!$T$3:$T$152,B77,Scoring!$AF$3:$AF$152,"&lt;="&amp;'Item Analysis'!$B$6)</f>
        <v>16</v>
      </c>
      <c r="G77" s="20" t="n">
        <f aca="false">E77-F77</f>
        <v>20</v>
      </c>
      <c r="H77" s="20" t="str">
        <f aca="false">IF(C77="Yes",IF(G77&gt;0,"Key discriminates as it should","Key does not discriminate: review"),IF(D77&lt;'Item Analysis'!$B$17,"Ineffective distractor",IF(G77&gt;0,"Distractor attracts high achievers: review it","Distractor works")))</f>
        <v>Key discriminates as it should</v>
      </c>
    </row>
    <row r="78" customFormat="false" ht="15" hidden="false" customHeight="false" outlineLevel="0" collapsed="false">
      <c r="A78" s="15" t="s">
        <v>33</v>
      </c>
      <c r="B78" s="15" t="s">
        <v>48</v>
      </c>
      <c r="C78" s="15" t="str">
        <f aca="false">IF(Responses!$U$2=B78,"Yes","")</f>
        <v/>
      </c>
      <c r="D78" s="18" t="n">
        <f aca="false">COUNTIF(Responses!$U$3:$U$152,B78)/'Item Analysis'!$B$2</f>
        <v>0.166666666666667</v>
      </c>
      <c r="E78" s="15" t="n">
        <f aca="false">COUNTIFS(Responses!$U$3:$U$152,B78,Scoring!$AF$3:$AF$152,"&gt;="&amp;'Item Analysis'!$B$5)</f>
        <v>1</v>
      </c>
      <c r="F78" s="15" t="n">
        <f aca="false">COUNTIFS(Responses!$U$3:$U$152,B78,Scoring!$AF$3:$AF$152,"&lt;="&amp;'Item Analysis'!$B$6)</f>
        <v>14</v>
      </c>
      <c r="G78" s="15" t="n">
        <f aca="false">E78-F78</f>
        <v>-13</v>
      </c>
      <c r="H78" s="15" t="str">
        <f aca="false">IF(C78="Yes",IF(G78&gt;0,"Key discriminates as it should","Key does not discriminate: review"),IF(D78&lt;'Item Analysis'!$B$17,"Ineffective distractor",IF(G78&gt;0,"Distractor attracts high achievers: review it","Distractor works")))</f>
        <v>Distractor works</v>
      </c>
    </row>
    <row r="79" customFormat="false" ht="15" hidden="false" customHeight="false" outlineLevel="0" collapsed="false">
      <c r="A79" s="15" t="s">
        <v>33</v>
      </c>
      <c r="B79" s="15" t="s">
        <v>47</v>
      </c>
      <c r="C79" s="15" t="str">
        <f aca="false">IF(Responses!$U$2=B79,"Yes","")</f>
        <v/>
      </c>
      <c r="D79" s="18" t="n">
        <f aca="false">COUNTIF(Responses!$U$3:$U$152,B79)/'Item Analysis'!$B$2</f>
        <v>0.153333333333333</v>
      </c>
      <c r="E79" s="15" t="n">
        <f aca="false">COUNTIFS(Responses!$U$3:$U$152,B79,Scoring!$AF$3:$AF$152,"&gt;="&amp;'Item Analysis'!$B$5)</f>
        <v>0</v>
      </c>
      <c r="F79" s="15" t="n">
        <f aca="false">COUNTIFS(Responses!$U$3:$U$152,B79,Scoring!$AF$3:$AF$152,"&lt;="&amp;'Item Analysis'!$B$6)</f>
        <v>11</v>
      </c>
      <c r="G79" s="15" t="n">
        <f aca="false">E79-F79</f>
        <v>-11</v>
      </c>
      <c r="H79" s="15" t="str">
        <f aca="false">IF(C79="Yes",IF(G79&gt;0,"Key discriminates as it should","Key does not discriminate: review"),IF(D79&lt;'Item Analysis'!$B$17,"Ineffective distractor",IF(G79&gt;0,"Distractor attracts high achievers: review it","Distractor works")))</f>
        <v>Distractor works</v>
      </c>
    </row>
    <row r="80" customFormat="false" ht="15" hidden="false" customHeight="false" outlineLevel="0" collapsed="false">
      <c r="A80" s="15" t="s">
        <v>33</v>
      </c>
      <c r="B80" s="15" t="s">
        <v>46</v>
      </c>
      <c r="C80" s="15" t="str">
        <f aca="false">IF(Responses!$U$2=B80,"Yes","")</f>
        <v/>
      </c>
      <c r="D80" s="18" t="n">
        <f aca="false">COUNTIF(Responses!$U$3:$U$152,B80)/'Item Analysis'!$B$2</f>
        <v>0.16</v>
      </c>
      <c r="E80" s="15" t="n">
        <f aca="false">COUNTIFS(Responses!$U$3:$U$152,B80,Scoring!$AF$3:$AF$152,"&gt;="&amp;'Item Analysis'!$B$5)</f>
        <v>2</v>
      </c>
      <c r="F80" s="15" t="n">
        <f aca="false">COUNTIFS(Responses!$U$3:$U$152,B80,Scoring!$AF$3:$AF$152,"&lt;="&amp;'Item Analysis'!$B$6)</f>
        <v>14</v>
      </c>
      <c r="G80" s="15" t="n">
        <f aca="false">E80-F80</f>
        <v>-12</v>
      </c>
      <c r="H80" s="15" t="str">
        <f aca="false">IF(C80="Yes",IF(G80&gt;0,"Key discriminates as it should","Key does not discriminate: review"),IF(D80&lt;'Item Analysis'!$B$17,"Ineffective distractor",IF(G80&gt;0,"Distractor attracts high achievers: review it","Distractor works")))</f>
        <v>Distractor works</v>
      </c>
    </row>
    <row r="81" customFormat="false" ht="15" hidden="false" customHeight="false" outlineLevel="0" collapsed="false">
      <c r="A81" s="20" t="s">
        <v>33</v>
      </c>
      <c r="B81" s="20" t="s">
        <v>45</v>
      </c>
      <c r="C81" s="20" t="str">
        <f aca="false">IF(Responses!$U$2=B81,"Yes","")</f>
        <v>Yes</v>
      </c>
      <c r="D81" s="21" t="n">
        <f aca="false">COUNTIF(Responses!$U$3:$U$152,B81)/'Item Analysis'!$B$2</f>
        <v>0.52</v>
      </c>
      <c r="E81" s="20" t="n">
        <f aca="false">COUNTIFS(Responses!$U$3:$U$152,B81,Scoring!$AF$3:$AF$152,"&gt;="&amp;'Item Analysis'!$B$5)</f>
        <v>42</v>
      </c>
      <c r="F81" s="20" t="n">
        <f aca="false">COUNTIFS(Responses!$U$3:$U$152,B81,Scoring!$AF$3:$AF$152,"&lt;="&amp;'Item Analysis'!$B$6)</f>
        <v>6</v>
      </c>
      <c r="G81" s="20" t="n">
        <f aca="false">E81-F81</f>
        <v>36</v>
      </c>
      <c r="H81" s="20" t="str">
        <f aca="false">IF(C81="Yes",IF(G81&gt;0,"Key discriminates as it should","Key does not discriminate: review"),IF(D81&lt;'Item Analysis'!$B$17,"Ineffective distractor",IF(G81&gt;0,"Distractor attracts high achievers: review it","Distractor works")))</f>
        <v>Key discriminates as it should</v>
      </c>
    </row>
    <row r="82" customFormat="false" ht="15" hidden="false" customHeight="false" outlineLevel="0" collapsed="false">
      <c r="A82" s="15" t="s">
        <v>34</v>
      </c>
      <c r="B82" s="15" t="s">
        <v>48</v>
      </c>
      <c r="C82" s="15" t="str">
        <f aca="false">IF(Responses!$V$2=B82,"Yes","")</f>
        <v/>
      </c>
      <c r="D82" s="18" t="n">
        <f aca="false">COUNTIF(Responses!$V$3:$V$152,B82)/'Item Analysis'!$B$2</f>
        <v>0.18</v>
      </c>
      <c r="E82" s="15" t="n">
        <f aca="false">COUNTIFS(Responses!$V$3:$V$152,B82,Scoring!$AF$3:$AF$152,"&gt;="&amp;'Item Analysis'!$B$5)</f>
        <v>0</v>
      </c>
      <c r="F82" s="15" t="n">
        <f aca="false">COUNTIFS(Responses!$V$3:$V$152,B82,Scoring!$AF$3:$AF$152,"&lt;="&amp;'Item Analysis'!$B$6)</f>
        <v>10</v>
      </c>
      <c r="G82" s="15" t="n">
        <f aca="false">E82-F82</f>
        <v>-10</v>
      </c>
      <c r="H82" s="15" t="str">
        <f aca="false">IF(C82="Yes",IF(G82&gt;0,"Key discriminates as it should","Key does not discriminate: review"),IF(D82&lt;'Item Analysis'!$B$17,"Ineffective distractor",IF(G82&gt;0,"Distractor attracts high achievers: review it","Distractor works")))</f>
        <v>Distractor works</v>
      </c>
    </row>
    <row r="83" customFormat="false" ht="15" hidden="false" customHeight="false" outlineLevel="0" collapsed="false">
      <c r="A83" s="15" t="s">
        <v>34</v>
      </c>
      <c r="B83" s="15" t="s">
        <v>47</v>
      </c>
      <c r="C83" s="15" t="str">
        <f aca="false">IF(Responses!$V$2=B83,"Yes","")</f>
        <v/>
      </c>
      <c r="D83" s="18" t="n">
        <f aca="false">COUNTIF(Responses!$V$3:$V$152,B83)/'Item Analysis'!$B$2</f>
        <v>0.12</v>
      </c>
      <c r="E83" s="15" t="n">
        <f aca="false">COUNTIFS(Responses!$V$3:$V$152,B83,Scoring!$AF$3:$AF$152,"&gt;="&amp;'Item Analysis'!$B$5)</f>
        <v>0</v>
      </c>
      <c r="F83" s="15" t="n">
        <f aca="false">COUNTIFS(Responses!$V$3:$V$152,B83,Scoring!$AF$3:$AF$152,"&lt;="&amp;'Item Analysis'!$B$6)</f>
        <v>11</v>
      </c>
      <c r="G83" s="15" t="n">
        <f aca="false">E83-F83</f>
        <v>-11</v>
      </c>
      <c r="H83" s="15" t="str">
        <f aca="false">IF(C83="Yes",IF(G83&gt;0,"Key discriminates as it should","Key does not discriminate: review"),IF(D83&lt;'Item Analysis'!$B$17,"Ineffective distractor",IF(G83&gt;0,"Distractor attracts high achievers: review it","Distractor works")))</f>
        <v>Distractor works</v>
      </c>
    </row>
    <row r="84" customFormat="false" ht="15" hidden="false" customHeight="false" outlineLevel="0" collapsed="false">
      <c r="A84" s="15" t="s">
        <v>34</v>
      </c>
      <c r="B84" s="15" t="s">
        <v>46</v>
      </c>
      <c r="C84" s="15" t="str">
        <f aca="false">IF(Responses!$V$2=B84,"Yes","")</f>
        <v>Yes</v>
      </c>
      <c r="D84" s="18" t="n">
        <f aca="false">COUNTIF(Responses!$V$3:$V$152,B84)/'Item Analysis'!$B$2</f>
        <v>0.553333333333333</v>
      </c>
      <c r="E84" s="15" t="n">
        <f aca="false">COUNTIFS(Responses!$V$3:$V$152,B84,Scoring!$AF$3:$AF$152,"&gt;="&amp;'Item Analysis'!$B$5)</f>
        <v>42</v>
      </c>
      <c r="F84" s="15" t="n">
        <f aca="false">COUNTIFS(Responses!$V$3:$V$152,B84,Scoring!$AF$3:$AF$152,"&lt;="&amp;'Item Analysis'!$B$6)</f>
        <v>13</v>
      </c>
      <c r="G84" s="15" t="n">
        <f aca="false">E84-F84</f>
        <v>29</v>
      </c>
      <c r="H84" s="15" t="str">
        <f aca="false">IF(C84="Yes",IF(G84&gt;0,"Key discriminates as it should","Key does not discriminate: review"),IF(D84&lt;'Item Analysis'!$B$17,"Ineffective distractor",IF(G84&gt;0,"Distractor attracts high achievers: review it","Distractor works")))</f>
        <v>Key discriminates as it should</v>
      </c>
    </row>
    <row r="85" customFormat="false" ht="15" hidden="false" customHeight="false" outlineLevel="0" collapsed="false">
      <c r="A85" s="20" t="s">
        <v>34</v>
      </c>
      <c r="B85" s="20" t="s">
        <v>45</v>
      </c>
      <c r="C85" s="20" t="str">
        <f aca="false">IF(Responses!$V$2=B85,"Yes","")</f>
        <v/>
      </c>
      <c r="D85" s="21" t="n">
        <f aca="false">COUNTIF(Responses!$V$3:$V$152,B85)/'Item Analysis'!$B$2</f>
        <v>0.146666666666667</v>
      </c>
      <c r="E85" s="20" t="n">
        <f aca="false">COUNTIFS(Responses!$V$3:$V$152,B85,Scoring!$AF$3:$AF$152,"&gt;="&amp;'Item Analysis'!$B$5)</f>
        <v>3</v>
      </c>
      <c r="F85" s="20" t="n">
        <f aca="false">COUNTIFS(Responses!$V$3:$V$152,B85,Scoring!$AF$3:$AF$152,"&lt;="&amp;'Item Analysis'!$B$6)</f>
        <v>11</v>
      </c>
      <c r="G85" s="20" t="n">
        <f aca="false">E85-F85</f>
        <v>-8</v>
      </c>
      <c r="H85" s="20" t="str">
        <f aca="false">IF(C85="Yes",IF(G85&gt;0,"Key discriminates as it should","Key does not discriminate: review"),IF(D85&lt;'Item Analysis'!$B$17,"Ineffective distractor",IF(G85&gt;0,"Distractor attracts high achievers: review it","Distractor works")))</f>
        <v>Distractor works</v>
      </c>
    </row>
    <row r="86" customFormat="false" ht="15" hidden="false" customHeight="false" outlineLevel="0" collapsed="false">
      <c r="A86" s="15" t="s">
        <v>35</v>
      </c>
      <c r="B86" s="15" t="s">
        <v>48</v>
      </c>
      <c r="C86" s="15" t="str">
        <f aca="false">IF(Responses!$W$2=B86,"Yes","")</f>
        <v/>
      </c>
      <c r="D86" s="18" t="n">
        <f aca="false">COUNTIF(Responses!$W$3:$W$152,B86)/'Item Analysis'!$B$2</f>
        <v>0.193333333333333</v>
      </c>
      <c r="E86" s="15" t="n">
        <f aca="false">COUNTIFS(Responses!$W$3:$W$152,B86,Scoring!$AF$3:$AF$152,"&gt;="&amp;'Item Analysis'!$B$5)</f>
        <v>3</v>
      </c>
      <c r="F86" s="15" t="n">
        <f aca="false">COUNTIFS(Responses!$W$3:$W$152,B86,Scoring!$AF$3:$AF$152,"&lt;="&amp;'Item Analysis'!$B$6)</f>
        <v>11</v>
      </c>
      <c r="G86" s="15" t="n">
        <f aca="false">E86-F86</f>
        <v>-8</v>
      </c>
      <c r="H86" s="15" t="str">
        <f aca="false">IF(C86="Yes",IF(G86&gt;0,"Key discriminates as it should","Key does not discriminate: review"),IF(D86&lt;'Item Analysis'!$B$17,"Ineffective distractor",IF(G86&gt;0,"Distractor attracts high achievers: review it","Distractor works")))</f>
        <v>Distractor works</v>
      </c>
    </row>
    <row r="87" customFormat="false" ht="15" hidden="false" customHeight="false" outlineLevel="0" collapsed="false">
      <c r="A87" s="15" t="s">
        <v>35</v>
      </c>
      <c r="B87" s="15" t="s">
        <v>47</v>
      </c>
      <c r="C87" s="15" t="str">
        <f aca="false">IF(Responses!$W$2=B87,"Yes","")</f>
        <v/>
      </c>
      <c r="D87" s="18" t="n">
        <f aca="false">COUNTIF(Responses!$W$3:$W$152,B87)/'Item Analysis'!$B$2</f>
        <v>0.12</v>
      </c>
      <c r="E87" s="15" t="n">
        <f aca="false">COUNTIFS(Responses!$W$3:$W$152,B87,Scoring!$AF$3:$AF$152,"&gt;="&amp;'Item Analysis'!$B$5)</f>
        <v>0</v>
      </c>
      <c r="F87" s="15" t="n">
        <f aca="false">COUNTIFS(Responses!$W$3:$W$152,B87,Scoring!$AF$3:$AF$152,"&lt;="&amp;'Item Analysis'!$B$6)</f>
        <v>8</v>
      </c>
      <c r="G87" s="15" t="n">
        <f aca="false">E87-F87</f>
        <v>-8</v>
      </c>
      <c r="H87" s="15" t="str">
        <f aca="false">IF(C87="Yes",IF(G87&gt;0,"Key discriminates as it should","Key does not discriminate: review"),IF(D87&lt;'Item Analysis'!$B$17,"Ineffective distractor",IF(G87&gt;0,"Distractor attracts high achievers: review it","Distractor works")))</f>
        <v>Distractor works</v>
      </c>
    </row>
    <row r="88" customFormat="false" ht="15" hidden="false" customHeight="false" outlineLevel="0" collapsed="false">
      <c r="A88" s="15" t="s">
        <v>35</v>
      </c>
      <c r="B88" s="15" t="s">
        <v>46</v>
      </c>
      <c r="C88" s="15" t="str">
        <f aca="false">IF(Responses!$W$2=B88,"Yes","")</f>
        <v>Yes</v>
      </c>
      <c r="D88" s="18" t="n">
        <f aca="false">COUNTIF(Responses!$W$3:$W$152,B88)/'Item Analysis'!$B$2</f>
        <v>0.493333333333333</v>
      </c>
      <c r="E88" s="15" t="n">
        <f aca="false">COUNTIFS(Responses!$W$3:$W$152,B88,Scoring!$AF$3:$AF$152,"&gt;="&amp;'Item Analysis'!$B$5)</f>
        <v>41</v>
      </c>
      <c r="F88" s="15" t="n">
        <f aca="false">COUNTIFS(Responses!$W$3:$W$152,B88,Scoring!$AF$3:$AF$152,"&lt;="&amp;'Item Analysis'!$B$6)</f>
        <v>6</v>
      </c>
      <c r="G88" s="15" t="n">
        <f aca="false">E88-F88</f>
        <v>35</v>
      </c>
      <c r="H88" s="15" t="str">
        <f aca="false">IF(C88="Yes",IF(G88&gt;0,"Key discriminates as it should","Key does not discriminate: review"),IF(D88&lt;'Item Analysis'!$B$17,"Ineffective distractor",IF(G88&gt;0,"Distractor attracts high achievers: review it","Distractor works")))</f>
        <v>Key discriminates as it should</v>
      </c>
    </row>
    <row r="89" customFormat="false" ht="15" hidden="false" customHeight="false" outlineLevel="0" collapsed="false">
      <c r="A89" s="20" t="s">
        <v>35</v>
      </c>
      <c r="B89" s="20" t="s">
        <v>45</v>
      </c>
      <c r="C89" s="20" t="str">
        <f aca="false">IF(Responses!$W$2=B89,"Yes","")</f>
        <v/>
      </c>
      <c r="D89" s="21" t="n">
        <f aca="false">COUNTIF(Responses!$W$3:$W$152,B89)/'Item Analysis'!$B$2</f>
        <v>0.193333333333333</v>
      </c>
      <c r="E89" s="20" t="n">
        <f aca="false">COUNTIFS(Responses!$W$3:$W$152,B89,Scoring!$AF$3:$AF$152,"&gt;="&amp;'Item Analysis'!$B$5)</f>
        <v>1</v>
      </c>
      <c r="F89" s="20" t="n">
        <f aca="false">COUNTIFS(Responses!$W$3:$W$152,B89,Scoring!$AF$3:$AF$152,"&lt;="&amp;'Item Analysis'!$B$6)</f>
        <v>20</v>
      </c>
      <c r="G89" s="20" t="n">
        <f aca="false">E89-F89</f>
        <v>-19</v>
      </c>
      <c r="H89" s="20" t="str">
        <f aca="false">IF(C89="Yes",IF(G89&gt;0,"Key discriminates as it should","Key does not discriminate: review"),IF(D89&lt;'Item Analysis'!$B$17,"Ineffective distractor",IF(G89&gt;0,"Distractor attracts high achievers: review it","Distractor works")))</f>
        <v>Distractor works</v>
      </c>
    </row>
    <row r="90" customFormat="false" ht="15" hidden="false" customHeight="false" outlineLevel="0" collapsed="false">
      <c r="A90" s="15" t="s">
        <v>36</v>
      </c>
      <c r="B90" s="15" t="s">
        <v>48</v>
      </c>
      <c r="C90" s="15" t="str">
        <f aca="false">IF(Responses!$X$2=B90,"Yes","")</f>
        <v/>
      </c>
      <c r="D90" s="18" t="n">
        <f aca="false">COUNTIF(Responses!$X$3:$X$152,B90)/'Item Analysis'!$B$2</f>
        <v>0.16</v>
      </c>
      <c r="E90" s="15" t="n">
        <f aca="false">COUNTIFS(Responses!$X$3:$X$152,B90,Scoring!$AF$3:$AF$152,"&gt;="&amp;'Item Analysis'!$B$5)</f>
        <v>2</v>
      </c>
      <c r="F90" s="15" t="n">
        <f aca="false">COUNTIFS(Responses!$X$3:$X$152,B90,Scoring!$AF$3:$AF$152,"&lt;="&amp;'Item Analysis'!$B$6)</f>
        <v>12</v>
      </c>
      <c r="G90" s="15" t="n">
        <f aca="false">E90-F90</f>
        <v>-10</v>
      </c>
      <c r="H90" s="15" t="str">
        <f aca="false">IF(C90="Yes",IF(G90&gt;0,"Key discriminates as it should","Key does not discriminate: review"),IF(D90&lt;'Item Analysis'!$B$17,"Ineffective distractor",IF(G90&gt;0,"Distractor attracts high achievers: review it","Distractor works")))</f>
        <v>Distractor works</v>
      </c>
    </row>
    <row r="91" customFormat="false" ht="15" hidden="false" customHeight="false" outlineLevel="0" collapsed="false">
      <c r="A91" s="15" t="s">
        <v>36</v>
      </c>
      <c r="B91" s="15" t="s">
        <v>47</v>
      </c>
      <c r="C91" s="15" t="str">
        <f aca="false">IF(Responses!$X$2=B91,"Yes","")</f>
        <v/>
      </c>
      <c r="D91" s="18" t="n">
        <f aca="false">COUNTIF(Responses!$X$3:$X$152,B91)/'Item Analysis'!$B$2</f>
        <v>0.26</v>
      </c>
      <c r="E91" s="15" t="n">
        <f aca="false">COUNTIFS(Responses!$X$3:$X$152,B91,Scoring!$AF$3:$AF$152,"&gt;="&amp;'Item Analysis'!$B$5)</f>
        <v>1</v>
      </c>
      <c r="F91" s="15" t="n">
        <f aca="false">COUNTIFS(Responses!$X$3:$X$152,B91,Scoring!$AF$3:$AF$152,"&lt;="&amp;'Item Analysis'!$B$6)</f>
        <v>20</v>
      </c>
      <c r="G91" s="15" t="n">
        <f aca="false">E91-F91</f>
        <v>-19</v>
      </c>
      <c r="H91" s="15" t="str">
        <f aca="false">IF(C91="Yes",IF(G91&gt;0,"Key discriminates as it should","Key does not discriminate: review"),IF(D91&lt;'Item Analysis'!$B$17,"Ineffective distractor",IF(G91&gt;0,"Distractor attracts high achievers: review it","Distractor works")))</f>
        <v>Distractor works</v>
      </c>
    </row>
    <row r="92" customFormat="false" ht="15" hidden="false" customHeight="false" outlineLevel="0" collapsed="false">
      <c r="A92" s="15" t="s">
        <v>36</v>
      </c>
      <c r="B92" s="15" t="s">
        <v>46</v>
      </c>
      <c r="C92" s="15" t="str">
        <f aca="false">IF(Responses!$X$2=B92,"Yes","")</f>
        <v>Yes</v>
      </c>
      <c r="D92" s="18" t="n">
        <f aca="false">COUNTIF(Responses!$X$3:$X$152,B92)/'Item Analysis'!$B$2</f>
        <v>0.58</v>
      </c>
      <c r="E92" s="15" t="n">
        <f aca="false">COUNTIFS(Responses!$X$3:$X$152,B92,Scoring!$AF$3:$AF$152,"&gt;="&amp;'Item Analysis'!$B$5)</f>
        <v>42</v>
      </c>
      <c r="F92" s="15" t="n">
        <f aca="false">COUNTIFS(Responses!$X$3:$X$152,B92,Scoring!$AF$3:$AF$152,"&lt;="&amp;'Item Analysis'!$B$6)</f>
        <v>13</v>
      </c>
      <c r="G92" s="15" t="n">
        <f aca="false">E92-F92</f>
        <v>29</v>
      </c>
      <c r="H92" s="15" t="str">
        <f aca="false">IF(C92="Yes",IF(G92&gt;0,"Key discriminates as it should","Key does not discriminate: review"),IF(D92&lt;'Item Analysis'!$B$17,"Ineffective distractor",IF(G92&gt;0,"Distractor attracts high achievers: review it","Distractor works")))</f>
        <v>Key discriminates as it should</v>
      </c>
    </row>
    <row r="93" customFormat="false" ht="15" hidden="false" customHeight="false" outlineLevel="0" collapsed="false">
      <c r="A93" s="20" t="s">
        <v>36</v>
      </c>
      <c r="B93" s="20" t="s">
        <v>45</v>
      </c>
      <c r="C93" s="20" t="str">
        <f aca="false">IF(Responses!$X$2=B93,"Yes","")</f>
        <v/>
      </c>
      <c r="D93" s="21" t="n">
        <f aca="false">COUNTIF(Responses!$X$3:$X$152,B93)/'Item Analysis'!$B$2</f>
        <v>0</v>
      </c>
      <c r="E93" s="20" t="n">
        <f aca="false">COUNTIFS(Responses!$X$3:$X$152,B93,Scoring!$AF$3:$AF$152,"&gt;="&amp;'Item Analysis'!$B$5)</f>
        <v>0</v>
      </c>
      <c r="F93" s="20" t="n">
        <f aca="false">COUNTIFS(Responses!$X$3:$X$152,B93,Scoring!$AF$3:$AF$152,"&lt;="&amp;'Item Analysis'!$B$6)</f>
        <v>0</v>
      </c>
      <c r="G93" s="20" t="n">
        <f aca="false">E93-F93</f>
        <v>0</v>
      </c>
      <c r="H93" s="20" t="str">
        <f aca="false">IF(C93="Yes",IF(G93&gt;0,"Key discriminates as it should","Key does not discriminate: review"),IF(D93&lt;'Item Analysis'!$B$17,"Ineffective distractor",IF(G93&gt;0,"Distractor attracts high achievers: review it","Distractor works")))</f>
        <v>Ineffective distractor</v>
      </c>
    </row>
    <row r="94" customFormat="false" ht="15" hidden="false" customHeight="false" outlineLevel="0" collapsed="false">
      <c r="A94" s="15" t="s">
        <v>37</v>
      </c>
      <c r="B94" s="15" t="s">
        <v>48</v>
      </c>
      <c r="C94" s="15" t="str">
        <f aca="false">IF(Responses!$Y$2=B94,"Yes","")</f>
        <v/>
      </c>
      <c r="D94" s="18" t="n">
        <f aca="false">COUNTIF(Responses!$Y$3:$Y$152,B94)/'Item Analysis'!$B$2</f>
        <v>0.2</v>
      </c>
      <c r="E94" s="15" t="n">
        <f aca="false">COUNTIFS(Responses!$Y$3:$Y$152,B94,Scoring!$AF$3:$AF$152,"&gt;="&amp;'Item Analysis'!$B$5)</f>
        <v>1</v>
      </c>
      <c r="F94" s="15" t="n">
        <f aca="false">COUNTIFS(Responses!$Y$3:$Y$152,B94,Scoring!$AF$3:$AF$152,"&lt;="&amp;'Item Analysis'!$B$6)</f>
        <v>13</v>
      </c>
      <c r="G94" s="15" t="n">
        <f aca="false">E94-F94</f>
        <v>-12</v>
      </c>
      <c r="H94" s="15" t="str">
        <f aca="false">IF(C94="Yes",IF(G94&gt;0,"Key discriminates as it should","Key does not discriminate: review"),IF(D94&lt;'Item Analysis'!$B$17,"Ineffective distractor",IF(G94&gt;0,"Distractor attracts high achievers: review it","Distractor works")))</f>
        <v>Distractor works</v>
      </c>
    </row>
    <row r="95" customFormat="false" ht="15" hidden="false" customHeight="false" outlineLevel="0" collapsed="false">
      <c r="A95" s="15" t="s">
        <v>37</v>
      </c>
      <c r="B95" s="15" t="s">
        <v>47</v>
      </c>
      <c r="C95" s="15" t="str">
        <f aca="false">IF(Responses!$Y$2=B95,"Yes","")</f>
        <v>Yes</v>
      </c>
      <c r="D95" s="18" t="n">
        <f aca="false">COUNTIF(Responses!$Y$3:$Y$152,B95)/'Item Analysis'!$B$2</f>
        <v>0.486666666666667</v>
      </c>
      <c r="E95" s="15" t="n">
        <f aca="false">COUNTIFS(Responses!$Y$3:$Y$152,B95,Scoring!$AF$3:$AF$152,"&gt;="&amp;'Item Analysis'!$B$5)</f>
        <v>43</v>
      </c>
      <c r="F95" s="15" t="n">
        <f aca="false">COUNTIFS(Responses!$Y$3:$Y$152,B95,Scoring!$AF$3:$AF$152,"&lt;="&amp;'Item Analysis'!$B$6)</f>
        <v>10</v>
      </c>
      <c r="G95" s="15" t="n">
        <f aca="false">E95-F95</f>
        <v>33</v>
      </c>
      <c r="H95" s="15" t="str">
        <f aca="false">IF(C95="Yes",IF(G95&gt;0,"Key discriminates as it should","Key does not discriminate: review"),IF(D95&lt;'Item Analysis'!$B$17,"Ineffective distractor",IF(G95&gt;0,"Distractor attracts high achievers: review it","Distractor works")))</f>
        <v>Key discriminates as it should</v>
      </c>
    </row>
    <row r="96" customFormat="false" ht="15" hidden="false" customHeight="false" outlineLevel="0" collapsed="false">
      <c r="A96" s="15" t="s">
        <v>37</v>
      </c>
      <c r="B96" s="15" t="s">
        <v>46</v>
      </c>
      <c r="C96" s="15" t="str">
        <f aca="false">IF(Responses!$Y$2=B96,"Yes","")</f>
        <v/>
      </c>
      <c r="D96" s="18" t="n">
        <f aca="false">COUNTIF(Responses!$Y$3:$Y$152,B96)/'Item Analysis'!$B$2</f>
        <v>0.206666666666667</v>
      </c>
      <c r="E96" s="15" t="n">
        <f aca="false">COUNTIFS(Responses!$Y$3:$Y$152,B96,Scoring!$AF$3:$AF$152,"&gt;="&amp;'Item Analysis'!$B$5)</f>
        <v>1</v>
      </c>
      <c r="F96" s="15" t="n">
        <f aca="false">COUNTIFS(Responses!$Y$3:$Y$152,B96,Scoring!$AF$3:$AF$152,"&lt;="&amp;'Item Analysis'!$B$6)</f>
        <v>15</v>
      </c>
      <c r="G96" s="15" t="n">
        <f aca="false">E96-F96</f>
        <v>-14</v>
      </c>
      <c r="H96" s="15" t="str">
        <f aca="false">IF(C96="Yes",IF(G96&gt;0,"Key discriminates as it should","Key does not discriminate: review"),IF(D96&lt;'Item Analysis'!$B$17,"Ineffective distractor",IF(G96&gt;0,"Distractor attracts high achievers: review it","Distractor works")))</f>
        <v>Distractor works</v>
      </c>
    </row>
    <row r="97" customFormat="false" ht="15" hidden="false" customHeight="false" outlineLevel="0" collapsed="false">
      <c r="A97" s="20" t="s">
        <v>37</v>
      </c>
      <c r="B97" s="20" t="s">
        <v>45</v>
      </c>
      <c r="C97" s="20" t="str">
        <f aca="false">IF(Responses!$Y$2=B97,"Yes","")</f>
        <v/>
      </c>
      <c r="D97" s="21" t="n">
        <f aca="false">COUNTIF(Responses!$Y$3:$Y$152,B97)/'Item Analysis'!$B$2</f>
        <v>0.106666666666667</v>
      </c>
      <c r="E97" s="20" t="n">
        <f aca="false">COUNTIFS(Responses!$Y$3:$Y$152,B97,Scoring!$AF$3:$AF$152,"&gt;="&amp;'Item Analysis'!$B$5)</f>
        <v>0</v>
      </c>
      <c r="F97" s="20" t="n">
        <f aca="false">COUNTIFS(Responses!$Y$3:$Y$152,B97,Scoring!$AF$3:$AF$152,"&lt;="&amp;'Item Analysis'!$B$6)</f>
        <v>7</v>
      </c>
      <c r="G97" s="20" t="n">
        <f aca="false">E97-F97</f>
        <v>-7</v>
      </c>
      <c r="H97" s="20" t="str">
        <f aca="false">IF(C97="Yes",IF(G97&gt;0,"Key discriminates as it should","Key does not discriminate: review"),IF(D97&lt;'Item Analysis'!$B$17,"Ineffective distractor",IF(G97&gt;0,"Distractor attracts high achievers: review it","Distractor works")))</f>
        <v>Distractor works</v>
      </c>
    </row>
    <row r="98" customFormat="false" ht="15" hidden="false" customHeight="false" outlineLevel="0" collapsed="false">
      <c r="A98" s="15" t="s">
        <v>38</v>
      </c>
      <c r="B98" s="15" t="s">
        <v>48</v>
      </c>
      <c r="C98" s="15" t="str">
        <f aca="false">IF(Responses!$Z$2=B98,"Yes","")</f>
        <v/>
      </c>
      <c r="D98" s="18" t="n">
        <f aca="false">COUNTIF(Responses!$Z$3:$Z$152,B98)/'Item Analysis'!$B$2</f>
        <v>0.0933333333333333</v>
      </c>
      <c r="E98" s="15" t="n">
        <f aca="false">COUNTIFS(Responses!$Z$3:$Z$152,B98,Scoring!$AF$3:$AF$152,"&gt;="&amp;'Item Analysis'!$B$5)</f>
        <v>1</v>
      </c>
      <c r="F98" s="15" t="n">
        <f aca="false">COUNTIFS(Responses!$Z$3:$Z$152,B98,Scoring!$AF$3:$AF$152,"&lt;="&amp;'Item Analysis'!$B$6)</f>
        <v>10</v>
      </c>
      <c r="G98" s="15" t="n">
        <f aca="false">E98-F98</f>
        <v>-9</v>
      </c>
      <c r="H98" s="15" t="str">
        <f aca="false">IF(C98="Yes",IF(G98&gt;0,"Key discriminates as it should","Key does not discriminate: review"),IF(D98&lt;'Item Analysis'!$B$17,"Ineffective distractor",IF(G98&gt;0,"Distractor attracts high achievers: review it","Distractor works")))</f>
        <v>Distractor works</v>
      </c>
    </row>
    <row r="99" customFormat="false" ht="15" hidden="false" customHeight="false" outlineLevel="0" collapsed="false">
      <c r="A99" s="15" t="s">
        <v>38</v>
      </c>
      <c r="B99" s="15" t="s">
        <v>47</v>
      </c>
      <c r="C99" s="15" t="str">
        <f aca="false">IF(Responses!$Z$2=B99,"Yes","")</f>
        <v/>
      </c>
      <c r="D99" s="18" t="n">
        <f aca="false">COUNTIF(Responses!$Z$3:$Z$152,B99)/'Item Analysis'!$B$2</f>
        <v>0.186666666666667</v>
      </c>
      <c r="E99" s="15" t="n">
        <f aca="false">COUNTIFS(Responses!$Z$3:$Z$152,B99,Scoring!$AF$3:$AF$152,"&gt;="&amp;'Item Analysis'!$B$5)</f>
        <v>2</v>
      </c>
      <c r="F99" s="15" t="n">
        <f aca="false">COUNTIFS(Responses!$Z$3:$Z$152,B99,Scoring!$AF$3:$AF$152,"&lt;="&amp;'Item Analysis'!$B$6)</f>
        <v>13</v>
      </c>
      <c r="G99" s="15" t="n">
        <f aca="false">E99-F99</f>
        <v>-11</v>
      </c>
      <c r="H99" s="15" t="str">
        <f aca="false">IF(C99="Yes",IF(G99&gt;0,"Key discriminates as it should","Key does not discriminate: review"),IF(D99&lt;'Item Analysis'!$B$17,"Ineffective distractor",IF(G99&gt;0,"Distractor attracts high achievers: review it","Distractor works")))</f>
        <v>Distractor works</v>
      </c>
    </row>
    <row r="100" customFormat="false" ht="15" hidden="false" customHeight="false" outlineLevel="0" collapsed="false">
      <c r="A100" s="15" t="s">
        <v>38</v>
      </c>
      <c r="B100" s="15" t="s">
        <v>46</v>
      </c>
      <c r="C100" s="15" t="str">
        <f aca="false">IF(Responses!$Z$2=B100,"Yes","")</f>
        <v>Yes</v>
      </c>
      <c r="D100" s="18" t="n">
        <f aca="false">COUNTIF(Responses!$Z$3:$Z$152,B100)/'Item Analysis'!$B$2</f>
        <v>0.553333333333333</v>
      </c>
      <c r="E100" s="15" t="n">
        <f aca="false">COUNTIFS(Responses!$Z$3:$Z$152,B100,Scoring!$AF$3:$AF$152,"&gt;="&amp;'Item Analysis'!$B$5)</f>
        <v>40</v>
      </c>
      <c r="F100" s="15" t="n">
        <f aca="false">COUNTIFS(Responses!$Z$3:$Z$152,B100,Scoring!$AF$3:$AF$152,"&lt;="&amp;'Item Analysis'!$B$6)</f>
        <v>9</v>
      </c>
      <c r="G100" s="15" t="n">
        <f aca="false">E100-F100</f>
        <v>31</v>
      </c>
      <c r="H100" s="15" t="str">
        <f aca="false">IF(C100="Yes",IF(G100&gt;0,"Key discriminates as it should","Key does not discriminate: review"),IF(D100&lt;'Item Analysis'!$B$17,"Ineffective distractor",IF(G100&gt;0,"Distractor attracts high achievers: review it","Distractor works")))</f>
        <v>Key discriminates as it should</v>
      </c>
    </row>
    <row r="101" customFormat="false" ht="15" hidden="false" customHeight="false" outlineLevel="0" collapsed="false">
      <c r="A101" s="20" t="s">
        <v>38</v>
      </c>
      <c r="B101" s="20" t="s">
        <v>45</v>
      </c>
      <c r="C101" s="20" t="str">
        <f aca="false">IF(Responses!$Z$2=B101,"Yes","")</f>
        <v/>
      </c>
      <c r="D101" s="21" t="n">
        <f aca="false">COUNTIF(Responses!$Z$3:$Z$152,B101)/'Item Analysis'!$B$2</f>
        <v>0.166666666666667</v>
      </c>
      <c r="E101" s="20" t="n">
        <f aca="false">COUNTIFS(Responses!$Z$3:$Z$152,B101,Scoring!$AF$3:$AF$152,"&gt;="&amp;'Item Analysis'!$B$5)</f>
        <v>2</v>
      </c>
      <c r="F101" s="20" t="n">
        <f aca="false">COUNTIFS(Responses!$Z$3:$Z$152,B101,Scoring!$AF$3:$AF$152,"&lt;="&amp;'Item Analysis'!$B$6)</f>
        <v>13</v>
      </c>
      <c r="G101" s="20" t="n">
        <f aca="false">E101-F101</f>
        <v>-11</v>
      </c>
      <c r="H101" s="20" t="str">
        <f aca="false">IF(C101="Yes",IF(G101&gt;0,"Key discriminates as it should","Key does not discriminate: review"),IF(D101&lt;'Item Analysis'!$B$17,"Ineffective distractor",IF(G101&gt;0,"Distractor attracts high achievers: review it","Distractor works")))</f>
        <v>Distractor works</v>
      </c>
    </row>
    <row r="102" customFormat="false" ht="15" hidden="false" customHeight="false" outlineLevel="0" collapsed="false">
      <c r="A102" s="15" t="s">
        <v>39</v>
      </c>
      <c r="B102" s="15" t="s">
        <v>48</v>
      </c>
      <c r="C102" s="15" t="str">
        <f aca="false">IF(Responses!$AA$2=B102,"Yes","")</f>
        <v/>
      </c>
      <c r="D102" s="18" t="n">
        <f aca="false">COUNTIF(Responses!$AA$3:$AA$152,B102)/'Item Analysis'!$B$2</f>
        <v>0.266666666666667</v>
      </c>
      <c r="E102" s="15" t="n">
        <f aca="false">COUNTIFS(Responses!$AA$3:$AA$152,B102,Scoring!$AF$3:$AF$152,"&gt;="&amp;'Item Analysis'!$B$5)</f>
        <v>5</v>
      </c>
      <c r="F102" s="15" t="n">
        <f aca="false">COUNTIFS(Responses!$AA$3:$AA$152,B102,Scoring!$AF$3:$AF$152,"&lt;="&amp;'Item Analysis'!$B$6)</f>
        <v>19</v>
      </c>
      <c r="G102" s="15" t="n">
        <f aca="false">E102-F102</f>
        <v>-14</v>
      </c>
      <c r="H102" s="15" t="str">
        <f aca="false">IF(C102="Yes",IF(G102&gt;0,"Key discriminates as it should","Key does not discriminate: review"),IF(D102&lt;'Item Analysis'!$B$17,"Ineffective distractor",IF(G102&gt;0,"Distractor attracts high achievers: review it","Distractor works")))</f>
        <v>Distractor works</v>
      </c>
    </row>
    <row r="103" customFormat="false" ht="15" hidden="false" customHeight="false" outlineLevel="0" collapsed="false">
      <c r="A103" s="15" t="s">
        <v>39</v>
      </c>
      <c r="B103" s="15" t="s">
        <v>47</v>
      </c>
      <c r="C103" s="15" t="str">
        <f aca="false">IF(Responses!$AA$2=B103,"Yes","")</f>
        <v>Yes</v>
      </c>
      <c r="D103" s="18" t="n">
        <f aca="false">COUNTIF(Responses!$AA$3:$AA$152,B103)/'Item Analysis'!$B$2</f>
        <v>0.413333333333333</v>
      </c>
      <c r="E103" s="15" t="n">
        <f aca="false">COUNTIFS(Responses!$AA$3:$AA$152,B103,Scoring!$AF$3:$AF$152,"&gt;="&amp;'Item Analysis'!$B$5)</f>
        <v>36</v>
      </c>
      <c r="F103" s="15" t="n">
        <f aca="false">COUNTIFS(Responses!$AA$3:$AA$152,B103,Scoring!$AF$3:$AF$152,"&lt;="&amp;'Item Analysis'!$B$6)</f>
        <v>5</v>
      </c>
      <c r="G103" s="15" t="n">
        <f aca="false">E103-F103</f>
        <v>31</v>
      </c>
      <c r="H103" s="15" t="str">
        <f aca="false">IF(C103="Yes",IF(G103&gt;0,"Key discriminates as it should","Key does not discriminate: review"),IF(D103&lt;'Item Analysis'!$B$17,"Ineffective distractor",IF(G103&gt;0,"Distractor attracts high achievers: review it","Distractor works")))</f>
        <v>Key discriminates as it should</v>
      </c>
    </row>
    <row r="104" customFormat="false" ht="15" hidden="false" customHeight="false" outlineLevel="0" collapsed="false">
      <c r="A104" s="15" t="s">
        <v>39</v>
      </c>
      <c r="B104" s="15" t="s">
        <v>46</v>
      </c>
      <c r="C104" s="15" t="str">
        <f aca="false">IF(Responses!$AA$2=B104,"Yes","")</f>
        <v/>
      </c>
      <c r="D104" s="18" t="n">
        <f aca="false">COUNTIF(Responses!$AA$3:$AA$152,B104)/'Item Analysis'!$B$2</f>
        <v>0.2</v>
      </c>
      <c r="E104" s="15" t="n">
        <f aca="false">COUNTIFS(Responses!$AA$3:$AA$152,B104,Scoring!$AF$3:$AF$152,"&gt;="&amp;'Item Analysis'!$B$5)</f>
        <v>2</v>
      </c>
      <c r="F104" s="15" t="n">
        <f aca="false">COUNTIFS(Responses!$AA$3:$AA$152,B104,Scoring!$AF$3:$AF$152,"&lt;="&amp;'Item Analysis'!$B$6)</f>
        <v>13</v>
      </c>
      <c r="G104" s="15" t="n">
        <f aca="false">E104-F104</f>
        <v>-11</v>
      </c>
      <c r="H104" s="15" t="str">
        <f aca="false">IF(C104="Yes",IF(G104&gt;0,"Key discriminates as it should","Key does not discriminate: review"),IF(D104&lt;'Item Analysis'!$B$17,"Ineffective distractor",IF(G104&gt;0,"Distractor attracts high achievers: review it","Distractor works")))</f>
        <v>Distractor works</v>
      </c>
    </row>
    <row r="105" customFormat="false" ht="15" hidden="false" customHeight="false" outlineLevel="0" collapsed="false">
      <c r="A105" s="20" t="s">
        <v>39</v>
      </c>
      <c r="B105" s="20" t="s">
        <v>45</v>
      </c>
      <c r="C105" s="20" t="str">
        <f aca="false">IF(Responses!$AA$2=B105,"Yes","")</f>
        <v/>
      </c>
      <c r="D105" s="21" t="n">
        <f aca="false">COUNTIF(Responses!$AA$3:$AA$152,B105)/'Item Analysis'!$B$2</f>
        <v>0.12</v>
      </c>
      <c r="E105" s="20" t="n">
        <f aca="false">COUNTIFS(Responses!$AA$3:$AA$152,B105,Scoring!$AF$3:$AF$152,"&gt;="&amp;'Item Analysis'!$B$5)</f>
        <v>2</v>
      </c>
      <c r="F105" s="20" t="n">
        <f aca="false">COUNTIFS(Responses!$AA$3:$AA$152,B105,Scoring!$AF$3:$AF$152,"&lt;="&amp;'Item Analysis'!$B$6)</f>
        <v>8</v>
      </c>
      <c r="G105" s="20" t="n">
        <f aca="false">E105-F105</f>
        <v>-6</v>
      </c>
      <c r="H105" s="20" t="str">
        <f aca="false">IF(C105="Yes",IF(G105&gt;0,"Key discriminates as it should","Key does not discriminate: review"),IF(D105&lt;'Item Analysis'!$B$17,"Ineffective distractor",IF(G105&gt;0,"Distractor attracts high achievers: review it","Distractor works")))</f>
        <v>Distractor works</v>
      </c>
    </row>
    <row r="106" customFormat="false" ht="15" hidden="false" customHeight="false" outlineLevel="0" collapsed="false">
      <c r="A106" s="15" t="s">
        <v>40</v>
      </c>
      <c r="B106" s="15" t="s">
        <v>48</v>
      </c>
      <c r="C106" s="15" t="str">
        <f aca="false">IF(Responses!$AB$2=B106,"Yes","")</f>
        <v/>
      </c>
      <c r="D106" s="18" t="n">
        <f aca="false">COUNTIF(Responses!$AB$3:$AB$152,B106)/'Item Analysis'!$B$2</f>
        <v>0.113333333333333</v>
      </c>
      <c r="E106" s="15" t="n">
        <f aca="false">COUNTIFS(Responses!$AB$3:$AB$152,B106,Scoring!$AF$3:$AF$152,"&gt;="&amp;'Item Analysis'!$B$5)</f>
        <v>4</v>
      </c>
      <c r="F106" s="15" t="n">
        <f aca="false">COUNTIFS(Responses!$AB$3:$AB$152,B106,Scoring!$AF$3:$AF$152,"&lt;="&amp;'Item Analysis'!$B$6)</f>
        <v>6</v>
      </c>
      <c r="G106" s="15" t="n">
        <f aca="false">E106-F106</f>
        <v>-2</v>
      </c>
      <c r="H106" s="15" t="str">
        <f aca="false">IF(C106="Yes",IF(G106&gt;0,"Key discriminates as it should","Key does not discriminate: review"),IF(D106&lt;'Item Analysis'!$B$17,"Ineffective distractor",IF(G106&gt;0,"Distractor attracts high achievers: review it","Distractor works")))</f>
        <v>Distractor works</v>
      </c>
    </row>
    <row r="107" customFormat="false" ht="15" hidden="false" customHeight="false" outlineLevel="0" collapsed="false">
      <c r="A107" s="15" t="s">
        <v>40</v>
      </c>
      <c r="B107" s="15" t="s">
        <v>47</v>
      </c>
      <c r="C107" s="15" t="str">
        <f aca="false">IF(Responses!$AB$2=B107,"Yes","")</f>
        <v>Yes</v>
      </c>
      <c r="D107" s="18" t="n">
        <f aca="false">COUNTIF(Responses!$AB$3:$AB$152,B107)/'Item Analysis'!$B$2</f>
        <v>0.493333333333333</v>
      </c>
      <c r="E107" s="15" t="n">
        <f aca="false">COUNTIFS(Responses!$AB$3:$AB$152,B107,Scoring!$AF$3:$AF$152,"&gt;="&amp;'Item Analysis'!$B$5)</f>
        <v>21</v>
      </c>
      <c r="F107" s="15" t="n">
        <f aca="false">COUNTIFS(Responses!$AB$3:$AB$152,B107,Scoring!$AF$3:$AF$152,"&lt;="&amp;'Item Analysis'!$B$6)</f>
        <v>21</v>
      </c>
      <c r="G107" s="15" t="n">
        <f aca="false">E107-F107</f>
        <v>0</v>
      </c>
      <c r="H107" s="15" t="str">
        <f aca="false">IF(C107="Yes",IF(G107&gt;0,"Key discriminates as it should","Key does not discriminate: review"),IF(D107&lt;'Item Analysis'!$B$17,"Ineffective distractor",IF(G107&gt;0,"Distractor attracts high achievers: review it","Distractor works")))</f>
        <v>Key does not discriminate: review</v>
      </c>
    </row>
    <row r="108" customFormat="false" ht="28.35" hidden="false" customHeight="false" outlineLevel="0" collapsed="false">
      <c r="A108" s="15" t="s">
        <v>40</v>
      </c>
      <c r="B108" s="15" t="s">
        <v>46</v>
      </c>
      <c r="C108" s="15" t="str">
        <f aca="false">IF(Responses!$AB$2=B108,"Yes","")</f>
        <v/>
      </c>
      <c r="D108" s="18" t="n">
        <f aca="false">COUNTIF(Responses!$AB$3:$AB$152,B108)/'Item Analysis'!$B$2</f>
        <v>0.246666666666667</v>
      </c>
      <c r="E108" s="15" t="n">
        <f aca="false">COUNTIFS(Responses!$AB$3:$AB$152,B108,Scoring!$AF$3:$AF$152,"&gt;="&amp;'Item Analysis'!$B$5)</f>
        <v>15</v>
      </c>
      <c r="F108" s="15" t="n">
        <f aca="false">COUNTIFS(Responses!$AB$3:$AB$152,B108,Scoring!$AF$3:$AF$152,"&lt;="&amp;'Item Analysis'!$B$6)</f>
        <v>9</v>
      </c>
      <c r="G108" s="15" t="n">
        <f aca="false">E108-F108</f>
        <v>6</v>
      </c>
      <c r="H108" s="15" t="str">
        <f aca="false">IF(C108="Yes",IF(G108&gt;0,"Key discriminates as it should","Key does not discriminate: review"),IF(D108&lt;'Item Analysis'!$B$17,"Ineffective distractor",IF(G108&gt;0,"Distractor attracts high achievers: review it","Distractor works")))</f>
        <v>Distractor attracts high achievers: review it</v>
      </c>
    </row>
    <row r="109" customFormat="false" ht="15" hidden="false" customHeight="false" outlineLevel="0" collapsed="false">
      <c r="A109" s="20" t="s">
        <v>40</v>
      </c>
      <c r="B109" s="20" t="s">
        <v>45</v>
      </c>
      <c r="C109" s="20" t="str">
        <f aca="false">IF(Responses!$AB$2=B109,"Yes","")</f>
        <v/>
      </c>
      <c r="D109" s="21" t="n">
        <f aca="false">COUNTIF(Responses!$AB$3:$AB$152,B109)/'Item Analysis'!$B$2</f>
        <v>0.146666666666667</v>
      </c>
      <c r="E109" s="20" t="n">
        <f aca="false">COUNTIFS(Responses!$AB$3:$AB$152,B109,Scoring!$AF$3:$AF$152,"&gt;="&amp;'Item Analysis'!$B$5)</f>
        <v>5</v>
      </c>
      <c r="F109" s="20" t="n">
        <f aca="false">COUNTIFS(Responses!$AB$3:$AB$152,B109,Scoring!$AF$3:$AF$152,"&lt;="&amp;'Item Analysis'!$B$6)</f>
        <v>9</v>
      </c>
      <c r="G109" s="20" t="n">
        <f aca="false">E109-F109</f>
        <v>-4</v>
      </c>
      <c r="H109" s="20" t="str">
        <f aca="false">IF(C109="Yes",IF(G109&gt;0,"Key discriminates as it should","Key does not discriminate: review"),IF(D109&lt;'Item Analysis'!$B$17,"Ineffective distractor",IF(G109&gt;0,"Distractor attracts high achievers: review it","Distractor works")))</f>
        <v>Distractor works</v>
      </c>
    </row>
    <row r="110" customFormat="false" ht="15" hidden="false" customHeight="false" outlineLevel="0" collapsed="false">
      <c r="A110" s="15" t="s">
        <v>41</v>
      </c>
      <c r="B110" s="15" t="s">
        <v>48</v>
      </c>
      <c r="C110" s="15" t="str">
        <f aca="false">IF(Responses!$AC$2=B110,"Yes","")</f>
        <v/>
      </c>
      <c r="D110" s="18" t="n">
        <f aca="false">COUNTIF(Responses!$AC$3:$AC$152,B110)/'Item Analysis'!$B$2</f>
        <v>0.133333333333333</v>
      </c>
      <c r="E110" s="15" t="n">
        <f aca="false">COUNTIFS(Responses!$AC$3:$AC$152,B110,Scoring!$AF$3:$AF$152,"&gt;="&amp;'Item Analysis'!$B$5)</f>
        <v>3</v>
      </c>
      <c r="F110" s="15" t="n">
        <f aca="false">COUNTIFS(Responses!$AC$3:$AC$152,B110,Scoring!$AF$3:$AF$152,"&lt;="&amp;'Item Analysis'!$B$6)</f>
        <v>7</v>
      </c>
      <c r="G110" s="15" t="n">
        <f aca="false">E110-F110</f>
        <v>-4</v>
      </c>
      <c r="H110" s="15" t="str">
        <f aca="false">IF(C110="Yes",IF(G110&gt;0,"Key discriminates as it should","Key does not discriminate: review"),IF(D110&lt;'Item Analysis'!$B$17,"Ineffective distractor",IF(G110&gt;0,"Distractor attracts high achievers: review it","Distractor works")))</f>
        <v>Distractor works</v>
      </c>
    </row>
    <row r="111" customFormat="false" ht="15" hidden="false" customHeight="false" outlineLevel="0" collapsed="false">
      <c r="A111" s="15" t="s">
        <v>41</v>
      </c>
      <c r="B111" s="15" t="s">
        <v>47</v>
      </c>
      <c r="C111" s="15" t="str">
        <f aca="false">IF(Responses!$AC$2=B111,"Yes","")</f>
        <v>Yes</v>
      </c>
      <c r="D111" s="18" t="n">
        <f aca="false">COUNTIF(Responses!$AC$3:$AC$152,B111)/'Item Analysis'!$B$2</f>
        <v>0.513333333333333</v>
      </c>
      <c r="E111" s="15" t="n">
        <f aca="false">COUNTIFS(Responses!$AC$3:$AC$152,B111,Scoring!$AF$3:$AF$152,"&gt;="&amp;'Item Analysis'!$B$5)</f>
        <v>38</v>
      </c>
      <c r="F111" s="15" t="n">
        <f aca="false">COUNTIFS(Responses!$AC$3:$AC$152,B111,Scoring!$AF$3:$AF$152,"&lt;="&amp;'Item Analysis'!$B$6)</f>
        <v>10</v>
      </c>
      <c r="G111" s="15" t="n">
        <f aca="false">E111-F111</f>
        <v>28</v>
      </c>
      <c r="H111" s="15" t="str">
        <f aca="false">IF(C111="Yes",IF(G111&gt;0,"Key discriminates as it should","Key does not discriminate: review"),IF(D111&lt;'Item Analysis'!$B$17,"Ineffective distractor",IF(G111&gt;0,"Distractor attracts high achievers: review it","Distractor works")))</f>
        <v>Key discriminates as it should</v>
      </c>
    </row>
    <row r="112" customFormat="false" ht="15" hidden="false" customHeight="false" outlineLevel="0" collapsed="false">
      <c r="A112" s="15" t="s">
        <v>41</v>
      </c>
      <c r="B112" s="15" t="s">
        <v>46</v>
      </c>
      <c r="C112" s="15" t="str">
        <f aca="false">IF(Responses!$AC$2=B112,"Yes","")</f>
        <v/>
      </c>
      <c r="D112" s="18" t="n">
        <f aca="false">COUNTIF(Responses!$AC$3:$AC$152,B112)/'Item Analysis'!$B$2</f>
        <v>0.193333333333333</v>
      </c>
      <c r="E112" s="15" t="n">
        <f aca="false">COUNTIFS(Responses!$AC$3:$AC$152,B112,Scoring!$AF$3:$AF$152,"&gt;="&amp;'Item Analysis'!$B$5)</f>
        <v>2</v>
      </c>
      <c r="F112" s="15" t="n">
        <f aca="false">COUNTIFS(Responses!$AC$3:$AC$152,B112,Scoring!$AF$3:$AF$152,"&lt;="&amp;'Item Analysis'!$B$6)</f>
        <v>19</v>
      </c>
      <c r="G112" s="15" t="n">
        <f aca="false">E112-F112</f>
        <v>-17</v>
      </c>
      <c r="H112" s="15" t="str">
        <f aca="false">IF(C112="Yes",IF(G112&gt;0,"Key discriminates as it should","Key does not discriminate: review"),IF(D112&lt;'Item Analysis'!$B$17,"Ineffective distractor",IF(G112&gt;0,"Distractor attracts high achievers: review it","Distractor works")))</f>
        <v>Distractor works</v>
      </c>
    </row>
    <row r="113" customFormat="false" ht="15" hidden="false" customHeight="false" outlineLevel="0" collapsed="false">
      <c r="A113" s="20" t="s">
        <v>41</v>
      </c>
      <c r="B113" s="20" t="s">
        <v>45</v>
      </c>
      <c r="C113" s="20" t="str">
        <f aca="false">IF(Responses!$AC$2=B113,"Yes","")</f>
        <v/>
      </c>
      <c r="D113" s="21" t="n">
        <f aca="false">COUNTIF(Responses!$AC$3:$AC$152,B113)/'Item Analysis'!$B$2</f>
        <v>0.16</v>
      </c>
      <c r="E113" s="20" t="n">
        <f aca="false">COUNTIFS(Responses!$AC$3:$AC$152,B113,Scoring!$AF$3:$AF$152,"&gt;="&amp;'Item Analysis'!$B$5)</f>
        <v>2</v>
      </c>
      <c r="F113" s="20" t="n">
        <f aca="false">COUNTIFS(Responses!$AC$3:$AC$152,B113,Scoring!$AF$3:$AF$152,"&lt;="&amp;'Item Analysis'!$B$6)</f>
        <v>9</v>
      </c>
      <c r="G113" s="20" t="n">
        <f aca="false">E113-F113</f>
        <v>-7</v>
      </c>
      <c r="H113" s="20" t="str">
        <f aca="false">IF(C113="Yes",IF(G113&gt;0,"Key discriminates as it should","Key does not discriminate: review"),IF(D113&lt;'Item Analysis'!$B$17,"Ineffective distractor",IF(G113&gt;0,"Distractor attracts high achievers: review it","Distractor works")))</f>
        <v>Distractor works</v>
      </c>
    </row>
    <row r="114" customFormat="false" ht="15" hidden="false" customHeight="false" outlineLevel="0" collapsed="false">
      <c r="A114" s="15" t="s">
        <v>42</v>
      </c>
      <c r="B114" s="15" t="s">
        <v>48</v>
      </c>
      <c r="C114" s="15" t="str">
        <f aca="false">IF(Responses!$AD$2=B114,"Yes","")</f>
        <v/>
      </c>
      <c r="D114" s="18" t="n">
        <f aca="false">COUNTIF(Responses!$AD$3:$AD$152,B114)/'Item Analysis'!$B$2</f>
        <v>0.18</v>
      </c>
      <c r="E114" s="15" t="n">
        <f aca="false">COUNTIFS(Responses!$AD$3:$AD$152,B114,Scoring!$AF$3:$AF$152,"&gt;="&amp;'Item Analysis'!$B$5)</f>
        <v>1</v>
      </c>
      <c r="F114" s="15" t="n">
        <f aca="false">COUNTIFS(Responses!$AD$3:$AD$152,B114,Scoring!$AF$3:$AF$152,"&lt;="&amp;'Item Analysis'!$B$6)</f>
        <v>14</v>
      </c>
      <c r="G114" s="15" t="n">
        <f aca="false">E114-F114</f>
        <v>-13</v>
      </c>
      <c r="H114" s="15" t="str">
        <f aca="false">IF(C114="Yes",IF(G114&gt;0,"Key discriminates as it should","Key does not discriminate: review"),IF(D114&lt;'Item Analysis'!$B$17,"Ineffective distractor",IF(G114&gt;0,"Distractor attracts high achievers: review it","Distractor works")))</f>
        <v>Distractor works</v>
      </c>
    </row>
    <row r="115" customFormat="false" ht="15" hidden="false" customHeight="false" outlineLevel="0" collapsed="false">
      <c r="A115" s="15" t="s">
        <v>42</v>
      </c>
      <c r="B115" s="15" t="s">
        <v>47</v>
      </c>
      <c r="C115" s="15" t="str">
        <f aca="false">IF(Responses!$AD$2=B115,"Yes","")</f>
        <v/>
      </c>
      <c r="D115" s="18" t="n">
        <f aca="false">COUNTIF(Responses!$AD$3:$AD$152,B115)/'Item Analysis'!$B$2</f>
        <v>0.153333333333333</v>
      </c>
      <c r="E115" s="15" t="n">
        <f aca="false">COUNTIFS(Responses!$AD$3:$AD$152,B115,Scoring!$AF$3:$AF$152,"&gt;="&amp;'Item Analysis'!$B$5)</f>
        <v>1</v>
      </c>
      <c r="F115" s="15" t="n">
        <f aca="false">COUNTIFS(Responses!$AD$3:$AD$152,B115,Scoring!$AF$3:$AF$152,"&lt;="&amp;'Item Analysis'!$B$6)</f>
        <v>8</v>
      </c>
      <c r="G115" s="15" t="n">
        <f aca="false">E115-F115</f>
        <v>-7</v>
      </c>
      <c r="H115" s="15" t="str">
        <f aca="false">IF(C115="Yes",IF(G115&gt;0,"Key discriminates as it should","Key does not discriminate: review"),IF(D115&lt;'Item Analysis'!$B$17,"Ineffective distractor",IF(G115&gt;0,"Distractor attracts high achievers: review it","Distractor works")))</f>
        <v>Distractor works</v>
      </c>
    </row>
    <row r="116" customFormat="false" ht="15" hidden="false" customHeight="false" outlineLevel="0" collapsed="false">
      <c r="A116" s="15" t="s">
        <v>42</v>
      </c>
      <c r="B116" s="15" t="s">
        <v>46</v>
      </c>
      <c r="C116" s="15" t="str">
        <f aca="false">IF(Responses!$AD$2=B116,"Yes","")</f>
        <v>Yes</v>
      </c>
      <c r="D116" s="18" t="n">
        <f aca="false">COUNTIF(Responses!$AD$3:$AD$152,B116)/'Item Analysis'!$B$2</f>
        <v>0.54</v>
      </c>
      <c r="E116" s="15" t="n">
        <f aca="false">COUNTIFS(Responses!$AD$3:$AD$152,B116,Scoring!$AF$3:$AF$152,"&gt;="&amp;'Item Analysis'!$B$5)</f>
        <v>39</v>
      </c>
      <c r="F116" s="15" t="n">
        <f aca="false">COUNTIFS(Responses!$AD$3:$AD$152,B116,Scoring!$AF$3:$AF$152,"&lt;="&amp;'Item Analysis'!$B$6)</f>
        <v>13</v>
      </c>
      <c r="G116" s="15" t="n">
        <f aca="false">E116-F116</f>
        <v>26</v>
      </c>
      <c r="H116" s="15" t="str">
        <f aca="false">IF(C116="Yes",IF(G116&gt;0,"Key discriminates as it should","Key does not discriminate: review"),IF(D116&lt;'Item Analysis'!$B$17,"Ineffective distractor",IF(G116&gt;0,"Distractor attracts high achievers: review it","Distractor works")))</f>
        <v>Key discriminates as it should</v>
      </c>
    </row>
    <row r="117" customFormat="false" ht="15" hidden="false" customHeight="false" outlineLevel="0" collapsed="false">
      <c r="A117" s="20" t="s">
        <v>42</v>
      </c>
      <c r="B117" s="20" t="s">
        <v>45</v>
      </c>
      <c r="C117" s="20" t="str">
        <f aca="false">IF(Responses!$AD$2=B117,"Yes","")</f>
        <v/>
      </c>
      <c r="D117" s="21" t="n">
        <f aca="false">COUNTIF(Responses!$AD$3:$AD$152,B117)/'Item Analysis'!$B$2</f>
        <v>0.126666666666667</v>
      </c>
      <c r="E117" s="20" t="n">
        <f aca="false">COUNTIFS(Responses!$AD$3:$AD$152,B117,Scoring!$AF$3:$AF$152,"&gt;="&amp;'Item Analysis'!$B$5)</f>
        <v>4</v>
      </c>
      <c r="F117" s="20" t="n">
        <f aca="false">COUNTIFS(Responses!$AD$3:$AD$152,B117,Scoring!$AF$3:$AF$152,"&lt;="&amp;'Item Analysis'!$B$6)</f>
        <v>10</v>
      </c>
      <c r="G117" s="20" t="n">
        <f aca="false">E117-F117</f>
        <v>-6</v>
      </c>
      <c r="H117" s="20" t="str">
        <f aca="false">IF(C117="Yes",IF(G117&gt;0,"Key discriminates as it should","Key does not discriminate: review"),IF(D117&lt;'Item Analysis'!$B$17,"Ineffective distractor",IF(G117&gt;0,"Distractor attracts high achievers: review it","Distractor works")))</f>
        <v>Distractor works</v>
      </c>
    </row>
    <row r="118" customFormat="false" ht="15" hidden="false" customHeight="false" outlineLevel="0" collapsed="false">
      <c r="A118" s="15" t="s">
        <v>43</v>
      </c>
      <c r="B118" s="15" t="s">
        <v>48</v>
      </c>
      <c r="C118" s="15" t="str">
        <f aca="false">IF(Responses!$AE$2=B118,"Yes","")</f>
        <v/>
      </c>
      <c r="D118" s="18" t="n">
        <f aca="false">COUNTIF(Responses!$AE$3:$AE$152,B118)/'Item Analysis'!$B$2</f>
        <v>0.146666666666667</v>
      </c>
      <c r="E118" s="15" t="n">
        <f aca="false">COUNTIFS(Responses!$AE$3:$AE$152,B118,Scoring!$AF$3:$AF$152,"&gt;="&amp;'Item Analysis'!$B$5)</f>
        <v>0</v>
      </c>
      <c r="F118" s="15" t="n">
        <f aca="false">COUNTIFS(Responses!$AE$3:$AE$152,B118,Scoring!$AF$3:$AF$152,"&lt;="&amp;'Item Analysis'!$B$6)</f>
        <v>10</v>
      </c>
      <c r="G118" s="15" t="n">
        <f aca="false">E118-F118</f>
        <v>-10</v>
      </c>
      <c r="H118" s="15" t="str">
        <f aca="false">IF(C118="Yes",IF(G118&gt;0,"Key discriminates as it should","Key does not discriminate: review"),IF(D118&lt;'Item Analysis'!$B$17,"Ineffective distractor",IF(G118&gt;0,"Distractor attracts high achievers: review it","Distractor works")))</f>
        <v>Distractor works</v>
      </c>
    </row>
    <row r="119" customFormat="false" ht="15" hidden="false" customHeight="false" outlineLevel="0" collapsed="false">
      <c r="A119" s="15" t="s">
        <v>43</v>
      </c>
      <c r="B119" s="15" t="s">
        <v>47</v>
      </c>
      <c r="C119" s="15" t="str">
        <f aca="false">IF(Responses!$AE$2=B119,"Yes","")</f>
        <v/>
      </c>
      <c r="D119" s="18" t="n">
        <f aca="false">COUNTIF(Responses!$AE$3:$AE$152,B119)/'Item Analysis'!$B$2</f>
        <v>0.113333333333333</v>
      </c>
      <c r="E119" s="15" t="n">
        <f aca="false">COUNTIFS(Responses!$AE$3:$AE$152,B119,Scoring!$AF$3:$AF$152,"&gt;="&amp;'Item Analysis'!$B$5)</f>
        <v>0</v>
      </c>
      <c r="F119" s="15" t="n">
        <f aca="false">COUNTIFS(Responses!$AE$3:$AE$152,B119,Scoring!$AF$3:$AF$152,"&lt;="&amp;'Item Analysis'!$B$6)</f>
        <v>14</v>
      </c>
      <c r="G119" s="15" t="n">
        <f aca="false">E119-F119</f>
        <v>-14</v>
      </c>
      <c r="H119" s="15" t="str">
        <f aca="false">IF(C119="Yes",IF(G119&gt;0,"Key discriminates as it should","Key does not discriminate: review"),IF(D119&lt;'Item Analysis'!$B$17,"Ineffective distractor",IF(G119&gt;0,"Distractor attracts high achievers: review it","Distractor works")))</f>
        <v>Distractor works</v>
      </c>
    </row>
    <row r="120" customFormat="false" ht="15" hidden="false" customHeight="false" outlineLevel="0" collapsed="false">
      <c r="A120" s="15" t="s">
        <v>43</v>
      </c>
      <c r="B120" s="15" t="s">
        <v>46</v>
      </c>
      <c r="C120" s="15" t="str">
        <f aca="false">IF(Responses!$AE$2=B120,"Yes","")</f>
        <v>Yes</v>
      </c>
      <c r="D120" s="18" t="n">
        <f aca="false">COUNTIF(Responses!$AE$3:$AE$152,B120)/'Item Analysis'!$B$2</f>
        <v>0.586666666666667</v>
      </c>
      <c r="E120" s="15" t="n">
        <f aca="false">COUNTIFS(Responses!$AE$3:$AE$152,B120,Scoring!$AF$3:$AF$152,"&gt;="&amp;'Item Analysis'!$B$5)</f>
        <v>45</v>
      </c>
      <c r="F120" s="15" t="n">
        <f aca="false">COUNTIFS(Responses!$AE$3:$AE$152,B120,Scoring!$AF$3:$AF$152,"&lt;="&amp;'Item Analysis'!$B$6)</f>
        <v>11</v>
      </c>
      <c r="G120" s="15" t="n">
        <f aca="false">E120-F120</f>
        <v>34</v>
      </c>
      <c r="H120" s="15" t="str">
        <f aca="false">IF(C120="Yes",IF(G120&gt;0,"Key discriminates as it should","Key does not discriminate: review"),IF(D120&lt;'Item Analysis'!$B$17,"Ineffective distractor",IF(G120&gt;0,"Distractor attracts high achievers: review it","Distractor works")))</f>
        <v>Key discriminates as it should</v>
      </c>
    </row>
    <row r="121" customFormat="false" ht="15" hidden="false" customHeight="false" outlineLevel="0" collapsed="false">
      <c r="A121" s="20" t="s">
        <v>43</v>
      </c>
      <c r="B121" s="20" t="s">
        <v>45</v>
      </c>
      <c r="C121" s="20" t="str">
        <f aca="false">IF(Responses!$AE$2=B121,"Yes","")</f>
        <v/>
      </c>
      <c r="D121" s="21" t="n">
        <f aca="false">COUNTIF(Responses!$AE$3:$AE$152,B121)/'Item Analysis'!$B$2</f>
        <v>0.153333333333333</v>
      </c>
      <c r="E121" s="20" t="n">
        <f aca="false">COUNTIFS(Responses!$AE$3:$AE$152,B121,Scoring!$AF$3:$AF$152,"&gt;="&amp;'Item Analysis'!$B$5)</f>
        <v>0</v>
      </c>
      <c r="F121" s="20" t="n">
        <f aca="false">COUNTIFS(Responses!$AE$3:$AE$152,B121,Scoring!$AF$3:$AF$152,"&lt;="&amp;'Item Analysis'!$B$6)</f>
        <v>10</v>
      </c>
      <c r="G121" s="20" t="n">
        <f aca="false">E121-F121</f>
        <v>-10</v>
      </c>
      <c r="H121" s="20" t="str">
        <f aca="false">IF(C121="Yes",IF(G121&gt;0,"Key discriminates as it should","Key does not discriminate: review"),IF(D121&lt;'Item Analysis'!$B$17,"Ineffective distractor",IF(G121&gt;0,"Distractor attracts high achievers: review it","Distractor works")))</f>
        <v>Distractor works</v>
      </c>
    </row>
  </sheetData>
  <conditionalFormatting sqref="H2:H121">
    <cfRule type="expression" priority="2" aboveAverage="0" equalAverage="0" bottom="0" percent="0" rank="0" text="" dxfId="0">
      <formula>OR(H2="Ineffective distractor",LEFT(H2,19)="Distractor attracts",LEFT(H2,12)="Key does not")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242</v>
      </c>
      <c r="B1" s="4" t="s">
        <v>243</v>
      </c>
    </row>
    <row r="2" customFormat="false" ht="15" hidden="false" customHeight="false" outlineLevel="0" collapsed="false">
      <c r="A2" s="22" t="s">
        <v>202</v>
      </c>
      <c r="B2" s="23" t="n">
        <f aca="false">'Item Analysis'!B2</f>
        <v>150</v>
      </c>
    </row>
    <row r="3" customFormat="false" ht="15" hidden="false" customHeight="false" outlineLevel="0" collapsed="false">
      <c r="A3" s="22" t="s">
        <v>244</v>
      </c>
      <c r="B3" s="23" t="n">
        <f aca="false">'Item Analysis'!B9</f>
        <v>30</v>
      </c>
    </row>
    <row r="4" customFormat="false" ht="15" hidden="false" customHeight="false" outlineLevel="0" collapsed="false">
      <c r="A4" s="22" t="s">
        <v>245</v>
      </c>
      <c r="B4" s="24" t="n">
        <f aca="false">AVERAGE(Scoring!$AF$3:$AF$152)</f>
        <v>16.4666666666667</v>
      </c>
    </row>
    <row r="5" customFormat="false" ht="15" hidden="false" customHeight="false" outlineLevel="0" collapsed="false">
      <c r="A5" s="22" t="s">
        <v>246</v>
      </c>
      <c r="B5" s="24" t="n">
        <f aca="false">'Item Analysis'!B11</f>
        <v>6.39965276835826</v>
      </c>
    </row>
    <row r="6" customFormat="false" ht="15" hidden="false" customHeight="false" outlineLevel="0" collapsed="false">
      <c r="A6" s="22" t="s">
        <v>247</v>
      </c>
      <c r="B6" s="23" t="n">
        <f aca="false">MIN(Scoring!$AF$3:$AF$152)</f>
        <v>4</v>
      </c>
    </row>
    <row r="7" customFormat="false" ht="15" hidden="false" customHeight="false" outlineLevel="0" collapsed="false">
      <c r="A7" s="22" t="s">
        <v>248</v>
      </c>
      <c r="B7" s="23" t="n">
        <f aca="false">MAX(Scoring!$AF$3:$AF$152)</f>
        <v>28</v>
      </c>
    </row>
    <row r="8" customFormat="false" ht="15" hidden="false" customHeight="false" outlineLevel="0" collapsed="false">
      <c r="A8" s="22" t="s">
        <v>249</v>
      </c>
      <c r="B8" s="24" t="n">
        <f aca="false">'Item Analysis'!B9/('Item Analysis'!B9-1)*(1-'Item Analysis'!B12/'Item Analysis'!B10)</f>
        <v>0.869802982393773</v>
      </c>
    </row>
    <row r="9" customFormat="false" ht="15" hidden="false" customHeight="false" outlineLevel="0" collapsed="false">
      <c r="A9" s="22" t="s">
        <v>250</v>
      </c>
      <c r="B9" s="24" t="n">
        <f aca="false">B5*SQRT(1-B8)</f>
        <v>2.30917543459553</v>
      </c>
    </row>
    <row r="10" customFormat="false" ht="15" hidden="false" customHeight="false" outlineLevel="0" collapsed="false">
      <c r="A10" s="22" t="s">
        <v>251</v>
      </c>
      <c r="B10" s="24" t="n">
        <f aca="false">AVERAGE('Item Analysis'!C21:C50)</f>
        <v>0.548888888888889</v>
      </c>
    </row>
    <row r="11" customFormat="false" ht="15" hidden="false" customHeight="false" outlineLevel="0" collapsed="false">
      <c r="A11" s="22" t="s">
        <v>252</v>
      </c>
      <c r="B11" s="24" t="n">
        <f aca="false">AVERAGE('Item Analysis'!I21:I50)</f>
        <v>0.396510081779793</v>
      </c>
    </row>
    <row r="12" customFormat="false" ht="15" hidden="false" customHeight="false" outlineLevel="0" collapsed="false">
      <c r="A12" s="22" t="s">
        <v>253</v>
      </c>
      <c r="B12" s="23" t="n">
        <f aca="false">COUNTIF('Item Analysis'!P21:P50,"Good")</f>
        <v>21</v>
      </c>
    </row>
    <row r="13" customFormat="false" ht="15" hidden="false" customHeight="false" outlineLevel="0" collapsed="false">
      <c r="A13" s="22" t="s">
        <v>254</v>
      </c>
      <c r="B13" s="23" t="n">
        <f aca="false">B3-B12</f>
        <v>9</v>
      </c>
    </row>
    <row r="16" customFormat="false" ht="15" hidden="false" customHeight="false" outlineLevel="0" collapsed="false">
      <c r="A16" s="4" t="s">
        <v>255</v>
      </c>
      <c r="B16" s="4"/>
    </row>
    <row r="17" customFormat="false" ht="15" hidden="false" customHeight="false" outlineLevel="0" collapsed="false">
      <c r="A17" s="0" t="s">
        <v>256</v>
      </c>
      <c r="B17" s="0" t="s">
        <v>202</v>
      </c>
    </row>
    <row r="18" customFormat="false" ht="15" hidden="false" customHeight="false" outlineLevel="0" collapsed="false">
      <c r="A18" s="7" t="s">
        <v>257</v>
      </c>
      <c r="B18" s="7" t="n">
        <f aca="false">COUNTIFS(Scoring!$AF$3:$AF$152,"&gt;=0",Scoring!$AF$3:$AF$152,"&lt;=5")</f>
        <v>2</v>
      </c>
    </row>
    <row r="19" customFormat="false" ht="15" hidden="false" customHeight="false" outlineLevel="0" collapsed="false">
      <c r="A19" s="7" t="s">
        <v>258</v>
      </c>
      <c r="B19" s="7" t="n">
        <f aca="false">COUNTIFS(Scoring!$AF$3:$AF$152,"&gt;=6",Scoring!$AF$3:$AF$152,"&lt;=8")</f>
        <v>14</v>
      </c>
    </row>
    <row r="20" customFormat="false" ht="15" hidden="false" customHeight="false" outlineLevel="0" collapsed="false">
      <c r="A20" s="7" t="s">
        <v>259</v>
      </c>
      <c r="B20" s="7" t="n">
        <f aca="false">COUNTIFS(Scoring!$AF$3:$AF$152,"&gt;=9",Scoring!$AF$3:$AF$152,"&lt;=11")</f>
        <v>29</v>
      </c>
    </row>
    <row r="21" customFormat="false" ht="15" hidden="false" customHeight="false" outlineLevel="0" collapsed="false">
      <c r="A21" s="7" t="s">
        <v>260</v>
      </c>
      <c r="B21" s="7" t="n">
        <f aca="false">COUNTIFS(Scoring!$AF$3:$AF$152,"&gt;=12",Scoring!$AF$3:$AF$152,"&lt;=14")</f>
        <v>19</v>
      </c>
    </row>
    <row r="22" customFormat="false" ht="15" hidden="false" customHeight="false" outlineLevel="0" collapsed="false">
      <c r="A22" s="7" t="s">
        <v>261</v>
      </c>
      <c r="B22" s="7" t="n">
        <f aca="false">COUNTIFS(Scoring!$AF$3:$AF$152,"&gt;=15",Scoring!$AF$3:$AF$152,"&lt;=17")</f>
        <v>20</v>
      </c>
    </row>
    <row r="23" customFormat="false" ht="15" hidden="false" customHeight="false" outlineLevel="0" collapsed="false">
      <c r="A23" s="7" t="s">
        <v>262</v>
      </c>
      <c r="B23" s="7" t="n">
        <f aca="false">COUNTIFS(Scoring!$AF$3:$AF$152,"&gt;=18",Scoring!$AF$3:$AF$152,"&lt;=20")</f>
        <v>21</v>
      </c>
    </row>
    <row r="24" customFormat="false" ht="15" hidden="false" customHeight="false" outlineLevel="0" collapsed="false">
      <c r="A24" s="7" t="s">
        <v>263</v>
      </c>
      <c r="B24" s="7" t="n">
        <f aca="false">COUNTIFS(Scoring!$AF$3:$AF$152,"&gt;=21",Scoring!$AF$3:$AF$152,"&lt;=23")</f>
        <v>18</v>
      </c>
    </row>
    <row r="25" customFormat="false" ht="15" hidden="false" customHeight="false" outlineLevel="0" collapsed="false">
      <c r="A25" s="7" t="s">
        <v>264</v>
      </c>
      <c r="B25" s="7" t="n">
        <f aca="false">COUNTIFS(Scoring!$AF$3:$AF$152,"&gt;=24",Scoring!$AF$3:$AF$152,"&lt;=26")</f>
        <v>16</v>
      </c>
    </row>
    <row r="26" customFormat="false" ht="15" hidden="false" customHeight="false" outlineLevel="0" collapsed="false">
      <c r="A26" s="7" t="s">
        <v>265</v>
      </c>
      <c r="B26" s="7" t="n">
        <f aca="false">COUNTIFS(Scoring!$AF$3:$AF$152,"&gt;=27",Scoring!$AF$3:$AF$152,"&lt;=30")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2026-10-15T03:59:42Z</dcterms:created>
  <dc:creator>openpyxl</dc:creator>
  <dc:description/>
  <dc:language>en-US</dc:language>
  <cp:lastModifiedBy/>
  <dcterms:modified xsi:type="dcterms:W3CDTF">2026-10-15T03:59:42Z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