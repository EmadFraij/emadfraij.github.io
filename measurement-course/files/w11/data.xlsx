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إجابات" sheetId="2" state="visible" r:id="rId4"/>
    <sheet name="التصحيح" sheetId="3" state="visible" r:id="rId5"/>
    <sheet name="تحليل الفقرات" sheetId="4" state="visible" r:id="rId6"/>
    <sheet name="تحليل المموهات" sheetId="5" state="visible" r:id="rId7"/>
    <sheet name="ملخص الاختبا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FreeSans"/>
            <family val="2"/>
          </rPr>
          <t xml:space="preserve">صف المفتاح مدخل قابل للتعديل. المفتاح الحالي يحوي خطأً مقصوداً في فقرة واحدة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Kelley (1939): </t>
        </r>
        <r>
          <rPr>
            <sz val="10"/>
            <rFont val="FreeSans"/>
            <family val="2"/>
          </rPr>
          <t xml:space="preserve">نسبة </t>
        </r>
        <r>
          <rPr>
            <sz val="10"/>
            <rFont val="Arial"/>
            <family val="2"/>
          </rPr>
          <t xml:space="preserve">27% تعظّم الفرق بين الفئتين مع حجم كافٍ لكل فئة.</t>
        </r>
      </text>
    </comment>
    <comment ref="A7" authorId="0">
      <text>
        <r>
          <rPr>
            <sz val="10"/>
            <rFont val="FreeSans"/>
            <family val="2"/>
          </rPr>
          <t xml:space="preserve">قد يزيد عن حجم الفئة بسبب تساوي الدرجات عند الحد</t>
        </r>
        <r>
          <rPr>
            <sz val="10"/>
            <rFont val="Arial"/>
            <family val="2"/>
          </rPr>
          <t xml:space="preserve">.</t>
        </r>
      </text>
    </comment>
    <comment ref="A13" authorId="0">
      <text>
        <r>
          <rPr>
            <sz val="10"/>
            <rFont val="FreeSans"/>
            <family val="2"/>
          </rPr>
          <t xml:space="preserve">معايير القرار مدخلات قابلة للتعديل. القيم الافتراضية شائعة في أدبيات تحليل الفقرات الصفية</t>
        </r>
        <r>
          <rPr>
            <sz val="10"/>
            <rFont val="Arial"/>
            <family val="2"/>
          </rPr>
          <t xml:space="preserve">.</t>
        </r>
      </text>
    </comment>
    <comment ref="A15" authorId="0">
      <text>
        <r>
          <rPr>
            <sz val="10"/>
            <rFont val="Arial"/>
            <family val="2"/>
          </rPr>
          <t xml:space="preserve">Ebel &amp; Frisbie (1991): </t>
        </r>
        <r>
          <rPr>
            <sz val="10"/>
            <rFont val="FreeSans"/>
            <family val="2"/>
          </rPr>
          <t xml:space="preserve">أقل من </t>
        </r>
        <r>
          <rPr>
            <sz val="10"/>
            <rFont val="Arial"/>
            <family val="2"/>
          </rPr>
          <t xml:space="preserve">0.20 ضعيف، 0.20–0.29 هامشي، 0.30–0.39 جيد، 0.40 فأكثر جيد جداً.</t>
        </r>
      </text>
    </comment>
    <comment ref="A17" authorId="0">
      <text>
        <r>
          <rPr>
            <sz val="10"/>
            <rFont val="FreeSans"/>
            <family val="2"/>
          </rPr>
          <t xml:space="preserve">مموّه يختاره أقل من </t>
        </r>
        <r>
          <rPr>
            <sz val="10"/>
            <rFont val="Arial"/>
            <family val="2"/>
          </rPr>
          <t xml:space="preserve">5% من الطلبة لا يؤدي وظيفته.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FreeSans"/>
            <family val="2"/>
          </rPr>
          <t xml:space="preserve">للفقرات المصححة </t>
        </r>
        <r>
          <rPr>
            <sz val="10"/>
            <rFont val="Arial"/>
            <family val="2"/>
          </rPr>
          <t xml:space="preserve">1/0 تتطابق معادلة كرونباخ ألفا مع KR-20 </t>
        </r>
        <r>
          <rPr>
            <sz val="10"/>
            <rFont val="FreeSans"/>
            <family val="2"/>
          </rPr>
          <t xml:space="preserve">عند استخدام التباين نفسه للفقرات والكلية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<sst xmlns="http://schemas.openxmlformats.org/spreadsheetml/2006/main" count="5096" uniqueCount="266">
  <si>
    <t xml:space="preserve">مشغل الأسبوع 11 — تحليل الفقرات</t>
  </si>
  <si>
    <t xml:space="preserve">مساق القياس والتقويم التربوي — دبلوم الدراسات العليا المهني في التدريس</t>
  </si>
  <si>
    <t xml:space="preserve">تنبيه: البيانات محاكاة حاسوبية لأغراض التدريب، وليست درجات طلبة حقيقيين.</t>
  </si>
  <si>
    <t xml:space="preserve">150 طالباً × 30 فقرة اختيار من متعدد (أ، ب، ج، د مرمّزة A B C D).</t>
  </si>
  <si>
    <t xml:space="preserve">في الاختبار فقرات معيبة عمداً. مهمتك اكتشافها وتفسير سبب عيب كل منها.</t>
  </si>
  <si>
    <t xml:space="preserve">أوراق المصنف:</t>
  </si>
  <si>
    <t xml:space="preserve">الإجابات: الإجابات الخام لكل طالب، وصف مفتاح الإجابة في الأعلى.</t>
  </si>
  <si>
    <t xml:space="preserve">التصحيح: تحويل الإجابات إلى 1/0 بمعادلات، والدرجة الكلية لكل طالب.</t>
  </si>
  <si>
    <t xml:space="preserve">تحليل الفقرات: الصعوبة، والتمييز بطريقتين، ومعامل الثبات إذا حُذفت الفقرة، وتوصية آلية.</t>
  </si>
  <si>
    <t xml:space="preserve">تحليل المموهات: نسبة اختيار كل بديل في الكل وفي الفئتين العليا والدنيا.</t>
  </si>
  <si>
    <t xml:space="preserve">ملخص الاختبار: الإحصاءات الوصفية، وكرونباخ ألفا، والخطأ المعياري للقياس، وتوزيع الدرجات.</t>
  </si>
  <si>
    <t xml:space="preserve">الخلايا الصفراء مدخلات يمكن تعديلها (نسبة الفئتين ومعايير القرار). كل ما عداها معادلات حية.</t>
  </si>
  <si>
    <t xml:space="preserve">جرّب: صحّح مفتاح الفقرة 7 في ورقة الإجابات وراقب تغيّر التمييز والثبات فوراً.</t>
  </si>
  <si>
    <t xml:space="preserve">رقم الطالب</t>
  </si>
  <si>
    <t xml:space="preserve">ف1</t>
  </si>
  <si>
    <t xml:space="preserve">ف2</t>
  </si>
  <si>
    <t xml:space="preserve">ف3</t>
  </si>
  <si>
    <t xml:space="preserve">ف4</t>
  </si>
  <si>
    <t xml:space="preserve">ف5</t>
  </si>
  <si>
    <t xml:space="preserve">ف6</t>
  </si>
  <si>
    <t xml:space="preserve">ف7</t>
  </si>
  <si>
    <t xml:space="preserve">ف8</t>
  </si>
  <si>
    <t xml:space="preserve">ف9</t>
  </si>
  <si>
    <t xml:space="preserve">ف10</t>
  </si>
  <si>
    <t xml:space="preserve">ف11</t>
  </si>
  <si>
    <t xml:space="preserve">ف12</t>
  </si>
  <si>
    <t xml:space="preserve">ف13</t>
  </si>
  <si>
    <t xml:space="preserve">ف14</t>
  </si>
  <si>
    <t xml:space="preserve">ف15</t>
  </si>
  <si>
    <t xml:space="preserve">ف16</t>
  </si>
  <si>
    <t xml:space="preserve">ف17</t>
  </si>
  <si>
    <t xml:space="preserve">ف18</t>
  </si>
  <si>
    <t xml:space="preserve">ف19</t>
  </si>
  <si>
    <t xml:space="preserve">ف20</t>
  </si>
  <si>
    <t xml:space="preserve">ف21</t>
  </si>
  <si>
    <t xml:space="preserve">ف22</t>
  </si>
  <si>
    <t xml:space="preserve">ف23</t>
  </si>
  <si>
    <t xml:space="preserve">ف24</t>
  </si>
  <si>
    <t xml:space="preserve">ف25</t>
  </si>
  <si>
    <t xml:space="preserve">ف26</t>
  </si>
  <si>
    <t xml:space="preserve">ف27</t>
  </si>
  <si>
    <t xml:space="preserve">ف28</t>
  </si>
  <si>
    <t xml:space="preserve">ف29</t>
  </si>
  <si>
    <t xml:space="preserve">ف30</t>
  </si>
  <si>
    <t xml:space="preserve">مفتاح الإجابة</t>
  </si>
  <si>
    <t xml:space="preserve">D</t>
  </si>
  <si>
    <t xml:space="preserve">C</t>
  </si>
  <si>
    <t xml:space="preserve">B</t>
  </si>
  <si>
    <t xml:space="preserve">A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</si>
  <si>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</si>
  <si>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</si>
  <si>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</si>
  <si>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</si>
  <si>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</si>
  <si>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</si>
  <si>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</si>
  <si>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</si>
  <si>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</si>
  <si>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</si>
  <si>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</si>
  <si>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</si>
  <si>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</si>
  <si>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</si>
  <si>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</si>
  <si>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</si>
  <si>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</si>
  <si>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</si>
  <si>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</si>
  <si>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</si>
  <si>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</si>
  <si>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</si>
  <si>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</si>
  <si>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</si>
  <si>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</si>
  <si>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</si>
  <si>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</si>
  <si>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</si>
  <si>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</si>
  <si>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</si>
  <si>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</si>
  <si>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</si>
  <si>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</si>
  <si>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</si>
  <si>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</si>
  <si>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</si>
  <si>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</si>
  <si>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</si>
  <si>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</si>
  <si>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</si>
  <si>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</si>
  <si>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</si>
  <si>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</si>
  <si>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</si>
  <si>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</si>
  <si>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</si>
  <si>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</si>
  <si>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</si>
  <si>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</si>
  <si>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</si>
  <si>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</si>
  <si>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</si>
  <si>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</si>
  <si>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</si>
  <si>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</si>
  <si>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</si>
  <si>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</si>
  <si>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</si>
  <si>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</si>
  <si>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</si>
  <si>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</si>
  <si>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</si>
  <si>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</si>
  <si>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</si>
  <si>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</si>
  <si>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</si>
  <si>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</si>
  <si>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</si>
  <si>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</si>
  <si>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</si>
  <si>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</si>
  <si>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</si>
  <si>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</si>
  <si>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</si>
  <si>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</si>
  <si>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</si>
  <si>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</si>
  <si>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</si>
  <si>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</si>
  <si>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</si>
  <si>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</si>
  <si>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</si>
  <si>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</si>
  <si>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</si>
  <si>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</si>
  <si>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</si>
  <si>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</si>
  <si>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</si>
  <si>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</si>
  <si>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</si>
  <si>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</si>
  <si>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</si>
  <si>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</si>
  <si>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</si>
  <si>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</si>
  <si>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</si>
  <si>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</si>
  <si>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</si>
  <si>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</si>
  <si>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</si>
  <si>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</si>
  <si>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</si>
  <si>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</si>
  <si>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</si>
  <si>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</si>
  <si>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</si>
  <si>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</si>
  <si>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</si>
  <si>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</si>
  <si>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</si>
  <si>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</si>
  <si>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</si>
  <si>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</si>
  <si>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</si>
  <si>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</si>
  <si>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</si>
  <si>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</si>
  <si>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</si>
  <si>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</si>
  <si>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</si>
  <si>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</si>
  <si>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</si>
  <si>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</si>
  <si>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</si>
  <si>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</si>
  <si>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</si>
  <si>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</si>
  <si>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</si>
  <si>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</si>
  <si>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</si>
  <si>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</si>
  <si>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</si>
  <si>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</si>
  <si>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</si>
  <si>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</si>
  <si>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</si>
  <si>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</si>
  <si>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</si>
  <si>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</si>
  <si>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</si>
  <si>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</si>
  <si>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</si>
  <si>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</si>
  <si>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</si>
  <si>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</si>
  <si>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</si>
  <si>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</si>
  <si>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</si>
  <si>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</si>
  <si>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</si>
  <si>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الدرجة الكلية</t>
  </si>
  <si>
    <t xml:space="preserve">الدرجة القصوى</t>
  </si>
  <si>
    <t xml:space="preserve">المعاملات والمعايير</t>
  </si>
  <si>
    <t xml:space="preserve">عدد الطلبة</t>
  </si>
  <si>
    <t xml:space="preserve">نسبة كل فئة (عليا/دنيا)</t>
  </si>
  <si>
    <t xml:space="preserve">حجم الفئة</t>
  </si>
  <si>
    <t xml:space="preserve">حدّ الفئة العليا (درجة ≥)</t>
  </si>
  <si>
    <t xml:space="preserve">حدّ الفئة الدنيا (درجة ≤)</t>
  </si>
  <si>
    <t xml:space="preserve">عدد الفئة العليا فعلياً</t>
  </si>
  <si>
    <t xml:space="preserve">عدد الفئة الدنيا فعلياً</t>
  </si>
  <si>
    <t xml:space="preserve">عدد الفقرات k</t>
  </si>
  <si>
    <t xml:space="preserve">تباين الدرجة الكلية</t>
  </si>
  <si>
    <t xml:space="preserve">الانحراف المعياري للدرجة الكلية</t>
  </si>
  <si>
    <t xml:space="preserve">مجموع تباينات الفقرات</t>
  </si>
  <si>
    <t xml:space="preserve">الحد الأدنى المقبول للصعوبة</t>
  </si>
  <si>
    <t xml:space="preserve">الحد الأعلى المقبول للصعوبة</t>
  </si>
  <si>
    <t xml:space="preserve">الحد الأدنى للتمييز المقبول</t>
  </si>
  <si>
    <t xml:space="preserve">حدّ التمييز الجيد</t>
  </si>
  <si>
    <t xml:space="preserve">الحد الأدنى لاختيار المموّه</t>
  </si>
  <si>
    <t xml:space="preserve">جدول تحليل الفقرات (كل القيم معادلات حية)</t>
  </si>
  <si>
    <t xml:space="preserve">الفقرة</t>
  </si>
  <si>
    <t xml:space="preserve">المفتاح</t>
  </si>
  <si>
    <t xml:space="preserve">الصعوبة p</t>
  </si>
  <si>
    <t xml:space="preserve">p الفئة العليا</t>
  </si>
  <si>
    <t xml:space="preserve">p الفئة الدنيا</t>
  </si>
  <si>
    <t xml:space="preserve">التمييز D</t>
  </si>
  <si>
    <t xml:space="preserve">تباين الفقرة</t>
  </si>
  <si>
    <t xml:space="preserve">ارتباط الفقرة بالكلية</t>
  </si>
  <si>
    <t xml:space="preserve">الارتباط المصحَّح</t>
  </si>
  <si>
    <t xml:space="preserve">ألفا إذا حُذفت</t>
  </si>
  <si>
    <t xml:space="preserve">% A</t>
  </si>
  <si>
    <t xml:space="preserve">% B</t>
  </si>
  <si>
    <t xml:space="preserve">% C</t>
  </si>
  <si>
    <t xml:space="preserve">% D</t>
  </si>
  <si>
    <t xml:space="preserve">أقل مموّه</t>
  </si>
  <si>
    <t xml:space="preserve">التوصية</t>
  </si>
  <si>
    <t xml:space="preserve">البديل</t>
  </si>
  <si>
    <t xml:space="preserve">هو المفتاح؟</t>
  </si>
  <si>
    <t xml:space="preserve">نسبة الاختيار (الكل)</t>
  </si>
  <si>
    <t xml:space="preserve">عدد الفئة العليا</t>
  </si>
  <si>
    <t xml:space="preserve">عدد الفئة الدنيا</t>
  </si>
  <si>
    <t xml:space="preserve">الفرق (عليا − دنيا)</t>
  </si>
  <si>
    <t xml:space="preserve">قراءة</t>
  </si>
  <si>
    <t xml:space="preserve">المؤشر</t>
  </si>
  <si>
    <t xml:space="preserve">القيمة</t>
  </si>
  <si>
    <t xml:space="preserve">عدد الفقرات</t>
  </si>
  <si>
    <t xml:space="preserve">المتوسط</t>
  </si>
  <si>
    <t xml:space="preserve">الانحراف المعياري</t>
  </si>
  <si>
    <t xml:space="preserve">أدنى درجة</t>
  </si>
  <si>
    <t xml:space="preserve">أعلى درجة</t>
  </si>
  <si>
    <t xml:space="preserve">كرونباخ ألفا (KR-20 للفقرات الثنائية)</t>
  </si>
  <si>
    <t xml:space="preserve">الخطأ المعياري للقياس</t>
  </si>
  <si>
    <t xml:space="preserve">متوسط الصعوبة</t>
  </si>
  <si>
    <t xml:space="preserve">متوسط الارتباط المصحَّح</t>
  </si>
  <si>
    <t xml:space="preserve">فقرات بتوصية «جيدة»</t>
  </si>
  <si>
    <t xml:space="preserve">فقرات تحتاج مراجعة</t>
  </si>
  <si>
    <t xml:space="preserve">توزيع الدرجات</t>
  </si>
  <si>
    <t xml:space="preserve">فئة الدرجة</t>
  </si>
  <si>
    <t xml:space="preserve">0–5</t>
  </si>
  <si>
    <t xml:space="preserve">6–8</t>
  </si>
  <si>
    <t xml:space="preserve">9–11</t>
  </si>
  <si>
    <t xml:space="preserve">12–14</t>
  </si>
  <si>
    <t xml:space="preserve">15–17</t>
  </si>
  <si>
    <t xml:space="preserve">18–20</t>
  </si>
  <si>
    <t xml:space="preserve">21–23</t>
  </si>
  <si>
    <t xml:space="preserve">24–26</t>
  </si>
  <si>
    <t xml:space="preserve">27–30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</si>
</sst>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%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color rgb="FF000000"/>
      <name val="IBM Plex Sans Arabic"/>
      <family val="0"/>
      <charset val="1"/>
    </font>
    <font>
      <b val="true"/>
      <sz val="11"/>
      <color rgb="FF000000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0000FF"/>
      <name val="IBM Plex Sans Arabic"/>
      <family val="0"/>
      <charset val="1"/>
    </font>
    <font>
      <sz val="11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rgb="FF0000FF"/>
      <name val="IBM Plex Sans Arabic"/>
      <family val="0"/>
      <charset val="1"/>
    </font>
    <font>
      <b val="true"/>
      <sz val="12"/>
      <color rgb="FF1F4E79"/>
      <name val="IBM Plex Sans Arabic"/>
      <family val="0"/>
      <charset val="1"/>
    </font>
    <font>
      <sz val="11"/>
      <color theme="1"/>
      <name val="FreeSans"/>
      <family val="2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الدرجات الكلية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'ملخص الاختبار'!B17</c:f>
              <c:strCache>
                <c:ptCount val="1"/>
                <c:pt idx="0">
                  <c:v>عدد الطلبة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'ملخص الاختبار'!$A$18:$A$26</c:f>
              <c:strCache>
                <c:ptCount val="9"/>
                <c:pt idx="0">
                  <c:v>0–5</c:v>
                </c:pt>
                <c:pt idx="1">
                  <c:v>6–8</c:v>
                </c:pt>
                <c:pt idx="2">
                  <c:v>9–11</c:v>
                </c:pt>
                <c:pt idx="3">
                  <c:v>12–14</c:v>
                </c:pt>
                <c:pt idx="4">
                  <c:v>15–17</c:v>
                </c:pt>
                <c:pt idx="5">
                  <c:v>18–20</c:v>
                </c:pt>
                <c:pt idx="6">
                  <c:v>21–23</c:v>
                </c:pt>
                <c:pt idx="7">
                  <c:v>24–26</c:v>
                </c:pt>
                <c:pt idx="8">
                  <c:v>27–30</c:v>
                </c:pt>
              </c:strCache>
            </c:strRef>
          </c:cat>
          <c:val>
            <c:numRef>
              <c:f>'ملخص الاختبار'!$B$18:$B$26</c:f>
              <c:numCache>
                <c:formatCode>General</c:formatCode>
                <c:ptCount val="9"/>
                <c:pt idx="0">
                  <c:v>2</c:v>
                </c:pt>
                <c:pt idx="1">
                  <c:v>14</c:v>
                </c:pt>
                <c:pt idx="2">
                  <c:v>29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16</c:v>
                </c:pt>
                <c:pt idx="8">
                  <c:v>11</c:v>
                </c:pt>
              </c:numCache>
            </c:numRef>
          </c:val>
        </c:ser>
        <c:gapWidth val="150"/>
        <c:overlap val="0"/>
        <c:axId val="62964967"/>
        <c:axId val="73808677"/>
      </c:barChart>
      <c:catAx>
        <c:axId val="62964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الدرجة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08677"/>
        <c:crosses val="autoZero"/>
        <c:auto val="1"/>
        <c:lblAlgn val="ctr"/>
        <c:lblOffset val="100"/>
        <c:noMultiLvlLbl val="0"/>
      </c:catAx>
      <c:valAx>
        <c:axId val="73808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عدد الطلبة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649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-256320</xdr:colOff>
      <xdr:row>0</xdr:row>
      <xdr:rowOff>190440</xdr:rowOff>
    </xdr:from>
    <xdr:to>
      <xdr:col>12</xdr:col>
      <xdr:colOff>0</xdr:colOff>
      <xdr:row>15</xdr:row>
      <xdr:rowOff>102240</xdr:rowOff>
    </xdr:to>
    <xdr:graphicFrame>
      <xdr:nvGraphicFramePr>
        <xdr:cNvPr id="0" name="Chart 1"/>
        <xdr:cNvGraphicFramePr/>
      </xdr:nvGraphicFramePr>
      <xdr:xfrm>
        <a:off x="-10036440" y="19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7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9" hidden="false" customHeight="false" outlineLevel="0" collapsed="false">
      <c r="A8" s="3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7.9" hidden="false" customHeight="false" outlineLevel="0" collapsed="false">
      <c r="A12" s="2" t="s">
        <v>9</v>
      </c>
    </row>
    <row r="13" customFormat="false" ht="17.9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9" hidden="false" customHeight="false" outlineLevel="0" collapsed="false">
      <c r="A15" s="3" t="s">
        <v>11</v>
      </c>
    </row>
    <row r="16" customFormat="false" ht="17.9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7.9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</row>
    <row r="2" customFormat="false" ht="17.9" hidden="false" customHeight="false" outlineLevel="0" collapsed="false">
      <c r="A2" s="5" t="s">
        <v>44</v>
      </c>
      <c r="B2" s="6" t="s">
        <v>45</v>
      </c>
      <c r="C2" s="6" t="s">
        <v>46</v>
      </c>
      <c r="D2" s="6" t="s">
        <v>45</v>
      </c>
      <c r="E2" s="6" t="s">
        <v>47</v>
      </c>
      <c r="F2" s="6" t="s">
        <v>47</v>
      </c>
      <c r="G2" s="6" t="s">
        <v>47</v>
      </c>
      <c r="H2" s="6" t="s">
        <v>47</v>
      </c>
      <c r="I2" s="6" t="s">
        <v>46</v>
      </c>
      <c r="J2" s="6" t="s">
        <v>48</v>
      </c>
      <c r="K2" s="6" t="s">
        <v>45</v>
      </c>
      <c r="L2" s="6" t="s">
        <v>48</v>
      </c>
      <c r="M2" s="6" t="s">
        <v>46</v>
      </c>
      <c r="N2" s="6" t="s">
        <v>47</v>
      </c>
      <c r="O2" s="6" t="s">
        <v>45</v>
      </c>
      <c r="P2" s="6" t="s">
        <v>46</v>
      </c>
      <c r="Q2" s="6" t="s">
        <v>48</v>
      </c>
      <c r="R2" s="6" t="s">
        <v>48</v>
      </c>
      <c r="S2" s="6" t="s">
        <v>48</v>
      </c>
      <c r="T2" s="6" t="s">
        <v>45</v>
      </c>
      <c r="U2" s="6" t="s">
        <v>45</v>
      </c>
      <c r="V2" s="6" t="s">
        <v>46</v>
      </c>
      <c r="W2" s="6" t="s">
        <v>46</v>
      </c>
      <c r="X2" s="6" t="s">
        <v>46</v>
      </c>
      <c r="Y2" s="6" t="s">
        <v>47</v>
      </c>
      <c r="Z2" s="6" t="s">
        <v>46</v>
      </c>
      <c r="AA2" s="6" t="s">
        <v>47</v>
      </c>
      <c r="AB2" s="6" t="s">
        <v>47</v>
      </c>
      <c r="AC2" s="6" t="s">
        <v>47</v>
      </c>
      <c r="AD2" s="6" t="s">
        <v>46</v>
      </c>
      <c r="AE2" s="6" t="s">
        <v>46</v>
      </c>
    </row>
    <row r="3" customFormat="false" ht="17.9" hidden="false" customHeight="false" outlineLevel="0" collapsed="false">
      <c r="A3" s="7" t="s">
        <v>49</v>
      </c>
      <c r="B3" s="8" t="s">
        <v>46</v>
      </c>
      <c r="C3" s="8" t="s">
        <v>47</v>
      </c>
      <c r="D3" s="8" t="s">
        <v>47</v>
      </c>
      <c r="E3" s="8" t="s">
        <v>48</v>
      </c>
      <c r="F3" s="8" t="s">
        <v>48</v>
      </c>
      <c r="G3" s="8" t="s">
        <v>47</v>
      </c>
      <c r="H3" s="8" t="s">
        <v>47</v>
      </c>
      <c r="I3" s="8" t="s">
        <v>45</v>
      </c>
      <c r="J3" s="8" t="s">
        <v>46</v>
      </c>
      <c r="K3" s="8" t="s">
        <v>45</v>
      </c>
      <c r="L3" s="8" t="s">
        <v>48</v>
      </c>
      <c r="M3" s="8" t="s">
        <v>46</v>
      </c>
      <c r="N3" s="8" t="s">
        <v>45</v>
      </c>
      <c r="O3" s="8" t="s">
        <v>47</v>
      </c>
      <c r="P3" s="8" t="s">
        <v>45</v>
      </c>
      <c r="Q3" s="8" t="s">
        <v>45</v>
      </c>
      <c r="R3" s="8" t="s">
        <v>48</v>
      </c>
      <c r="S3" s="8" t="s">
        <v>46</v>
      </c>
      <c r="T3" s="8" t="s">
        <v>45</v>
      </c>
      <c r="U3" s="8" t="s">
        <v>46</v>
      </c>
      <c r="V3" s="8" t="s">
        <v>47</v>
      </c>
      <c r="W3" s="8" t="s">
        <v>45</v>
      </c>
      <c r="X3" s="8" t="s">
        <v>47</v>
      </c>
      <c r="Y3" s="8" t="s">
        <v>45</v>
      </c>
      <c r="Z3" s="8" t="s">
        <v>47</v>
      </c>
      <c r="AA3" s="8" t="s">
        <v>45</v>
      </c>
      <c r="AB3" s="8" t="s">
        <v>46</v>
      </c>
      <c r="AC3" s="8" t="s">
        <v>47</v>
      </c>
      <c r="AD3" s="8" t="s">
        <v>47</v>
      </c>
      <c r="AE3" s="8" t="s">
        <v>46</v>
      </c>
    </row>
    <row r="4" customFormat="false" ht="17.9" hidden="false" customHeight="false" outlineLevel="0" collapsed="false">
      <c r="A4" s="7" t="s">
        <v>50</v>
      </c>
      <c r="B4" s="8" t="s">
        <v>45</v>
      </c>
      <c r="C4" s="8" t="s">
        <v>46</v>
      </c>
      <c r="D4" s="8" t="s">
        <v>45</v>
      </c>
      <c r="E4" s="8" t="s">
        <v>45</v>
      </c>
      <c r="F4" s="8" t="s">
        <v>48</v>
      </c>
      <c r="G4" s="8" t="s">
        <v>48</v>
      </c>
      <c r="H4" s="8" t="s">
        <v>46</v>
      </c>
      <c r="I4" s="8" t="s">
        <v>46</v>
      </c>
      <c r="J4" s="8" t="s">
        <v>48</v>
      </c>
      <c r="K4" s="8" t="s">
        <v>45</v>
      </c>
      <c r="L4" s="8" t="s">
        <v>48</v>
      </c>
      <c r="M4" s="8" t="s">
        <v>46</v>
      </c>
      <c r="N4" s="8" t="s">
        <v>48</v>
      </c>
      <c r="O4" s="8" t="s">
        <v>46</v>
      </c>
      <c r="P4" s="8" t="s">
        <v>48</v>
      </c>
      <c r="Q4" s="8" t="s">
        <v>48</v>
      </c>
      <c r="R4" s="8" t="s">
        <v>48</v>
      </c>
      <c r="S4" s="8" t="s">
        <v>48</v>
      </c>
      <c r="T4" s="8" t="s">
        <v>47</v>
      </c>
      <c r="U4" s="8" t="s">
        <v>45</v>
      </c>
      <c r="V4" s="8" t="s">
        <v>46</v>
      </c>
      <c r="W4" s="8" t="s">
        <v>46</v>
      </c>
      <c r="X4" s="8" t="s">
        <v>46</v>
      </c>
      <c r="Y4" s="8" t="s">
        <v>48</v>
      </c>
      <c r="Z4" s="8" t="s">
        <v>47</v>
      </c>
      <c r="AA4" s="8" t="s">
        <v>45</v>
      </c>
      <c r="AB4" s="8" t="s">
        <v>47</v>
      </c>
      <c r="AC4" s="8" t="s">
        <v>47</v>
      </c>
      <c r="AD4" s="8" t="s">
        <v>46</v>
      </c>
      <c r="AE4" s="8" t="s">
        <v>48</v>
      </c>
    </row>
    <row r="5" customFormat="false" ht="17.9" hidden="false" customHeight="false" outlineLevel="0" collapsed="false">
      <c r="A5" s="7" t="s">
        <v>51</v>
      </c>
      <c r="B5" s="8" t="s">
        <v>47</v>
      </c>
      <c r="C5" s="8" t="s">
        <v>47</v>
      </c>
      <c r="D5" s="8" t="s">
        <v>46</v>
      </c>
      <c r="E5" s="8" t="s">
        <v>47</v>
      </c>
      <c r="F5" s="8" t="s">
        <v>46</v>
      </c>
      <c r="G5" s="8" t="s">
        <v>46</v>
      </c>
      <c r="H5" s="8" t="s">
        <v>47</v>
      </c>
      <c r="I5" s="8" t="s">
        <v>45</v>
      </c>
      <c r="J5" s="8" t="s">
        <v>48</v>
      </c>
      <c r="K5" s="8" t="s">
        <v>45</v>
      </c>
      <c r="L5" s="8" t="s">
        <v>48</v>
      </c>
      <c r="M5" s="8" t="s">
        <v>46</v>
      </c>
      <c r="N5" s="8" t="s">
        <v>48</v>
      </c>
      <c r="O5" s="8" t="s">
        <v>45</v>
      </c>
      <c r="P5" s="8" t="s">
        <v>45</v>
      </c>
      <c r="Q5" s="8" t="s">
        <v>48</v>
      </c>
      <c r="R5" s="8" t="s">
        <v>46</v>
      </c>
      <c r="S5" s="8" t="s">
        <v>47</v>
      </c>
      <c r="T5" s="8" t="s">
        <v>46</v>
      </c>
      <c r="U5" s="8" t="s">
        <v>48</v>
      </c>
      <c r="V5" s="8" t="s">
        <v>45</v>
      </c>
      <c r="W5" s="8" t="s">
        <v>47</v>
      </c>
      <c r="X5" s="8" t="s">
        <v>47</v>
      </c>
      <c r="Y5" s="8" t="s">
        <v>46</v>
      </c>
      <c r="Z5" s="8" t="s">
        <v>46</v>
      </c>
      <c r="AA5" s="8" t="s">
        <v>48</v>
      </c>
      <c r="AB5" s="8" t="s">
        <v>45</v>
      </c>
      <c r="AC5" s="8" t="s">
        <v>45</v>
      </c>
      <c r="AD5" s="8" t="s">
        <v>48</v>
      </c>
      <c r="AE5" s="8" t="s">
        <v>46</v>
      </c>
    </row>
    <row r="6" customFormat="false" ht="17.9" hidden="false" customHeight="false" outlineLevel="0" collapsed="false">
      <c r="A6" s="7" t="s">
        <v>52</v>
      </c>
      <c r="B6" s="8" t="s">
        <v>45</v>
      </c>
      <c r="C6" s="8" t="s">
        <v>46</v>
      </c>
      <c r="D6" s="8" t="s">
        <v>46</v>
      </c>
      <c r="E6" s="8" t="s">
        <v>47</v>
      </c>
      <c r="F6" s="8" t="s">
        <v>47</v>
      </c>
      <c r="G6" s="8" t="s">
        <v>47</v>
      </c>
      <c r="H6" s="8" t="s">
        <v>46</v>
      </c>
      <c r="I6" s="8" t="s">
        <v>46</v>
      </c>
      <c r="J6" s="8" t="s">
        <v>48</v>
      </c>
      <c r="K6" s="8" t="s">
        <v>45</v>
      </c>
      <c r="L6" s="8" t="s">
        <v>48</v>
      </c>
      <c r="M6" s="8" t="s">
        <v>46</v>
      </c>
      <c r="N6" s="8" t="s">
        <v>47</v>
      </c>
      <c r="O6" s="8" t="s">
        <v>45</v>
      </c>
      <c r="P6" s="8" t="s">
        <v>48</v>
      </c>
      <c r="Q6" s="8" t="s">
        <v>48</v>
      </c>
      <c r="R6" s="8" t="s">
        <v>48</v>
      </c>
      <c r="S6" s="8" t="s">
        <v>48</v>
      </c>
      <c r="T6" s="8" t="s">
        <v>45</v>
      </c>
      <c r="U6" s="8" t="s">
        <v>45</v>
      </c>
      <c r="V6" s="8" t="s">
        <v>46</v>
      </c>
      <c r="W6" s="8" t="s">
        <v>46</v>
      </c>
      <c r="X6" s="8" t="s">
        <v>46</v>
      </c>
      <c r="Y6" s="8" t="s">
        <v>47</v>
      </c>
      <c r="Z6" s="8" t="s">
        <v>46</v>
      </c>
      <c r="AA6" s="8" t="s">
        <v>45</v>
      </c>
      <c r="AB6" s="8" t="s">
        <v>46</v>
      </c>
      <c r="AC6" s="8" t="s">
        <v>47</v>
      </c>
      <c r="AD6" s="8" t="s">
        <v>46</v>
      </c>
      <c r="AE6" s="8" t="s">
        <v>46</v>
      </c>
    </row>
    <row r="7" customFormat="false" ht="17.9" hidden="false" customHeight="false" outlineLevel="0" collapsed="false">
      <c r="A7" s="7" t="s">
        <v>53</v>
      </c>
      <c r="B7" s="8" t="s">
        <v>47</v>
      </c>
      <c r="C7" s="8" t="s">
        <v>47</v>
      </c>
      <c r="D7" s="8" t="s">
        <v>47</v>
      </c>
      <c r="E7" s="8" t="s">
        <v>47</v>
      </c>
      <c r="F7" s="8" t="s">
        <v>47</v>
      </c>
      <c r="G7" s="8" t="s">
        <v>47</v>
      </c>
      <c r="H7" s="8" t="s">
        <v>46</v>
      </c>
      <c r="I7" s="8" t="s">
        <v>46</v>
      </c>
      <c r="J7" s="8" t="s">
        <v>48</v>
      </c>
      <c r="K7" s="8" t="s">
        <v>48</v>
      </c>
      <c r="L7" s="8" t="s">
        <v>48</v>
      </c>
      <c r="M7" s="8" t="s">
        <v>46</v>
      </c>
      <c r="N7" s="8" t="s">
        <v>47</v>
      </c>
      <c r="O7" s="8" t="s">
        <v>47</v>
      </c>
      <c r="P7" s="8" t="s">
        <v>48</v>
      </c>
      <c r="Q7" s="8" t="s">
        <v>48</v>
      </c>
      <c r="R7" s="8" t="s">
        <v>48</v>
      </c>
      <c r="S7" s="8" t="s">
        <v>45</v>
      </c>
      <c r="T7" s="8" t="s">
        <v>45</v>
      </c>
      <c r="U7" s="8" t="s">
        <v>45</v>
      </c>
      <c r="V7" s="8" t="s">
        <v>46</v>
      </c>
      <c r="W7" s="8" t="s">
        <v>46</v>
      </c>
      <c r="X7" s="8" t="s">
        <v>46</v>
      </c>
      <c r="Y7" s="8" t="s">
        <v>47</v>
      </c>
      <c r="Z7" s="8" t="s">
        <v>46</v>
      </c>
      <c r="AA7" s="8" t="s">
        <v>48</v>
      </c>
      <c r="AB7" s="8" t="s">
        <v>47</v>
      </c>
      <c r="AC7" s="8" t="s">
        <v>47</v>
      </c>
      <c r="AD7" s="8" t="s">
        <v>47</v>
      </c>
      <c r="AE7" s="8" t="s">
        <v>46</v>
      </c>
    </row>
    <row r="8" customFormat="false" ht="17.9" hidden="false" customHeight="false" outlineLevel="0" collapsed="false">
      <c r="A8" s="7" t="s">
        <v>54</v>
      </c>
      <c r="B8" s="8" t="s">
        <v>47</v>
      </c>
      <c r="C8" s="8" t="s">
        <v>47</v>
      </c>
      <c r="D8" s="8" t="s">
        <v>46</v>
      </c>
      <c r="E8" s="8" t="s">
        <v>47</v>
      </c>
      <c r="F8" s="8" t="s">
        <v>45</v>
      </c>
      <c r="G8" s="8" t="s">
        <v>46</v>
      </c>
      <c r="H8" s="8" t="s">
        <v>46</v>
      </c>
      <c r="I8" s="8" t="s">
        <v>45</v>
      </c>
      <c r="J8" s="8" t="s">
        <v>48</v>
      </c>
      <c r="K8" s="8" t="s">
        <v>46</v>
      </c>
      <c r="L8" s="8" t="s">
        <v>47</v>
      </c>
      <c r="M8" s="8" t="s">
        <v>46</v>
      </c>
      <c r="N8" s="8" t="s">
        <v>48</v>
      </c>
      <c r="O8" s="8" t="s">
        <v>45</v>
      </c>
      <c r="P8" s="8" t="s">
        <v>48</v>
      </c>
      <c r="Q8" s="8" t="s">
        <v>45</v>
      </c>
      <c r="R8" s="8" t="s">
        <v>48</v>
      </c>
      <c r="S8" s="8" t="s">
        <v>45</v>
      </c>
      <c r="T8" s="8" t="s">
        <v>47</v>
      </c>
      <c r="U8" s="8" t="s">
        <v>46</v>
      </c>
      <c r="V8" s="8" t="s">
        <v>46</v>
      </c>
      <c r="W8" s="8" t="s">
        <v>45</v>
      </c>
      <c r="X8" s="8" t="s">
        <v>46</v>
      </c>
      <c r="Y8" s="8" t="s">
        <v>48</v>
      </c>
      <c r="Z8" s="8" t="s">
        <v>46</v>
      </c>
      <c r="AA8" s="8" t="s">
        <v>46</v>
      </c>
      <c r="AB8" s="8" t="s">
        <v>46</v>
      </c>
      <c r="AC8" s="8" t="s">
        <v>46</v>
      </c>
      <c r="AD8" s="8" t="s">
        <v>46</v>
      </c>
      <c r="AE8" s="8" t="s">
        <v>46</v>
      </c>
    </row>
    <row r="9" customFormat="false" ht="17.9" hidden="false" customHeight="false" outlineLevel="0" collapsed="false">
      <c r="A9" s="7" t="s">
        <v>55</v>
      </c>
      <c r="B9" s="8" t="s">
        <v>46</v>
      </c>
      <c r="C9" s="8" t="s">
        <v>48</v>
      </c>
      <c r="D9" s="8" t="s">
        <v>48</v>
      </c>
      <c r="E9" s="8" t="s">
        <v>47</v>
      </c>
      <c r="F9" s="8" t="s">
        <v>45</v>
      </c>
      <c r="G9" s="8" t="s">
        <v>45</v>
      </c>
      <c r="H9" s="8" t="s">
        <v>47</v>
      </c>
      <c r="I9" s="8" t="s">
        <v>46</v>
      </c>
      <c r="J9" s="8" t="s">
        <v>48</v>
      </c>
      <c r="K9" s="8" t="s">
        <v>47</v>
      </c>
      <c r="L9" s="8" t="s">
        <v>48</v>
      </c>
      <c r="M9" s="8" t="s">
        <v>46</v>
      </c>
      <c r="N9" s="8" t="s">
        <v>47</v>
      </c>
      <c r="O9" s="8" t="s">
        <v>45</v>
      </c>
      <c r="P9" s="8" t="s">
        <v>46</v>
      </c>
      <c r="Q9" s="8" t="s">
        <v>48</v>
      </c>
      <c r="R9" s="8" t="s">
        <v>48</v>
      </c>
      <c r="S9" s="8" t="s">
        <v>46</v>
      </c>
      <c r="T9" s="8" t="s">
        <v>46</v>
      </c>
      <c r="U9" s="8" t="s">
        <v>46</v>
      </c>
      <c r="V9" s="8" t="s">
        <v>45</v>
      </c>
      <c r="W9" s="8" t="s">
        <v>48</v>
      </c>
      <c r="X9" s="8" t="s">
        <v>46</v>
      </c>
      <c r="Y9" s="8" t="s">
        <v>48</v>
      </c>
      <c r="Z9" s="8" t="s">
        <v>45</v>
      </c>
      <c r="AA9" s="8" t="s">
        <v>47</v>
      </c>
      <c r="AB9" s="8" t="s">
        <v>47</v>
      </c>
      <c r="AC9" s="8" t="s">
        <v>47</v>
      </c>
      <c r="AD9" s="8" t="s">
        <v>47</v>
      </c>
      <c r="AE9" s="8" t="s">
        <v>46</v>
      </c>
    </row>
    <row r="10" customFormat="false" ht="17.9" hidden="false" customHeight="false" outlineLevel="0" collapsed="false">
      <c r="A10" s="7" t="s">
        <v>56</v>
      </c>
      <c r="B10" s="8" t="s">
        <v>46</v>
      </c>
      <c r="C10" s="8" t="s">
        <v>46</v>
      </c>
      <c r="D10" s="8" t="s">
        <v>45</v>
      </c>
      <c r="E10" s="8" t="s">
        <v>47</v>
      </c>
      <c r="F10" s="8" t="s">
        <v>45</v>
      </c>
      <c r="G10" s="8" t="s">
        <v>48</v>
      </c>
      <c r="H10" s="8" t="s">
        <v>46</v>
      </c>
      <c r="I10" s="8" t="s">
        <v>46</v>
      </c>
      <c r="J10" s="8" t="s">
        <v>48</v>
      </c>
      <c r="K10" s="8" t="s">
        <v>47</v>
      </c>
      <c r="L10" s="8" t="s">
        <v>47</v>
      </c>
      <c r="M10" s="8" t="s">
        <v>46</v>
      </c>
      <c r="N10" s="8" t="s">
        <v>48</v>
      </c>
      <c r="O10" s="8" t="s">
        <v>45</v>
      </c>
      <c r="P10" s="8" t="s">
        <v>46</v>
      </c>
      <c r="Q10" s="8" t="s">
        <v>48</v>
      </c>
      <c r="R10" s="8" t="s">
        <v>46</v>
      </c>
      <c r="S10" s="8" t="s">
        <v>47</v>
      </c>
      <c r="T10" s="8" t="s">
        <v>48</v>
      </c>
      <c r="U10" s="8" t="s">
        <v>45</v>
      </c>
      <c r="V10" s="8" t="s">
        <v>46</v>
      </c>
      <c r="W10" s="8" t="s">
        <v>46</v>
      </c>
      <c r="X10" s="8" t="s">
        <v>46</v>
      </c>
      <c r="Y10" s="8" t="s">
        <v>45</v>
      </c>
      <c r="Z10" s="8" t="s">
        <v>46</v>
      </c>
      <c r="AA10" s="8" t="s">
        <v>47</v>
      </c>
      <c r="AB10" s="8" t="s">
        <v>48</v>
      </c>
      <c r="AC10" s="8" t="s">
        <v>47</v>
      </c>
      <c r="AD10" s="8" t="s">
        <v>48</v>
      </c>
      <c r="AE10" s="8" t="s">
        <v>46</v>
      </c>
    </row>
    <row r="11" customFormat="false" ht="17.9" hidden="false" customHeight="false" outlineLevel="0" collapsed="false">
      <c r="A11" s="7" t="s">
        <v>57</v>
      </c>
      <c r="B11" s="8" t="s">
        <v>45</v>
      </c>
      <c r="C11" s="8" t="s">
        <v>48</v>
      </c>
      <c r="D11" s="8" t="s">
        <v>46</v>
      </c>
      <c r="E11" s="8" t="s">
        <v>47</v>
      </c>
      <c r="F11" s="8" t="s">
        <v>48</v>
      </c>
      <c r="G11" s="8" t="s">
        <v>48</v>
      </c>
      <c r="H11" s="8" t="s">
        <v>46</v>
      </c>
      <c r="I11" s="8" t="s">
        <v>47</v>
      </c>
      <c r="J11" s="8" t="s">
        <v>48</v>
      </c>
      <c r="K11" s="8" t="s">
        <v>48</v>
      </c>
      <c r="L11" s="8" t="s">
        <v>47</v>
      </c>
      <c r="M11" s="8" t="s">
        <v>46</v>
      </c>
      <c r="N11" s="8" t="s">
        <v>48</v>
      </c>
      <c r="O11" s="8" t="s">
        <v>47</v>
      </c>
      <c r="P11" s="8" t="s">
        <v>48</v>
      </c>
      <c r="Q11" s="8" t="s">
        <v>48</v>
      </c>
      <c r="R11" s="8" t="s">
        <v>48</v>
      </c>
      <c r="S11" s="8" t="s">
        <v>47</v>
      </c>
      <c r="T11" s="8" t="s">
        <v>47</v>
      </c>
      <c r="U11" s="8" t="s">
        <v>46</v>
      </c>
      <c r="V11" s="8" t="s">
        <v>46</v>
      </c>
      <c r="W11" s="8" t="s">
        <v>45</v>
      </c>
      <c r="X11" s="8" t="s">
        <v>46</v>
      </c>
      <c r="Y11" s="8" t="s">
        <v>48</v>
      </c>
      <c r="Z11" s="8" t="s">
        <v>48</v>
      </c>
      <c r="AA11" s="8" t="s">
        <v>45</v>
      </c>
      <c r="AB11" s="8" t="s">
        <v>47</v>
      </c>
      <c r="AC11" s="8" t="s">
        <v>48</v>
      </c>
      <c r="AD11" s="8" t="s">
        <v>48</v>
      </c>
      <c r="AE11" s="8" t="s">
        <v>45</v>
      </c>
    </row>
    <row r="12" customFormat="false" ht="17.9" hidden="false" customHeight="false" outlineLevel="0" collapsed="false">
      <c r="A12" s="7" t="s">
        <v>58</v>
      </c>
      <c r="B12" s="8" t="s">
        <v>46</v>
      </c>
      <c r="C12" s="8" t="s">
        <v>46</v>
      </c>
      <c r="D12" s="8" t="s">
        <v>46</v>
      </c>
      <c r="E12" s="8" t="s">
        <v>47</v>
      </c>
      <c r="F12" s="8" t="s">
        <v>47</v>
      </c>
      <c r="G12" s="8" t="s">
        <v>48</v>
      </c>
      <c r="H12" s="8" t="s">
        <v>46</v>
      </c>
      <c r="I12" s="8" t="s">
        <v>47</v>
      </c>
      <c r="J12" s="8" t="s">
        <v>48</v>
      </c>
      <c r="K12" s="8" t="s">
        <v>45</v>
      </c>
      <c r="L12" s="8" t="s">
        <v>46</v>
      </c>
      <c r="M12" s="8" t="s">
        <v>46</v>
      </c>
      <c r="N12" s="8" t="s">
        <v>46</v>
      </c>
      <c r="O12" s="8" t="s">
        <v>45</v>
      </c>
      <c r="P12" s="8" t="s">
        <v>48</v>
      </c>
      <c r="Q12" s="8" t="s">
        <v>48</v>
      </c>
      <c r="R12" s="8" t="s">
        <v>48</v>
      </c>
      <c r="S12" s="8" t="s">
        <v>48</v>
      </c>
      <c r="T12" s="8" t="s">
        <v>45</v>
      </c>
      <c r="U12" s="8" t="s">
        <v>46</v>
      </c>
      <c r="V12" s="8" t="s">
        <v>46</v>
      </c>
      <c r="W12" s="8" t="s">
        <v>45</v>
      </c>
      <c r="X12" s="8" t="s">
        <v>47</v>
      </c>
      <c r="Y12" s="8" t="s">
        <v>46</v>
      </c>
      <c r="Z12" s="8" t="s">
        <v>46</v>
      </c>
      <c r="AA12" s="8" t="s">
        <v>47</v>
      </c>
      <c r="AB12" s="8" t="s">
        <v>47</v>
      </c>
      <c r="AC12" s="8" t="s">
        <v>45</v>
      </c>
      <c r="AD12" s="8" t="s">
        <v>48</v>
      </c>
      <c r="AE12" s="8" t="s">
        <v>48</v>
      </c>
    </row>
    <row r="13" customFormat="false" ht="17.9" hidden="false" customHeight="false" outlineLevel="0" collapsed="false">
      <c r="A13" s="7" t="s">
        <v>59</v>
      </c>
      <c r="B13" s="8" t="s">
        <v>47</v>
      </c>
      <c r="C13" s="8" t="s">
        <v>47</v>
      </c>
      <c r="D13" s="8" t="s">
        <v>45</v>
      </c>
      <c r="E13" s="8" t="s">
        <v>47</v>
      </c>
      <c r="F13" s="8" t="s">
        <v>47</v>
      </c>
      <c r="G13" s="8" t="s">
        <v>47</v>
      </c>
      <c r="H13" s="8" t="s">
        <v>46</v>
      </c>
      <c r="I13" s="8" t="s">
        <v>46</v>
      </c>
      <c r="J13" s="8" t="s">
        <v>48</v>
      </c>
      <c r="K13" s="8" t="s">
        <v>47</v>
      </c>
      <c r="L13" s="8" t="s">
        <v>48</v>
      </c>
      <c r="M13" s="8" t="s">
        <v>46</v>
      </c>
      <c r="N13" s="8" t="s">
        <v>45</v>
      </c>
      <c r="O13" s="8" t="s">
        <v>45</v>
      </c>
      <c r="P13" s="8" t="s">
        <v>46</v>
      </c>
      <c r="Q13" s="8" t="s">
        <v>48</v>
      </c>
      <c r="R13" s="8" t="s">
        <v>48</v>
      </c>
      <c r="S13" s="8" t="s">
        <v>45</v>
      </c>
      <c r="T13" s="8" t="s">
        <v>45</v>
      </c>
      <c r="U13" s="8" t="s">
        <v>45</v>
      </c>
      <c r="V13" s="8" t="s">
        <v>46</v>
      </c>
      <c r="W13" s="8" t="s">
        <v>46</v>
      </c>
      <c r="X13" s="8" t="s">
        <v>46</v>
      </c>
      <c r="Y13" s="8" t="s">
        <v>47</v>
      </c>
      <c r="Z13" s="8" t="s">
        <v>47</v>
      </c>
      <c r="AA13" s="8" t="s">
        <v>47</v>
      </c>
      <c r="AB13" s="8" t="s">
        <v>47</v>
      </c>
      <c r="AC13" s="8" t="s">
        <v>45</v>
      </c>
      <c r="AD13" s="8" t="s">
        <v>45</v>
      </c>
      <c r="AE13" s="8" t="s">
        <v>46</v>
      </c>
    </row>
    <row r="14" customFormat="false" ht="17.9" hidden="false" customHeight="false" outlineLevel="0" collapsed="false">
      <c r="A14" s="7" t="s">
        <v>60</v>
      </c>
      <c r="B14" s="8" t="s">
        <v>45</v>
      </c>
      <c r="C14" s="8" t="s">
        <v>46</v>
      </c>
      <c r="D14" s="8" t="s">
        <v>48</v>
      </c>
      <c r="E14" s="8" t="s">
        <v>47</v>
      </c>
      <c r="F14" s="8" t="s">
        <v>46</v>
      </c>
      <c r="G14" s="8" t="s">
        <v>47</v>
      </c>
      <c r="H14" s="8" t="s">
        <v>46</v>
      </c>
      <c r="I14" s="8" t="s">
        <v>46</v>
      </c>
      <c r="J14" s="8" t="s">
        <v>48</v>
      </c>
      <c r="K14" s="8" t="s">
        <v>45</v>
      </c>
      <c r="L14" s="8" t="s">
        <v>48</v>
      </c>
      <c r="M14" s="8" t="s">
        <v>46</v>
      </c>
      <c r="N14" s="8" t="s">
        <v>47</v>
      </c>
      <c r="O14" s="8" t="s">
        <v>45</v>
      </c>
      <c r="P14" s="8" t="s">
        <v>48</v>
      </c>
      <c r="Q14" s="8" t="s">
        <v>48</v>
      </c>
      <c r="R14" s="8" t="s">
        <v>48</v>
      </c>
      <c r="S14" s="8" t="s">
        <v>46</v>
      </c>
      <c r="T14" s="8" t="s">
        <v>45</v>
      </c>
      <c r="U14" s="8" t="s">
        <v>45</v>
      </c>
      <c r="V14" s="8" t="s">
        <v>45</v>
      </c>
      <c r="W14" s="8" t="s">
        <v>46</v>
      </c>
      <c r="X14" s="8" t="s">
        <v>46</v>
      </c>
      <c r="Y14" s="8" t="s">
        <v>47</v>
      </c>
      <c r="Z14" s="8" t="s">
        <v>46</v>
      </c>
      <c r="AA14" s="8" t="s">
        <v>47</v>
      </c>
      <c r="AB14" s="8" t="s">
        <v>47</v>
      </c>
      <c r="AC14" s="8" t="s">
        <v>47</v>
      </c>
      <c r="AD14" s="8" t="s">
        <v>47</v>
      </c>
      <c r="AE14" s="8" t="s">
        <v>46</v>
      </c>
    </row>
    <row r="15" customFormat="false" ht="17.9" hidden="false" customHeight="false" outlineLevel="0" collapsed="false">
      <c r="A15" s="7" t="s">
        <v>61</v>
      </c>
      <c r="B15" s="8" t="s">
        <v>45</v>
      </c>
      <c r="C15" s="8" t="s">
        <v>46</v>
      </c>
      <c r="D15" s="8" t="s">
        <v>48</v>
      </c>
      <c r="E15" s="8" t="s">
        <v>45</v>
      </c>
      <c r="F15" s="8" t="s">
        <v>47</v>
      </c>
      <c r="G15" s="8" t="s">
        <v>47</v>
      </c>
      <c r="H15" s="8" t="s">
        <v>46</v>
      </c>
      <c r="I15" s="8" t="s">
        <v>46</v>
      </c>
      <c r="J15" s="8" t="s">
        <v>48</v>
      </c>
      <c r="K15" s="8" t="s">
        <v>46</v>
      </c>
      <c r="L15" s="8" t="s">
        <v>48</v>
      </c>
      <c r="M15" s="8" t="s">
        <v>46</v>
      </c>
      <c r="N15" s="8" t="s">
        <v>48</v>
      </c>
      <c r="O15" s="8" t="s">
        <v>46</v>
      </c>
      <c r="P15" s="8" t="s">
        <v>45</v>
      </c>
      <c r="Q15" s="8" t="s">
        <v>48</v>
      </c>
      <c r="R15" s="8" t="s">
        <v>48</v>
      </c>
      <c r="S15" s="8" t="s">
        <v>45</v>
      </c>
      <c r="T15" s="8" t="s">
        <v>46</v>
      </c>
      <c r="U15" s="8" t="s">
        <v>47</v>
      </c>
      <c r="V15" s="8" t="s">
        <v>46</v>
      </c>
      <c r="W15" s="8" t="s">
        <v>46</v>
      </c>
      <c r="X15" s="8" t="s">
        <v>47</v>
      </c>
      <c r="Y15" s="8" t="s">
        <v>48</v>
      </c>
      <c r="Z15" s="8" t="s">
        <v>46</v>
      </c>
      <c r="AA15" s="8" t="s">
        <v>48</v>
      </c>
      <c r="AB15" s="8" t="s">
        <v>47</v>
      </c>
      <c r="AC15" s="8" t="s">
        <v>47</v>
      </c>
      <c r="AD15" s="8" t="s">
        <v>45</v>
      </c>
      <c r="AE15" s="8" t="s">
        <v>46</v>
      </c>
    </row>
    <row r="16" customFormat="false" ht="17.9" hidden="false" customHeight="false" outlineLevel="0" collapsed="false">
      <c r="A16" s="7" t="s">
        <v>62</v>
      </c>
      <c r="B16" s="8" t="s">
        <v>48</v>
      </c>
      <c r="C16" s="8" t="s">
        <v>47</v>
      </c>
      <c r="D16" s="8" t="s">
        <v>47</v>
      </c>
      <c r="E16" s="8" t="s">
        <v>47</v>
      </c>
      <c r="F16" s="8" t="s">
        <v>46</v>
      </c>
      <c r="G16" s="8" t="s">
        <v>46</v>
      </c>
      <c r="H16" s="8" t="s">
        <v>46</v>
      </c>
      <c r="I16" s="8" t="s">
        <v>45</v>
      </c>
      <c r="J16" s="8" t="s">
        <v>48</v>
      </c>
      <c r="K16" s="8" t="s">
        <v>48</v>
      </c>
      <c r="L16" s="8" t="s">
        <v>48</v>
      </c>
      <c r="M16" s="8" t="s">
        <v>46</v>
      </c>
      <c r="N16" s="8" t="s">
        <v>47</v>
      </c>
      <c r="O16" s="8" t="s">
        <v>47</v>
      </c>
      <c r="P16" s="8" t="s">
        <v>46</v>
      </c>
      <c r="Q16" s="8" t="s">
        <v>48</v>
      </c>
      <c r="R16" s="8" t="s">
        <v>48</v>
      </c>
      <c r="S16" s="8" t="s">
        <v>47</v>
      </c>
      <c r="T16" s="8" t="s">
        <v>45</v>
      </c>
      <c r="U16" s="8" t="s">
        <v>45</v>
      </c>
      <c r="V16" s="8" t="s">
        <v>45</v>
      </c>
      <c r="W16" s="8" t="s">
        <v>47</v>
      </c>
      <c r="X16" s="8" t="s">
        <v>48</v>
      </c>
      <c r="Y16" s="8" t="s">
        <v>47</v>
      </c>
      <c r="Z16" s="8" t="s">
        <v>47</v>
      </c>
      <c r="AA16" s="8" t="s">
        <v>46</v>
      </c>
      <c r="AB16" s="8" t="s">
        <v>45</v>
      </c>
      <c r="AC16" s="8" t="s">
        <v>45</v>
      </c>
      <c r="AD16" s="8" t="s">
        <v>46</v>
      </c>
      <c r="AE16" s="8" t="s">
        <v>45</v>
      </c>
    </row>
    <row r="17" customFormat="false" ht="17.9" hidden="false" customHeight="false" outlineLevel="0" collapsed="false">
      <c r="A17" s="7" t="s">
        <v>63</v>
      </c>
      <c r="B17" s="8" t="s">
        <v>48</v>
      </c>
      <c r="C17" s="8" t="s">
        <v>48</v>
      </c>
      <c r="D17" s="8" t="s">
        <v>46</v>
      </c>
      <c r="E17" s="8" t="s">
        <v>47</v>
      </c>
      <c r="F17" s="8" t="s">
        <v>47</v>
      </c>
      <c r="G17" s="8" t="s">
        <v>45</v>
      </c>
      <c r="H17" s="8" t="s">
        <v>46</v>
      </c>
      <c r="I17" s="8" t="s">
        <v>46</v>
      </c>
      <c r="J17" s="8" t="s">
        <v>48</v>
      </c>
      <c r="K17" s="8" t="s">
        <v>45</v>
      </c>
      <c r="L17" s="8" t="s">
        <v>48</v>
      </c>
      <c r="M17" s="8" t="s">
        <v>46</v>
      </c>
      <c r="N17" s="8" t="s">
        <v>47</v>
      </c>
      <c r="O17" s="8" t="s">
        <v>47</v>
      </c>
      <c r="P17" s="8" t="s">
        <v>46</v>
      </c>
      <c r="Q17" s="8" t="s">
        <v>48</v>
      </c>
      <c r="R17" s="8" t="s">
        <v>48</v>
      </c>
      <c r="S17" s="8" t="s">
        <v>48</v>
      </c>
      <c r="T17" s="8" t="s">
        <v>47</v>
      </c>
      <c r="U17" s="8" t="s">
        <v>47</v>
      </c>
      <c r="V17" s="8" t="s">
        <v>48</v>
      </c>
      <c r="W17" s="8" t="s">
        <v>46</v>
      </c>
      <c r="X17" s="8" t="s">
        <v>46</v>
      </c>
      <c r="Y17" s="8" t="s">
        <v>48</v>
      </c>
      <c r="Z17" s="8" t="s">
        <v>46</v>
      </c>
      <c r="AA17" s="8" t="s">
        <v>46</v>
      </c>
      <c r="AB17" s="8" t="s">
        <v>46</v>
      </c>
      <c r="AC17" s="8" t="s">
        <v>47</v>
      </c>
      <c r="AD17" s="8" t="s">
        <v>46</v>
      </c>
      <c r="AE17" s="8" t="s">
        <v>46</v>
      </c>
    </row>
    <row r="18" customFormat="false" ht="17.9" hidden="false" customHeight="false" outlineLevel="0" collapsed="false">
      <c r="A18" s="7" t="s">
        <v>64</v>
      </c>
      <c r="B18" s="8" t="s">
        <v>48</v>
      </c>
      <c r="C18" s="8" t="s">
        <v>48</v>
      </c>
      <c r="D18" s="8" t="s">
        <v>46</v>
      </c>
      <c r="E18" s="8" t="s">
        <v>45</v>
      </c>
      <c r="F18" s="8" t="s">
        <v>46</v>
      </c>
      <c r="G18" s="8" t="s">
        <v>45</v>
      </c>
      <c r="H18" s="8" t="s">
        <v>45</v>
      </c>
      <c r="I18" s="8" t="s">
        <v>48</v>
      </c>
      <c r="J18" s="8" t="s">
        <v>48</v>
      </c>
      <c r="K18" s="8" t="s">
        <v>47</v>
      </c>
      <c r="L18" s="8" t="s">
        <v>46</v>
      </c>
      <c r="M18" s="8" t="s">
        <v>46</v>
      </c>
      <c r="N18" s="8" t="s">
        <v>46</v>
      </c>
      <c r="O18" s="8" t="s">
        <v>45</v>
      </c>
      <c r="P18" s="8" t="s">
        <v>48</v>
      </c>
      <c r="Q18" s="8" t="s">
        <v>48</v>
      </c>
      <c r="R18" s="8" t="s">
        <v>48</v>
      </c>
      <c r="S18" s="8" t="s">
        <v>47</v>
      </c>
      <c r="T18" s="8" t="s">
        <v>47</v>
      </c>
      <c r="U18" s="8" t="s">
        <v>46</v>
      </c>
      <c r="V18" s="8" t="s">
        <v>46</v>
      </c>
      <c r="W18" s="8" t="s">
        <v>46</v>
      </c>
      <c r="X18" s="8" t="s">
        <v>48</v>
      </c>
      <c r="Y18" s="8" t="s">
        <v>46</v>
      </c>
      <c r="Z18" s="8" t="s">
        <v>45</v>
      </c>
      <c r="AA18" s="8" t="s">
        <v>48</v>
      </c>
      <c r="AB18" s="8" t="s">
        <v>47</v>
      </c>
      <c r="AC18" s="8" t="s">
        <v>47</v>
      </c>
      <c r="AD18" s="8" t="s">
        <v>48</v>
      </c>
      <c r="AE18" s="8" t="s">
        <v>47</v>
      </c>
    </row>
    <row r="19" customFormat="false" ht="17.9" hidden="false" customHeight="false" outlineLevel="0" collapsed="false">
      <c r="A19" s="7" t="s">
        <v>65</v>
      </c>
      <c r="B19" s="8" t="s">
        <v>47</v>
      </c>
      <c r="C19" s="8" t="s">
        <v>47</v>
      </c>
      <c r="D19" s="8" t="s">
        <v>47</v>
      </c>
      <c r="E19" s="8" t="s">
        <v>47</v>
      </c>
      <c r="F19" s="8" t="s">
        <v>46</v>
      </c>
      <c r="G19" s="8" t="s">
        <v>48</v>
      </c>
      <c r="H19" s="8" t="s">
        <v>47</v>
      </c>
      <c r="I19" s="8" t="s">
        <v>46</v>
      </c>
      <c r="J19" s="8" t="s">
        <v>48</v>
      </c>
      <c r="K19" s="8" t="s">
        <v>46</v>
      </c>
      <c r="L19" s="8" t="s">
        <v>47</v>
      </c>
      <c r="M19" s="8" t="s">
        <v>46</v>
      </c>
      <c r="N19" s="8" t="s">
        <v>46</v>
      </c>
      <c r="O19" s="8" t="s">
        <v>47</v>
      </c>
      <c r="P19" s="8" t="s">
        <v>48</v>
      </c>
      <c r="Q19" s="8" t="s">
        <v>48</v>
      </c>
      <c r="R19" s="8" t="s">
        <v>48</v>
      </c>
      <c r="S19" s="8" t="s">
        <v>46</v>
      </c>
      <c r="T19" s="8" t="s">
        <v>45</v>
      </c>
      <c r="U19" s="8" t="s">
        <v>48</v>
      </c>
      <c r="V19" s="8" t="s">
        <v>45</v>
      </c>
      <c r="W19" s="8" t="s">
        <v>47</v>
      </c>
      <c r="X19" s="8" t="s">
        <v>48</v>
      </c>
      <c r="Y19" s="8" t="s">
        <v>46</v>
      </c>
      <c r="Z19" s="8" t="s">
        <v>46</v>
      </c>
      <c r="AA19" s="8" t="s">
        <v>47</v>
      </c>
      <c r="AB19" s="8" t="s">
        <v>47</v>
      </c>
      <c r="AC19" s="8" t="s">
        <v>47</v>
      </c>
      <c r="AD19" s="8" t="s">
        <v>47</v>
      </c>
      <c r="AE19" s="8" t="s">
        <v>46</v>
      </c>
    </row>
    <row r="20" customFormat="false" ht="17.9" hidden="false" customHeight="false" outlineLevel="0" collapsed="false">
      <c r="A20" s="7" t="s">
        <v>66</v>
      </c>
      <c r="B20" s="8" t="s">
        <v>48</v>
      </c>
      <c r="C20" s="8" t="s">
        <v>46</v>
      </c>
      <c r="D20" s="8" t="s">
        <v>45</v>
      </c>
      <c r="E20" s="8" t="s">
        <v>47</v>
      </c>
      <c r="F20" s="8" t="s">
        <v>47</v>
      </c>
      <c r="G20" s="8" t="s">
        <v>48</v>
      </c>
      <c r="H20" s="8" t="s">
        <v>46</v>
      </c>
      <c r="I20" s="8" t="s">
        <v>46</v>
      </c>
      <c r="J20" s="8" t="s">
        <v>48</v>
      </c>
      <c r="K20" s="8" t="s">
        <v>48</v>
      </c>
      <c r="L20" s="8" t="s">
        <v>48</v>
      </c>
      <c r="M20" s="8" t="s">
        <v>46</v>
      </c>
      <c r="N20" s="8" t="s">
        <v>47</v>
      </c>
      <c r="O20" s="8" t="s">
        <v>45</v>
      </c>
      <c r="P20" s="8" t="s">
        <v>48</v>
      </c>
      <c r="Q20" s="8" t="s">
        <v>48</v>
      </c>
      <c r="R20" s="8" t="s">
        <v>48</v>
      </c>
      <c r="S20" s="8" t="s">
        <v>45</v>
      </c>
      <c r="T20" s="8" t="s">
        <v>45</v>
      </c>
      <c r="U20" s="8" t="s">
        <v>45</v>
      </c>
      <c r="V20" s="8" t="s">
        <v>46</v>
      </c>
      <c r="W20" s="8" t="s">
        <v>48</v>
      </c>
      <c r="X20" s="8" t="s">
        <v>46</v>
      </c>
      <c r="Y20" s="8" t="s">
        <v>47</v>
      </c>
      <c r="Z20" s="8" t="s">
        <v>46</v>
      </c>
      <c r="AA20" s="8" t="s">
        <v>47</v>
      </c>
      <c r="AB20" s="8" t="s">
        <v>47</v>
      </c>
      <c r="AC20" s="8" t="s">
        <v>46</v>
      </c>
      <c r="AD20" s="8" t="s">
        <v>46</v>
      </c>
      <c r="AE20" s="8" t="s">
        <v>46</v>
      </c>
    </row>
    <row r="21" customFormat="false" ht="17.9" hidden="false" customHeight="false" outlineLevel="0" collapsed="false">
      <c r="A21" s="7" t="s">
        <v>67</v>
      </c>
      <c r="B21" s="8" t="s">
        <v>46</v>
      </c>
      <c r="C21" s="8" t="s">
        <v>48</v>
      </c>
      <c r="D21" s="8" t="s">
        <v>45</v>
      </c>
      <c r="E21" s="8" t="s">
        <v>47</v>
      </c>
      <c r="F21" s="8" t="s">
        <v>46</v>
      </c>
      <c r="G21" s="8" t="s">
        <v>46</v>
      </c>
      <c r="H21" s="8" t="s">
        <v>46</v>
      </c>
      <c r="I21" s="8" t="s">
        <v>46</v>
      </c>
      <c r="J21" s="8" t="s">
        <v>48</v>
      </c>
      <c r="K21" s="8" t="s">
        <v>46</v>
      </c>
      <c r="L21" s="8" t="s">
        <v>47</v>
      </c>
      <c r="M21" s="8" t="s">
        <v>46</v>
      </c>
      <c r="N21" s="8" t="s">
        <v>48</v>
      </c>
      <c r="O21" s="8" t="s">
        <v>47</v>
      </c>
      <c r="P21" s="8" t="s">
        <v>48</v>
      </c>
      <c r="Q21" s="8" t="s">
        <v>48</v>
      </c>
      <c r="R21" s="8" t="s">
        <v>48</v>
      </c>
      <c r="S21" s="8" t="s">
        <v>48</v>
      </c>
      <c r="T21" s="8" t="s">
        <v>45</v>
      </c>
      <c r="U21" s="8" t="s">
        <v>47</v>
      </c>
      <c r="V21" s="8" t="s">
        <v>46</v>
      </c>
      <c r="W21" s="8" t="s">
        <v>48</v>
      </c>
      <c r="X21" s="8" t="s">
        <v>47</v>
      </c>
      <c r="Y21" s="8" t="s">
        <v>48</v>
      </c>
      <c r="Z21" s="8" t="s">
        <v>46</v>
      </c>
      <c r="AA21" s="8" t="s">
        <v>45</v>
      </c>
      <c r="AB21" s="8" t="s">
        <v>46</v>
      </c>
      <c r="AC21" s="8" t="s">
        <v>46</v>
      </c>
      <c r="AD21" s="8" t="s">
        <v>45</v>
      </c>
      <c r="AE21" s="8" t="s">
        <v>47</v>
      </c>
    </row>
    <row r="22" customFormat="false" ht="17.9" hidden="false" customHeight="false" outlineLevel="0" collapsed="false">
      <c r="A22" s="7" t="s">
        <v>68</v>
      </c>
      <c r="B22" s="8" t="s">
        <v>45</v>
      </c>
      <c r="C22" s="8" t="s">
        <v>46</v>
      </c>
      <c r="D22" s="8" t="s">
        <v>45</v>
      </c>
      <c r="E22" s="8" t="s">
        <v>48</v>
      </c>
      <c r="F22" s="8" t="s">
        <v>48</v>
      </c>
      <c r="G22" s="8" t="s">
        <v>48</v>
      </c>
      <c r="H22" s="8" t="s">
        <v>47</v>
      </c>
      <c r="I22" s="8" t="s">
        <v>47</v>
      </c>
      <c r="J22" s="8" t="s">
        <v>48</v>
      </c>
      <c r="K22" s="8" t="s">
        <v>48</v>
      </c>
      <c r="L22" s="8" t="s">
        <v>46</v>
      </c>
      <c r="M22" s="8" t="s">
        <v>46</v>
      </c>
      <c r="N22" s="8" t="s">
        <v>48</v>
      </c>
      <c r="O22" s="8" t="s">
        <v>46</v>
      </c>
      <c r="P22" s="8" t="s">
        <v>46</v>
      </c>
      <c r="Q22" s="8" t="s">
        <v>48</v>
      </c>
      <c r="R22" s="8" t="s">
        <v>48</v>
      </c>
      <c r="S22" s="8" t="s">
        <v>46</v>
      </c>
      <c r="T22" s="8" t="s">
        <v>45</v>
      </c>
      <c r="U22" s="8" t="s">
        <v>45</v>
      </c>
      <c r="V22" s="8" t="s">
        <v>47</v>
      </c>
      <c r="W22" s="8" t="s">
        <v>48</v>
      </c>
      <c r="X22" s="8" t="s">
        <v>47</v>
      </c>
      <c r="Y22" s="8" t="s">
        <v>48</v>
      </c>
      <c r="Z22" s="8" t="s">
        <v>45</v>
      </c>
      <c r="AA22" s="8" t="s">
        <v>48</v>
      </c>
      <c r="AB22" s="8" t="s">
        <v>46</v>
      </c>
      <c r="AC22" s="8" t="s">
        <v>46</v>
      </c>
      <c r="AD22" s="8" t="s">
        <v>47</v>
      </c>
      <c r="AE22" s="8" t="s">
        <v>45</v>
      </c>
    </row>
    <row r="23" customFormat="false" ht="17.9" hidden="false" customHeight="false" outlineLevel="0" collapsed="false">
      <c r="A23" s="7" t="s">
        <v>69</v>
      </c>
      <c r="B23" s="8" t="s">
        <v>46</v>
      </c>
      <c r="C23" s="8" t="s">
        <v>46</v>
      </c>
      <c r="D23" s="8" t="s">
        <v>48</v>
      </c>
      <c r="E23" s="8" t="s">
        <v>48</v>
      </c>
      <c r="F23" s="8" t="s">
        <v>47</v>
      </c>
      <c r="G23" s="8" t="s">
        <v>46</v>
      </c>
      <c r="H23" s="8" t="s">
        <v>47</v>
      </c>
      <c r="I23" s="8" t="s">
        <v>46</v>
      </c>
      <c r="J23" s="8" t="s">
        <v>48</v>
      </c>
      <c r="K23" s="8" t="s">
        <v>48</v>
      </c>
      <c r="L23" s="8" t="s">
        <v>47</v>
      </c>
      <c r="M23" s="8" t="s">
        <v>46</v>
      </c>
      <c r="N23" s="8" t="s">
        <v>47</v>
      </c>
      <c r="O23" s="8" t="s">
        <v>47</v>
      </c>
      <c r="P23" s="8" t="s">
        <v>48</v>
      </c>
      <c r="Q23" s="8" t="s">
        <v>47</v>
      </c>
      <c r="R23" s="8" t="s">
        <v>48</v>
      </c>
      <c r="S23" s="8" t="s">
        <v>46</v>
      </c>
      <c r="T23" s="8" t="s">
        <v>48</v>
      </c>
      <c r="U23" s="8" t="s">
        <v>46</v>
      </c>
      <c r="V23" s="8" t="s">
        <v>46</v>
      </c>
      <c r="W23" s="8" t="s">
        <v>47</v>
      </c>
      <c r="X23" s="8" t="s">
        <v>48</v>
      </c>
      <c r="Y23" s="8" t="s">
        <v>46</v>
      </c>
      <c r="Z23" s="8" t="s">
        <v>48</v>
      </c>
      <c r="AA23" s="8" t="s">
        <v>48</v>
      </c>
      <c r="AB23" s="8" t="s">
        <v>46</v>
      </c>
      <c r="AC23" s="8" t="s">
        <v>46</v>
      </c>
      <c r="AD23" s="8" t="s">
        <v>48</v>
      </c>
      <c r="AE23" s="8" t="s">
        <v>45</v>
      </c>
    </row>
    <row r="24" customFormat="false" ht="17.9" hidden="false" customHeight="false" outlineLevel="0" collapsed="false">
      <c r="A24" s="7" t="s">
        <v>70</v>
      </c>
      <c r="B24" s="8" t="s">
        <v>47</v>
      </c>
      <c r="C24" s="8" t="s">
        <v>47</v>
      </c>
      <c r="D24" s="8" t="s">
        <v>46</v>
      </c>
      <c r="E24" s="8" t="s">
        <v>47</v>
      </c>
      <c r="F24" s="8" t="s">
        <v>47</v>
      </c>
      <c r="G24" s="8" t="s">
        <v>45</v>
      </c>
      <c r="H24" s="8" t="s">
        <v>46</v>
      </c>
      <c r="I24" s="8" t="s">
        <v>46</v>
      </c>
      <c r="J24" s="8" t="s">
        <v>48</v>
      </c>
      <c r="K24" s="8" t="s">
        <v>45</v>
      </c>
      <c r="L24" s="8" t="s">
        <v>48</v>
      </c>
      <c r="M24" s="8" t="s">
        <v>46</v>
      </c>
      <c r="N24" s="8" t="s">
        <v>47</v>
      </c>
      <c r="O24" s="8" t="s">
        <v>45</v>
      </c>
      <c r="P24" s="8" t="s">
        <v>46</v>
      </c>
      <c r="Q24" s="8" t="s">
        <v>48</v>
      </c>
      <c r="R24" s="8" t="s">
        <v>48</v>
      </c>
      <c r="S24" s="8" t="s">
        <v>45</v>
      </c>
      <c r="T24" s="8" t="s">
        <v>45</v>
      </c>
      <c r="U24" s="8" t="s">
        <v>47</v>
      </c>
      <c r="V24" s="8" t="s">
        <v>46</v>
      </c>
      <c r="W24" s="8" t="s">
        <v>46</v>
      </c>
      <c r="X24" s="8" t="s">
        <v>46</v>
      </c>
      <c r="Y24" s="8" t="s">
        <v>46</v>
      </c>
      <c r="Z24" s="8" t="s">
        <v>47</v>
      </c>
      <c r="AA24" s="8" t="s">
        <v>47</v>
      </c>
      <c r="AB24" s="8" t="s">
        <v>46</v>
      </c>
      <c r="AC24" s="8" t="s">
        <v>47</v>
      </c>
      <c r="AD24" s="8" t="s">
        <v>46</v>
      </c>
      <c r="AE24" s="8" t="s">
        <v>46</v>
      </c>
    </row>
    <row r="25" customFormat="false" ht="17.9" hidden="false" customHeight="false" outlineLevel="0" collapsed="false">
      <c r="A25" s="7" t="s">
        <v>71</v>
      </c>
      <c r="B25" s="8" t="s">
        <v>48</v>
      </c>
      <c r="C25" s="8" t="s">
        <v>48</v>
      </c>
      <c r="D25" s="8" t="s">
        <v>47</v>
      </c>
      <c r="E25" s="8" t="s">
        <v>47</v>
      </c>
      <c r="F25" s="8" t="s">
        <v>48</v>
      </c>
      <c r="G25" s="8" t="s">
        <v>47</v>
      </c>
      <c r="H25" s="8" t="s">
        <v>46</v>
      </c>
      <c r="I25" s="8" t="s">
        <v>47</v>
      </c>
      <c r="J25" s="8" t="s">
        <v>48</v>
      </c>
      <c r="K25" s="8" t="s">
        <v>46</v>
      </c>
      <c r="L25" s="8" t="s">
        <v>48</v>
      </c>
      <c r="M25" s="8" t="s">
        <v>46</v>
      </c>
      <c r="N25" s="8" t="s">
        <v>48</v>
      </c>
      <c r="O25" s="8" t="s">
        <v>46</v>
      </c>
      <c r="P25" s="8" t="s">
        <v>48</v>
      </c>
      <c r="Q25" s="8" t="s">
        <v>48</v>
      </c>
      <c r="R25" s="8" t="s">
        <v>48</v>
      </c>
      <c r="S25" s="8" t="s">
        <v>47</v>
      </c>
      <c r="T25" s="8" t="s">
        <v>45</v>
      </c>
      <c r="U25" s="8" t="s">
        <v>47</v>
      </c>
      <c r="V25" s="8" t="s">
        <v>48</v>
      </c>
      <c r="W25" s="8" t="s">
        <v>47</v>
      </c>
      <c r="X25" s="8" t="s">
        <v>46</v>
      </c>
      <c r="Y25" s="8" t="s">
        <v>46</v>
      </c>
      <c r="Z25" s="8" t="s">
        <v>45</v>
      </c>
      <c r="AA25" s="8" t="s">
        <v>47</v>
      </c>
      <c r="AB25" s="8" t="s">
        <v>47</v>
      </c>
      <c r="AC25" s="8" t="s">
        <v>45</v>
      </c>
      <c r="AD25" s="8" t="s">
        <v>46</v>
      </c>
      <c r="AE25" s="8" t="s">
        <v>46</v>
      </c>
    </row>
    <row r="26" customFormat="false" ht="17.9" hidden="false" customHeight="false" outlineLevel="0" collapsed="false">
      <c r="A26" s="7" t="s">
        <v>72</v>
      </c>
      <c r="B26" s="8" t="s">
        <v>48</v>
      </c>
      <c r="C26" s="8" t="s">
        <v>45</v>
      </c>
      <c r="D26" s="8" t="s">
        <v>45</v>
      </c>
      <c r="E26" s="8" t="s">
        <v>47</v>
      </c>
      <c r="F26" s="8" t="s">
        <v>48</v>
      </c>
      <c r="G26" s="8" t="s">
        <v>48</v>
      </c>
      <c r="H26" s="8" t="s">
        <v>46</v>
      </c>
      <c r="I26" s="8" t="s">
        <v>48</v>
      </c>
      <c r="J26" s="8" t="s">
        <v>47</v>
      </c>
      <c r="K26" s="8" t="s">
        <v>46</v>
      </c>
      <c r="L26" s="8" t="s">
        <v>47</v>
      </c>
      <c r="M26" s="8" t="s">
        <v>46</v>
      </c>
      <c r="N26" s="8" t="s">
        <v>46</v>
      </c>
      <c r="O26" s="8" t="s">
        <v>45</v>
      </c>
      <c r="P26" s="8" t="s">
        <v>46</v>
      </c>
      <c r="Q26" s="8" t="s">
        <v>47</v>
      </c>
      <c r="R26" s="8" t="s">
        <v>48</v>
      </c>
      <c r="S26" s="8" t="s">
        <v>47</v>
      </c>
      <c r="T26" s="8" t="s">
        <v>45</v>
      </c>
      <c r="U26" s="8" t="s">
        <v>45</v>
      </c>
      <c r="V26" s="8" t="s">
        <v>48</v>
      </c>
      <c r="W26" s="8" t="s">
        <v>48</v>
      </c>
      <c r="X26" s="8" t="s">
        <v>46</v>
      </c>
      <c r="Y26" s="8" t="s">
        <v>47</v>
      </c>
      <c r="Z26" s="8" t="s">
        <v>46</v>
      </c>
      <c r="AA26" s="8" t="s">
        <v>47</v>
      </c>
      <c r="AB26" s="8" t="s">
        <v>46</v>
      </c>
      <c r="AC26" s="8" t="s">
        <v>45</v>
      </c>
      <c r="AD26" s="8" t="s">
        <v>48</v>
      </c>
      <c r="AE26" s="8" t="s">
        <v>46</v>
      </c>
    </row>
    <row r="27" customFormat="false" ht="17.9" hidden="false" customHeight="false" outlineLevel="0" collapsed="false">
      <c r="A27" s="7" t="s">
        <v>73</v>
      </c>
      <c r="B27" s="8" t="s">
        <v>45</v>
      </c>
      <c r="C27" s="8" t="s">
        <v>46</v>
      </c>
      <c r="D27" s="8" t="s">
        <v>45</v>
      </c>
      <c r="E27" s="8" t="s">
        <v>47</v>
      </c>
      <c r="F27" s="8" t="s">
        <v>48</v>
      </c>
      <c r="G27" s="8" t="s">
        <v>48</v>
      </c>
      <c r="H27" s="8" t="s">
        <v>46</v>
      </c>
      <c r="I27" s="8" t="s">
        <v>46</v>
      </c>
      <c r="J27" s="8" t="s">
        <v>48</v>
      </c>
      <c r="K27" s="8" t="s">
        <v>45</v>
      </c>
      <c r="L27" s="8" t="s">
        <v>48</v>
      </c>
      <c r="M27" s="8" t="s">
        <v>46</v>
      </c>
      <c r="N27" s="8" t="s">
        <v>47</v>
      </c>
      <c r="O27" s="8" t="s">
        <v>45</v>
      </c>
      <c r="P27" s="8" t="s">
        <v>48</v>
      </c>
      <c r="Q27" s="8" t="s">
        <v>48</v>
      </c>
      <c r="R27" s="8" t="s">
        <v>48</v>
      </c>
      <c r="S27" s="8" t="s">
        <v>47</v>
      </c>
      <c r="T27" s="8" t="s">
        <v>45</v>
      </c>
      <c r="U27" s="8" t="s">
        <v>45</v>
      </c>
      <c r="V27" s="8" t="s">
        <v>46</v>
      </c>
      <c r="W27" s="8" t="s">
        <v>46</v>
      </c>
      <c r="X27" s="8" t="s">
        <v>46</v>
      </c>
      <c r="Y27" s="8" t="s">
        <v>47</v>
      </c>
      <c r="Z27" s="8" t="s">
        <v>46</v>
      </c>
      <c r="AA27" s="8" t="s">
        <v>47</v>
      </c>
      <c r="AB27" s="8" t="s">
        <v>46</v>
      </c>
      <c r="AC27" s="8" t="s">
        <v>48</v>
      </c>
      <c r="AD27" s="8" t="s">
        <v>46</v>
      </c>
      <c r="AE27" s="8" t="s">
        <v>46</v>
      </c>
    </row>
    <row r="28" customFormat="false" ht="17.9" hidden="false" customHeight="false" outlineLevel="0" collapsed="false">
      <c r="A28" s="7" t="s">
        <v>74</v>
      </c>
      <c r="B28" s="8" t="s">
        <v>45</v>
      </c>
      <c r="C28" s="8" t="s">
        <v>46</v>
      </c>
      <c r="D28" s="8" t="s">
        <v>45</v>
      </c>
      <c r="E28" s="8" t="s">
        <v>47</v>
      </c>
      <c r="F28" s="8" t="s">
        <v>47</v>
      </c>
      <c r="G28" s="8" t="s">
        <v>47</v>
      </c>
      <c r="H28" s="8" t="s">
        <v>46</v>
      </c>
      <c r="I28" s="8" t="s">
        <v>46</v>
      </c>
      <c r="J28" s="8" t="s">
        <v>48</v>
      </c>
      <c r="K28" s="8" t="s">
        <v>45</v>
      </c>
      <c r="L28" s="8" t="s">
        <v>48</v>
      </c>
      <c r="M28" s="8" t="s">
        <v>46</v>
      </c>
      <c r="N28" s="8" t="s">
        <v>47</v>
      </c>
      <c r="O28" s="8" t="s">
        <v>45</v>
      </c>
      <c r="P28" s="8" t="s">
        <v>48</v>
      </c>
      <c r="Q28" s="8" t="s">
        <v>48</v>
      </c>
      <c r="R28" s="8" t="s">
        <v>48</v>
      </c>
      <c r="S28" s="8" t="s">
        <v>46</v>
      </c>
      <c r="T28" s="8" t="s">
        <v>45</v>
      </c>
      <c r="U28" s="8" t="s">
        <v>45</v>
      </c>
      <c r="V28" s="8" t="s">
        <v>46</v>
      </c>
      <c r="W28" s="8" t="s">
        <v>46</v>
      </c>
      <c r="X28" s="8" t="s">
        <v>46</v>
      </c>
      <c r="Y28" s="8" t="s">
        <v>47</v>
      </c>
      <c r="Z28" s="8" t="s">
        <v>46</v>
      </c>
      <c r="AA28" s="8" t="s">
        <v>47</v>
      </c>
      <c r="AB28" s="8" t="s">
        <v>47</v>
      </c>
      <c r="AC28" s="8" t="s">
        <v>47</v>
      </c>
      <c r="AD28" s="8" t="s">
        <v>46</v>
      </c>
      <c r="AE28" s="8" t="s">
        <v>46</v>
      </c>
    </row>
    <row r="29" customFormat="false" ht="17.9" hidden="false" customHeight="false" outlineLevel="0" collapsed="false">
      <c r="A29" s="7" t="s">
        <v>75</v>
      </c>
      <c r="B29" s="8" t="s">
        <v>47</v>
      </c>
      <c r="C29" s="8" t="s">
        <v>47</v>
      </c>
      <c r="D29" s="8" t="s">
        <v>47</v>
      </c>
      <c r="E29" s="8" t="s">
        <v>47</v>
      </c>
      <c r="F29" s="8" t="s">
        <v>45</v>
      </c>
      <c r="G29" s="8" t="s">
        <v>45</v>
      </c>
      <c r="H29" s="8" t="s">
        <v>48</v>
      </c>
      <c r="I29" s="8" t="s">
        <v>46</v>
      </c>
      <c r="J29" s="8" t="s">
        <v>48</v>
      </c>
      <c r="K29" s="8" t="s">
        <v>47</v>
      </c>
      <c r="L29" s="8" t="s">
        <v>47</v>
      </c>
      <c r="M29" s="8" t="s">
        <v>46</v>
      </c>
      <c r="N29" s="8" t="s">
        <v>48</v>
      </c>
      <c r="O29" s="8" t="s">
        <v>48</v>
      </c>
      <c r="P29" s="8" t="s">
        <v>45</v>
      </c>
      <c r="Q29" s="8" t="s">
        <v>48</v>
      </c>
      <c r="R29" s="8" t="s">
        <v>48</v>
      </c>
      <c r="S29" s="8" t="s">
        <v>46</v>
      </c>
      <c r="T29" s="8" t="s">
        <v>45</v>
      </c>
      <c r="U29" s="8" t="s">
        <v>47</v>
      </c>
      <c r="V29" s="8" t="s">
        <v>47</v>
      </c>
      <c r="W29" s="8" t="s">
        <v>47</v>
      </c>
      <c r="X29" s="8" t="s">
        <v>46</v>
      </c>
      <c r="Y29" s="8" t="s">
        <v>46</v>
      </c>
      <c r="Z29" s="8" t="s">
        <v>45</v>
      </c>
      <c r="AA29" s="8" t="s">
        <v>45</v>
      </c>
      <c r="AB29" s="8" t="s">
        <v>46</v>
      </c>
      <c r="AC29" s="8" t="s">
        <v>45</v>
      </c>
      <c r="AD29" s="8" t="s">
        <v>45</v>
      </c>
      <c r="AE29" s="8" t="s">
        <v>46</v>
      </c>
    </row>
    <row r="30" customFormat="false" ht="17.9" hidden="false" customHeight="false" outlineLevel="0" collapsed="false">
      <c r="A30" s="7" t="s">
        <v>76</v>
      </c>
      <c r="B30" s="8" t="s">
        <v>48</v>
      </c>
      <c r="C30" s="8" t="s">
        <v>48</v>
      </c>
      <c r="D30" s="8" t="s">
        <v>45</v>
      </c>
      <c r="E30" s="8" t="s">
        <v>47</v>
      </c>
      <c r="F30" s="8" t="s">
        <v>47</v>
      </c>
      <c r="G30" s="8" t="s">
        <v>47</v>
      </c>
      <c r="H30" s="8" t="s">
        <v>46</v>
      </c>
      <c r="I30" s="8" t="s">
        <v>46</v>
      </c>
      <c r="J30" s="8" t="s">
        <v>48</v>
      </c>
      <c r="K30" s="8" t="s">
        <v>45</v>
      </c>
      <c r="L30" s="8" t="s">
        <v>48</v>
      </c>
      <c r="M30" s="8" t="s">
        <v>46</v>
      </c>
      <c r="N30" s="8" t="s">
        <v>47</v>
      </c>
      <c r="O30" s="8" t="s">
        <v>47</v>
      </c>
      <c r="P30" s="8" t="s">
        <v>46</v>
      </c>
      <c r="Q30" s="8" t="s">
        <v>48</v>
      </c>
      <c r="R30" s="8" t="s">
        <v>48</v>
      </c>
      <c r="S30" s="8" t="s">
        <v>47</v>
      </c>
      <c r="T30" s="8" t="s">
        <v>45</v>
      </c>
      <c r="U30" s="8" t="s">
        <v>45</v>
      </c>
      <c r="V30" s="8" t="s">
        <v>46</v>
      </c>
      <c r="W30" s="8" t="s">
        <v>46</v>
      </c>
      <c r="X30" s="8" t="s">
        <v>46</v>
      </c>
      <c r="Y30" s="8" t="s">
        <v>47</v>
      </c>
      <c r="Z30" s="8" t="s">
        <v>46</v>
      </c>
      <c r="AA30" s="8" t="s">
        <v>47</v>
      </c>
      <c r="AB30" s="8" t="s">
        <v>46</v>
      </c>
      <c r="AC30" s="8" t="s">
        <v>47</v>
      </c>
      <c r="AD30" s="8" t="s">
        <v>46</v>
      </c>
      <c r="AE30" s="8" t="s">
        <v>46</v>
      </c>
    </row>
    <row r="31" customFormat="false" ht="17.9" hidden="false" customHeight="false" outlineLevel="0" collapsed="false">
      <c r="A31" s="7" t="s">
        <v>77</v>
      </c>
      <c r="B31" s="8" t="s">
        <v>47</v>
      </c>
      <c r="C31" s="8" t="s">
        <v>47</v>
      </c>
      <c r="D31" s="8" t="s">
        <v>48</v>
      </c>
      <c r="E31" s="8" t="s">
        <v>46</v>
      </c>
      <c r="F31" s="8" t="s">
        <v>48</v>
      </c>
      <c r="G31" s="8" t="s">
        <v>47</v>
      </c>
      <c r="H31" s="8" t="s">
        <v>46</v>
      </c>
      <c r="I31" s="8" t="s">
        <v>47</v>
      </c>
      <c r="J31" s="8" t="s">
        <v>47</v>
      </c>
      <c r="K31" s="8" t="s">
        <v>48</v>
      </c>
      <c r="L31" s="8" t="s">
        <v>47</v>
      </c>
      <c r="M31" s="8" t="s">
        <v>46</v>
      </c>
      <c r="N31" s="8" t="s">
        <v>48</v>
      </c>
      <c r="O31" s="8" t="s">
        <v>45</v>
      </c>
      <c r="P31" s="8" t="s">
        <v>45</v>
      </c>
      <c r="Q31" s="8" t="s">
        <v>45</v>
      </c>
      <c r="R31" s="8" t="s">
        <v>47</v>
      </c>
      <c r="S31" s="8" t="s">
        <v>45</v>
      </c>
      <c r="T31" s="8" t="s">
        <v>47</v>
      </c>
      <c r="U31" s="8" t="s">
        <v>47</v>
      </c>
      <c r="V31" s="8" t="s">
        <v>48</v>
      </c>
      <c r="W31" s="8" t="s">
        <v>47</v>
      </c>
      <c r="X31" s="8" t="s">
        <v>47</v>
      </c>
      <c r="Y31" s="8" t="s">
        <v>48</v>
      </c>
      <c r="Z31" s="8" t="s">
        <v>47</v>
      </c>
      <c r="AA31" s="8" t="s">
        <v>46</v>
      </c>
      <c r="AB31" s="8" t="s">
        <v>46</v>
      </c>
      <c r="AC31" s="8" t="s">
        <v>46</v>
      </c>
      <c r="AD31" s="8" t="s">
        <v>46</v>
      </c>
      <c r="AE31" s="8" t="s">
        <v>48</v>
      </c>
    </row>
    <row r="32" customFormat="false" ht="17.9" hidden="false" customHeight="false" outlineLevel="0" collapsed="false">
      <c r="A32" s="7" t="s">
        <v>78</v>
      </c>
      <c r="B32" s="8" t="s">
        <v>45</v>
      </c>
      <c r="C32" s="8" t="s">
        <v>48</v>
      </c>
      <c r="D32" s="8" t="s">
        <v>46</v>
      </c>
      <c r="E32" s="8" t="s">
        <v>47</v>
      </c>
      <c r="F32" s="8" t="s">
        <v>47</v>
      </c>
      <c r="G32" s="8" t="s">
        <v>47</v>
      </c>
      <c r="H32" s="8" t="s">
        <v>46</v>
      </c>
      <c r="I32" s="8" t="s">
        <v>46</v>
      </c>
      <c r="J32" s="8" t="s">
        <v>48</v>
      </c>
      <c r="K32" s="8" t="s">
        <v>48</v>
      </c>
      <c r="L32" s="8" t="s">
        <v>47</v>
      </c>
      <c r="M32" s="8" t="s">
        <v>46</v>
      </c>
      <c r="N32" s="8" t="s">
        <v>45</v>
      </c>
      <c r="O32" s="8" t="s">
        <v>46</v>
      </c>
      <c r="P32" s="8" t="s">
        <v>46</v>
      </c>
      <c r="Q32" s="8" t="s">
        <v>47</v>
      </c>
      <c r="R32" s="8" t="s">
        <v>48</v>
      </c>
      <c r="S32" s="8" t="s">
        <v>46</v>
      </c>
      <c r="T32" s="8" t="s">
        <v>46</v>
      </c>
      <c r="U32" s="8" t="s">
        <v>45</v>
      </c>
      <c r="V32" s="8" t="s">
        <v>46</v>
      </c>
      <c r="W32" s="8" t="s">
        <v>46</v>
      </c>
      <c r="X32" s="8" t="s">
        <v>46</v>
      </c>
      <c r="Y32" s="8" t="s">
        <v>46</v>
      </c>
      <c r="Z32" s="8" t="s">
        <v>47</v>
      </c>
      <c r="AA32" s="8" t="s">
        <v>47</v>
      </c>
      <c r="AB32" s="8" t="s">
        <v>46</v>
      </c>
      <c r="AC32" s="8" t="s">
        <v>47</v>
      </c>
      <c r="AD32" s="8" t="s">
        <v>45</v>
      </c>
      <c r="AE32" s="8" t="s">
        <v>46</v>
      </c>
    </row>
    <row r="33" customFormat="false" ht="17.9" hidden="false" customHeight="false" outlineLevel="0" collapsed="false">
      <c r="A33" s="7" t="s">
        <v>79</v>
      </c>
      <c r="B33" s="8" t="s">
        <v>48</v>
      </c>
      <c r="C33" s="8" t="s">
        <v>47</v>
      </c>
      <c r="D33" s="8" t="s">
        <v>48</v>
      </c>
      <c r="E33" s="8" t="s">
        <v>47</v>
      </c>
      <c r="F33" s="8" t="s">
        <v>45</v>
      </c>
      <c r="G33" s="8" t="s">
        <v>48</v>
      </c>
      <c r="H33" s="8" t="s">
        <v>47</v>
      </c>
      <c r="I33" s="8" t="s">
        <v>47</v>
      </c>
      <c r="J33" s="8" t="s">
        <v>48</v>
      </c>
      <c r="K33" s="8" t="s">
        <v>47</v>
      </c>
      <c r="L33" s="8" t="s">
        <v>48</v>
      </c>
      <c r="M33" s="8" t="s">
        <v>46</v>
      </c>
      <c r="N33" s="8" t="s">
        <v>46</v>
      </c>
      <c r="O33" s="8" t="s">
        <v>46</v>
      </c>
      <c r="P33" s="8" t="s">
        <v>47</v>
      </c>
      <c r="Q33" s="8" t="s">
        <v>48</v>
      </c>
      <c r="R33" s="8" t="s">
        <v>47</v>
      </c>
      <c r="S33" s="8" t="s">
        <v>48</v>
      </c>
      <c r="T33" s="8" t="s">
        <v>46</v>
      </c>
      <c r="U33" s="8" t="s">
        <v>46</v>
      </c>
      <c r="V33" s="8" t="s">
        <v>47</v>
      </c>
      <c r="W33" s="8" t="s">
        <v>45</v>
      </c>
      <c r="X33" s="8" t="s">
        <v>47</v>
      </c>
      <c r="Y33" s="8" t="s">
        <v>47</v>
      </c>
      <c r="Z33" s="8" t="s">
        <v>47</v>
      </c>
      <c r="AA33" s="8" t="s">
        <v>46</v>
      </c>
      <c r="AB33" s="8" t="s">
        <v>47</v>
      </c>
      <c r="AC33" s="8" t="s">
        <v>46</v>
      </c>
      <c r="AD33" s="8" t="s">
        <v>46</v>
      </c>
      <c r="AE33" s="8" t="s">
        <v>48</v>
      </c>
    </row>
    <row r="34" customFormat="false" ht="17.9" hidden="false" customHeight="false" outlineLevel="0" collapsed="false">
      <c r="A34" s="7" t="s">
        <v>80</v>
      </c>
      <c r="B34" s="8" t="s">
        <v>45</v>
      </c>
      <c r="C34" s="8" t="s">
        <v>47</v>
      </c>
      <c r="D34" s="8" t="s">
        <v>45</v>
      </c>
      <c r="E34" s="8" t="s">
        <v>47</v>
      </c>
      <c r="F34" s="8" t="s">
        <v>47</v>
      </c>
      <c r="G34" s="8" t="s">
        <v>47</v>
      </c>
      <c r="H34" s="8" t="s">
        <v>46</v>
      </c>
      <c r="I34" s="8" t="s">
        <v>46</v>
      </c>
      <c r="J34" s="8" t="s">
        <v>48</v>
      </c>
      <c r="K34" s="8" t="s">
        <v>45</v>
      </c>
      <c r="L34" s="8" t="s">
        <v>48</v>
      </c>
      <c r="M34" s="8" t="s">
        <v>46</v>
      </c>
      <c r="N34" s="8" t="s">
        <v>47</v>
      </c>
      <c r="O34" s="8" t="s">
        <v>45</v>
      </c>
      <c r="P34" s="8" t="s">
        <v>46</v>
      </c>
      <c r="Q34" s="8" t="s">
        <v>48</v>
      </c>
      <c r="R34" s="8" t="s">
        <v>48</v>
      </c>
      <c r="S34" s="8" t="s">
        <v>48</v>
      </c>
      <c r="T34" s="8" t="s">
        <v>47</v>
      </c>
      <c r="U34" s="8" t="s">
        <v>45</v>
      </c>
      <c r="V34" s="8" t="s">
        <v>46</v>
      </c>
      <c r="W34" s="8" t="s">
        <v>46</v>
      </c>
      <c r="X34" s="8" t="s">
        <v>46</v>
      </c>
      <c r="Y34" s="8" t="s">
        <v>47</v>
      </c>
      <c r="Z34" s="8" t="s">
        <v>46</v>
      </c>
      <c r="AA34" s="8" t="s">
        <v>47</v>
      </c>
      <c r="AB34" s="8" t="s">
        <v>47</v>
      </c>
      <c r="AC34" s="8" t="s">
        <v>47</v>
      </c>
      <c r="AD34" s="8" t="s">
        <v>46</v>
      </c>
      <c r="AE34" s="8" t="s">
        <v>46</v>
      </c>
    </row>
    <row r="35" customFormat="false" ht="17.9" hidden="false" customHeight="false" outlineLevel="0" collapsed="false">
      <c r="A35" s="7" t="s">
        <v>81</v>
      </c>
      <c r="B35" s="8" t="s">
        <v>45</v>
      </c>
      <c r="C35" s="8" t="s">
        <v>46</v>
      </c>
      <c r="D35" s="8" t="s">
        <v>45</v>
      </c>
      <c r="E35" s="8" t="s">
        <v>47</v>
      </c>
      <c r="F35" s="8" t="s">
        <v>48</v>
      </c>
      <c r="G35" s="8" t="s">
        <v>47</v>
      </c>
      <c r="H35" s="8" t="s">
        <v>46</v>
      </c>
      <c r="I35" s="8" t="s">
        <v>46</v>
      </c>
      <c r="J35" s="8" t="s">
        <v>48</v>
      </c>
      <c r="K35" s="8" t="s">
        <v>45</v>
      </c>
      <c r="L35" s="8" t="s">
        <v>48</v>
      </c>
      <c r="M35" s="8" t="s">
        <v>46</v>
      </c>
      <c r="N35" s="8" t="s">
        <v>47</v>
      </c>
      <c r="O35" s="8" t="s">
        <v>47</v>
      </c>
      <c r="P35" s="8" t="s">
        <v>46</v>
      </c>
      <c r="Q35" s="8" t="s">
        <v>48</v>
      </c>
      <c r="R35" s="8" t="s">
        <v>48</v>
      </c>
      <c r="S35" s="8" t="s">
        <v>46</v>
      </c>
      <c r="T35" s="8" t="s">
        <v>48</v>
      </c>
      <c r="U35" s="8" t="s">
        <v>45</v>
      </c>
      <c r="V35" s="8" t="s">
        <v>46</v>
      </c>
      <c r="W35" s="8" t="s">
        <v>46</v>
      </c>
      <c r="X35" s="8" t="s">
        <v>46</v>
      </c>
      <c r="Y35" s="8" t="s">
        <v>47</v>
      </c>
      <c r="Z35" s="8" t="s">
        <v>45</v>
      </c>
      <c r="AA35" s="8" t="s">
        <v>47</v>
      </c>
      <c r="AB35" s="8" t="s">
        <v>47</v>
      </c>
      <c r="AC35" s="8" t="s">
        <v>47</v>
      </c>
      <c r="AD35" s="8" t="s">
        <v>46</v>
      </c>
      <c r="AE35" s="8" t="s">
        <v>46</v>
      </c>
    </row>
    <row r="36" customFormat="false" ht="17.9" hidden="false" customHeight="false" outlineLevel="0" collapsed="false">
      <c r="A36" s="7" t="s">
        <v>82</v>
      </c>
      <c r="B36" s="8" t="s">
        <v>45</v>
      </c>
      <c r="C36" s="8" t="s">
        <v>48</v>
      </c>
      <c r="D36" s="8" t="s">
        <v>46</v>
      </c>
      <c r="E36" s="8" t="s">
        <v>47</v>
      </c>
      <c r="F36" s="8" t="s">
        <v>47</v>
      </c>
      <c r="G36" s="8" t="s">
        <v>47</v>
      </c>
      <c r="H36" s="8" t="s">
        <v>46</v>
      </c>
      <c r="I36" s="8" t="s">
        <v>46</v>
      </c>
      <c r="J36" s="8" t="s">
        <v>48</v>
      </c>
      <c r="K36" s="8" t="s">
        <v>45</v>
      </c>
      <c r="L36" s="8" t="s">
        <v>48</v>
      </c>
      <c r="M36" s="8" t="s">
        <v>46</v>
      </c>
      <c r="N36" s="8" t="s">
        <v>47</v>
      </c>
      <c r="O36" s="8" t="s">
        <v>45</v>
      </c>
      <c r="P36" s="8" t="s">
        <v>48</v>
      </c>
      <c r="Q36" s="8" t="s">
        <v>48</v>
      </c>
      <c r="R36" s="8" t="s">
        <v>48</v>
      </c>
      <c r="S36" s="8" t="s">
        <v>48</v>
      </c>
      <c r="T36" s="8" t="s">
        <v>45</v>
      </c>
      <c r="U36" s="8" t="s">
        <v>45</v>
      </c>
      <c r="V36" s="8" t="s">
        <v>46</v>
      </c>
      <c r="W36" s="8" t="s">
        <v>46</v>
      </c>
      <c r="X36" s="8" t="s">
        <v>46</v>
      </c>
      <c r="Y36" s="8" t="s">
        <v>47</v>
      </c>
      <c r="Z36" s="8" t="s">
        <v>48</v>
      </c>
      <c r="AA36" s="8" t="s">
        <v>47</v>
      </c>
      <c r="AB36" s="8" t="s">
        <v>47</v>
      </c>
      <c r="AC36" s="8" t="s">
        <v>48</v>
      </c>
      <c r="AD36" s="8" t="s">
        <v>46</v>
      </c>
      <c r="AE36" s="8" t="s">
        <v>46</v>
      </c>
    </row>
    <row r="37" customFormat="false" ht="17.9" hidden="false" customHeight="false" outlineLevel="0" collapsed="false">
      <c r="A37" s="7" t="s">
        <v>83</v>
      </c>
      <c r="B37" s="8" t="s">
        <v>47</v>
      </c>
      <c r="C37" s="8" t="s">
        <v>46</v>
      </c>
      <c r="D37" s="8" t="s">
        <v>47</v>
      </c>
      <c r="E37" s="8" t="s">
        <v>47</v>
      </c>
      <c r="F37" s="8" t="s">
        <v>46</v>
      </c>
      <c r="G37" s="8" t="s">
        <v>47</v>
      </c>
      <c r="H37" s="8" t="s">
        <v>45</v>
      </c>
      <c r="I37" s="8" t="s">
        <v>48</v>
      </c>
      <c r="J37" s="8" t="s">
        <v>48</v>
      </c>
      <c r="K37" s="8" t="s">
        <v>46</v>
      </c>
      <c r="L37" s="8" t="s">
        <v>46</v>
      </c>
      <c r="M37" s="8" t="s">
        <v>46</v>
      </c>
      <c r="N37" s="8" t="s">
        <v>45</v>
      </c>
      <c r="O37" s="8" t="s">
        <v>45</v>
      </c>
      <c r="P37" s="8" t="s">
        <v>47</v>
      </c>
      <c r="Q37" s="8" t="s">
        <v>48</v>
      </c>
      <c r="R37" s="8" t="s">
        <v>48</v>
      </c>
      <c r="S37" s="8" t="s">
        <v>47</v>
      </c>
      <c r="T37" s="8" t="s">
        <v>47</v>
      </c>
      <c r="U37" s="8" t="s">
        <v>45</v>
      </c>
      <c r="V37" s="8" t="s">
        <v>48</v>
      </c>
      <c r="W37" s="8" t="s">
        <v>45</v>
      </c>
      <c r="X37" s="8" t="s">
        <v>47</v>
      </c>
      <c r="Y37" s="8" t="s">
        <v>46</v>
      </c>
      <c r="Z37" s="8" t="s">
        <v>45</v>
      </c>
      <c r="AA37" s="8" t="s">
        <v>47</v>
      </c>
      <c r="AB37" s="8" t="s">
        <v>45</v>
      </c>
      <c r="AC37" s="8" t="s">
        <v>47</v>
      </c>
      <c r="AD37" s="8" t="s">
        <v>48</v>
      </c>
      <c r="AE37" s="8" t="s">
        <v>45</v>
      </c>
    </row>
    <row r="38" customFormat="false" ht="17.9" hidden="false" customHeight="false" outlineLevel="0" collapsed="false">
      <c r="A38" s="7" t="s">
        <v>84</v>
      </c>
      <c r="B38" s="8" t="s">
        <v>45</v>
      </c>
      <c r="C38" s="8" t="s">
        <v>45</v>
      </c>
      <c r="D38" s="8" t="s">
        <v>46</v>
      </c>
      <c r="E38" s="8" t="s">
        <v>47</v>
      </c>
      <c r="F38" s="8" t="s">
        <v>47</v>
      </c>
      <c r="G38" s="8" t="s">
        <v>45</v>
      </c>
      <c r="H38" s="8" t="s">
        <v>46</v>
      </c>
      <c r="I38" s="8" t="s">
        <v>46</v>
      </c>
      <c r="J38" s="8" t="s">
        <v>48</v>
      </c>
      <c r="K38" s="8" t="s">
        <v>47</v>
      </c>
      <c r="L38" s="8" t="s">
        <v>48</v>
      </c>
      <c r="M38" s="8" t="s">
        <v>46</v>
      </c>
      <c r="N38" s="8" t="s">
        <v>47</v>
      </c>
      <c r="O38" s="8" t="s">
        <v>45</v>
      </c>
      <c r="P38" s="8" t="s">
        <v>46</v>
      </c>
      <c r="Q38" s="8" t="s">
        <v>48</v>
      </c>
      <c r="R38" s="8" t="s">
        <v>48</v>
      </c>
      <c r="S38" s="8" t="s">
        <v>47</v>
      </c>
      <c r="T38" s="8" t="s">
        <v>45</v>
      </c>
      <c r="U38" s="8" t="s">
        <v>45</v>
      </c>
      <c r="V38" s="8" t="s">
        <v>48</v>
      </c>
      <c r="W38" s="8" t="s">
        <v>46</v>
      </c>
      <c r="X38" s="8" t="s">
        <v>46</v>
      </c>
      <c r="Y38" s="8" t="s">
        <v>47</v>
      </c>
      <c r="Z38" s="8" t="s">
        <v>47</v>
      </c>
      <c r="AA38" s="8" t="s">
        <v>46</v>
      </c>
      <c r="AB38" s="8" t="s">
        <v>47</v>
      </c>
      <c r="AC38" s="8" t="s">
        <v>47</v>
      </c>
      <c r="AD38" s="8" t="s">
        <v>46</v>
      </c>
      <c r="AE38" s="8" t="s">
        <v>45</v>
      </c>
    </row>
    <row r="39" customFormat="false" ht="17.9" hidden="false" customHeight="false" outlineLevel="0" collapsed="false">
      <c r="A39" s="7" t="s">
        <v>85</v>
      </c>
      <c r="B39" s="8" t="s">
        <v>47</v>
      </c>
      <c r="C39" s="8" t="s">
        <v>47</v>
      </c>
      <c r="D39" s="8" t="s">
        <v>45</v>
      </c>
      <c r="E39" s="8" t="s">
        <v>45</v>
      </c>
      <c r="F39" s="8" t="s">
        <v>48</v>
      </c>
      <c r="G39" s="8" t="s">
        <v>45</v>
      </c>
      <c r="H39" s="8" t="s">
        <v>47</v>
      </c>
      <c r="I39" s="8" t="s">
        <v>48</v>
      </c>
      <c r="J39" s="8" t="s">
        <v>48</v>
      </c>
      <c r="K39" s="8" t="s">
        <v>48</v>
      </c>
      <c r="L39" s="8" t="s">
        <v>47</v>
      </c>
      <c r="M39" s="8" t="s">
        <v>46</v>
      </c>
      <c r="N39" s="8" t="s">
        <v>48</v>
      </c>
      <c r="O39" s="8" t="s">
        <v>45</v>
      </c>
      <c r="P39" s="8" t="s">
        <v>47</v>
      </c>
      <c r="Q39" s="8" t="s">
        <v>46</v>
      </c>
      <c r="R39" s="8" t="s">
        <v>48</v>
      </c>
      <c r="S39" s="8" t="s">
        <v>48</v>
      </c>
      <c r="T39" s="8" t="s">
        <v>48</v>
      </c>
      <c r="U39" s="8" t="s">
        <v>47</v>
      </c>
      <c r="V39" s="8" t="s">
        <v>46</v>
      </c>
      <c r="W39" s="8" t="s">
        <v>45</v>
      </c>
      <c r="X39" s="8" t="s">
        <v>46</v>
      </c>
      <c r="Y39" s="8" t="s">
        <v>46</v>
      </c>
      <c r="Z39" s="8" t="s">
        <v>48</v>
      </c>
      <c r="AA39" s="8" t="s">
        <v>45</v>
      </c>
      <c r="AB39" s="8" t="s">
        <v>47</v>
      </c>
      <c r="AC39" s="8" t="s">
        <v>46</v>
      </c>
      <c r="AD39" s="8" t="s">
        <v>47</v>
      </c>
      <c r="AE39" s="8" t="s">
        <v>46</v>
      </c>
    </row>
    <row r="40" customFormat="false" ht="17.9" hidden="false" customHeight="false" outlineLevel="0" collapsed="false">
      <c r="A40" s="7" t="s">
        <v>86</v>
      </c>
      <c r="B40" s="8" t="s">
        <v>45</v>
      </c>
      <c r="C40" s="8" t="s">
        <v>47</v>
      </c>
      <c r="D40" s="8" t="s">
        <v>46</v>
      </c>
      <c r="E40" s="8" t="s">
        <v>47</v>
      </c>
      <c r="F40" s="8" t="s">
        <v>48</v>
      </c>
      <c r="G40" s="8" t="s">
        <v>46</v>
      </c>
      <c r="H40" s="8" t="s">
        <v>46</v>
      </c>
      <c r="I40" s="8" t="s">
        <v>48</v>
      </c>
      <c r="J40" s="8" t="s">
        <v>48</v>
      </c>
      <c r="K40" s="8" t="s">
        <v>47</v>
      </c>
      <c r="L40" s="8" t="s">
        <v>46</v>
      </c>
      <c r="M40" s="8" t="s">
        <v>46</v>
      </c>
      <c r="N40" s="8" t="s">
        <v>48</v>
      </c>
      <c r="O40" s="8" t="s">
        <v>45</v>
      </c>
      <c r="P40" s="8" t="s">
        <v>48</v>
      </c>
      <c r="Q40" s="8" t="s">
        <v>48</v>
      </c>
      <c r="R40" s="8" t="s">
        <v>48</v>
      </c>
      <c r="S40" s="8" t="s">
        <v>47</v>
      </c>
      <c r="T40" s="8" t="s">
        <v>45</v>
      </c>
      <c r="U40" s="8" t="s">
        <v>48</v>
      </c>
      <c r="V40" s="8" t="s">
        <v>45</v>
      </c>
      <c r="W40" s="8" t="s">
        <v>45</v>
      </c>
      <c r="X40" s="8" t="s">
        <v>48</v>
      </c>
      <c r="Y40" s="8" t="s">
        <v>45</v>
      </c>
      <c r="Z40" s="8" t="s">
        <v>48</v>
      </c>
      <c r="AA40" s="8" t="s">
        <v>46</v>
      </c>
      <c r="AB40" s="8" t="s">
        <v>47</v>
      </c>
      <c r="AC40" s="8" t="s">
        <v>47</v>
      </c>
      <c r="AD40" s="8" t="s">
        <v>46</v>
      </c>
      <c r="AE40" s="8" t="s">
        <v>47</v>
      </c>
    </row>
    <row r="41" customFormat="false" ht="17.9" hidden="false" customHeight="false" outlineLevel="0" collapsed="false">
      <c r="A41" s="7" t="s">
        <v>87</v>
      </c>
      <c r="B41" s="8" t="s">
        <v>47</v>
      </c>
      <c r="C41" s="8" t="s">
        <v>46</v>
      </c>
      <c r="D41" s="8" t="s">
        <v>45</v>
      </c>
      <c r="E41" s="8" t="s">
        <v>47</v>
      </c>
      <c r="F41" s="8" t="s">
        <v>47</v>
      </c>
      <c r="G41" s="8" t="s">
        <v>45</v>
      </c>
      <c r="H41" s="8" t="s">
        <v>46</v>
      </c>
      <c r="I41" s="8" t="s">
        <v>46</v>
      </c>
      <c r="J41" s="8" t="s">
        <v>48</v>
      </c>
      <c r="K41" s="8" t="s">
        <v>45</v>
      </c>
      <c r="L41" s="8" t="s">
        <v>45</v>
      </c>
      <c r="M41" s="8" t="s">
        <v>46</v>
      </c>
      <c r="N41" s="8" t="s">
        <v>47</v>
      </c>
      <c r="O41" s="8" t="s">
        <v>45</v>
      </c>
      <c r="P41" s="8" t="s">
        <v>45</v>
      </c>
      <c r="Q41" s="8" t="s">
        <v>48</v>
      </c>
      <c r="R41" s="8" t="s">
        <v>48</v>
      </c>
      <c r="S41" s="8" t="s">
        <v>47</v>
      </c>
      <c r="T41" s="8" t="s">
        <v>46</v>
      </c>
      <c r="U41" s="8" t="s">
        <v>46</v>
      </c>
      <c r="V41" s="8" t="s">
        <v>46</v>
      </c>
      <c r="W41" s="8" t="s">
        <v>46</v>
      </c>
      <c r="X41" s="8" t="s">
        <v>47</v>
      </c>
      <c r="Y41" s="8" t="s">
        <v>47</v>
      </c>
      <c r="Z41" s="8" t="s">
        <v>46</v>
      </c>
      <c r="AA41" s="8" t="s">
        <v>47</v>
      </c>
      <c r="AB41" s="8" t="s">
        <v>47</v>
      </c>
      <c r="AC41" s="8" t="s">
        <v>47</v>
      </c>
      <c r="AD41" s="8" t="s">
        <v>46</v>
      </c>
      <c r="AE41" s="8" t="s">
        <v>46</v>
      </c>
    </row>
    <row r="42" customFormat="false" ht="17.9" hidden="false" customHeight="false" outlineLevel="0" collapsed="false">
      <c r="A42" s="7" t="s">
        <v>88</v>
      </c>
      <c r="B42" s="8" t="s">
        <v>47</v>
      </c>
      <c r="C42" s="8" t="s">
        <v>45</v>
      </c>
      <c r="D42" s="8" t="s">
        <v>48</v>
      </c>
      <c r="E42" s="8" t="s">
        <v>47</v>
      </c>
      <c r="F42" s="8" t="s">
        <v>47</v>
      </c>
      <c r="G42" s="8" t="s">
        <v>47</v>
      </c>
      <c r="H42" s="8" t="s">
        <v>46</v>
      </c>
      <c r="I42" s="8" t="s">
        <v>46</v>
      </c>
      <c r="J42" s="8" t="s">
        <v>48</v>
      </c>
      <c r="K42" s="8" t="s">
        <v>45</v>
      </c>
      <c r="L42" s="8" t="s">
        <v>48</v>
      </c>
      <c r="M42" s="8" t="s">
        <v>46</v>
      </c>
      <c r="N42" s="8" t="s">
        <v>47</v>
      </c>
      <c r="O42" s="8" t="s">
        <v>45</v>
      </c>
      <c r="P42" s="8" t="s">
        <v>48</v>
      </c>
      <c r="Q42" s="8" t="s">
        <v>48</v>
      </c>
      <c r="R42" s="8" t="s">
        <v>48</v>
      </c>
      <c r="S42" s="8" t="s">
        <v>45</v>
      </c>
      <c r="T42" s="8" t="s">
        <v>45</v>
      </c>
      <c r="U42" s="8" t="s">
        <v>45</v>
      </c>
      <c r="V42" s="8" t="s">
        <v>46</v>
      </c>
      <c r="W42" s="8" t="s">
        <v>46</v>
      </c>
      <c r="X42" s="8" t="s">
        <v>46</v>
      </c>
      <c r="Y42" s="8" t="s">
        <v>47</v>
      </c>
      <c r="Z42" s="8" t="s">
        <v>46</v>
      </c>
      <c r="AA42" s="8" t="s">
        <v>47</v>
      </c>
      <c r="AB42" s="8" t="s">
        <v>48</v>
      </c>
      <c r="AC42" s="8" t="s">
        <v>48</v>
      </c>
      <c r="AD42" s="8" t="s">
        <v>46</v>
      </c>
      <c r="AE42" s="8" t="s">
        <v>46</v>
      </c>
    </row>
    <row r="43" customFormat="false" ht="17.9" hidden="false" customHeight="false" outlineLevel="0" collapsed="false">
      <c r="A43" s="7" t="s">
        <v>89</v>
      </c>
      <c r="B43" s="8" t="s">
        <v>46</v>
      </c>
      <c r="C43" s="8" t="s">
        <v>46</v>
      </c>
      <c r="D43" s="8" t="s">
        <v>45</v>
      </c>
      <c r="E43" s="8" t="s">
        <v>47</v>
      </c>
      <c r="F43" s="8" t="s">
        <v>46</v>
      </c>
      <c r="G43" s="8" t="s">
        <v>45</v>
      </c>
      <c r="H43" s="8" t="s">
        <v>46</v>
      </c>
      <c r="I43" s="8" t="s">
        <v>46</v>
      </c>
      <c r="J43" s="8" t="s">
        <v>48</v>
      </c>
      <c r="K43" s="8" t="s">
        <v>45</v>
      </c>
      <c r="L43" s="8" t="s">
        <v>48</v>
      </c>
      <c r="M43" s="8" t="s">
        <v>46</v>
      </c>
      <c r="N43" s="8" t="s">
        <v>48</v>
      </c>
      <c r="O43" s="8" t="s">
        <v>45</v>
      </c>
      <c r="P43" s="8" t="s">
        <v>46</v>
      </c>
      <c r="Q43" s="8" t="s">
        <v>48</v>
      </c>
      <c r="R43" s="8" t="s">
        <v>48</v>
      </c>
      <c r="S43" s="8" t="s">
        <v>46</v>
      </c>
      <c r="T43" s="8" t="s">
        <v>45</v>
      </c>
      <c r="U43" s="8" t="s">
        <v>46</v>
      </c>
      <c r="V43" s="8" t="s">
        <v>45</v>
      </c>
      <c r="W43" s="8" t="s">
        <v>45</v>
      </c>
      <c r="X43" s="8" t="s">
        <v>46</v>
      </c>
      <c r="Y43" s="8" t="s">
        <v>46</v>
      </c>
      <c r="Z43" s="8" t="s">
        <v>46</v>
      </c>
      <c r="AA43" s="8" t="s">
        <v>47</v>
      </c>
      <c r="AB43" s="8" t="s">
        <v>47</v>
      </c>
      <c r="AC43" s="8" t="s">
        <v>47</v>
      </c>
      <c r="AD43" s="8" t="s">
        <v>45</v>
      </c>
      <c r="AE43" s="8" t="s">
        <v>47</v>
      </c>
    </row>
    <row r="44" customFormat="false" ht="17.9" hidden="false" customHeight="false" outlineLevel="0" collapsed="false">
      <c r="A44" s="7" t="s">
        <v>90</v>
      </c>
      <c r="B44" s="8" t="s">
        <v>46</v>
      </c>
      <c r="C44" s="8" t="s">
        <v>46</v>
      </c>
      <c r="D44" s="8" t="s">
        <v>46</v>
      </c>
      <c r="E44" s="8" t="s">
        <v>47</v>
      </c>
      <c r="F44" s="8" t="s">
        <v>47</v>
      </c>
      <c r="G44" s="8" t="s">
        <v>47</v>
      </c>
      <c r="H44" s="8" t="s">
        <v>48</v>
      </c>
      <c r="I44" s="8" t="s">
        <v>46</v>
      </c>
      <c r="J44" s="8" t="s">
        <v>48</v>
      </c>
      <c r="K44" s="8" t="s">
        <v>47</v>
      </c>
      <c r="L44" s="8" t="s">
        <v>46</v>
      </c>
      <c r="M44" s="8" t="s">
        <v>46</v>
      </c>
      <c r="N44" s="8" t="s">
        <v>47</v>
      </c>
      <c r="O44" s="8" t="s">
        <v>47</v>
      </c>
      <c r="P44" s="8" t="s">
        <v>46</v>
      </c>
      <c r="Q44" s="8" t="s">
        <v>48</v>
      </c>
      <c r="R44" s="8" t="s">
        <v>48</v>
      </c>
      <c r="S44" s="8" t="s">
        <v>47</v>
      </c>
      <c r="T44" s="8" t="s">
        <v>46</v>
      </c>
      <c r="U44" s="8" t="s">
        <v>46</v>
      </c>
      <c r="V44" s="8" t="s">
        <v>45</v>
      </c>
      <c r="W44" s="8" t="s">
        <v>48</v>
      </c>
      <c r="X44" s="8" t="s">
        <v>46</v>
      </c>
      <c r="Y44" s="8" t="s">
        <v>47</v>
      </c>
      <c r="Z44" s="8" t="s">
        <v>48</v>
      </c>
      <c r="AA44" s="8" t="s">
        <v>48</v>
      </c>
      <c r="AB44" s="8" t="s">
        <v>45</v>
      </c>
      <c r="AC44" s="8" t="s">
        <v>48</v>
      </c>
      <c r="AD44" s="8" t="s">
        <v>45</v>
      </c>
      <c r="AE44" s="8" t="s">
        <v>46</v>
      </c>
    </row>
    <row r="45" customFormat="false" ht="17.9" hidden="false" customHeight="false" outlineLevel="0" collapsed="false">
      <c r="A45" s="7" t="s">
        <v>91</v>
      </c>
      <c r="B45" s="8" t="s">
        <v>46</v>
      </c>
      <c r="C45" s="8" t="s">
        <v>45</v>
      </c>
      <c r="D45" s="8" t="s">
        <v>46</v>
      </c>
      <c r="E45" s="8" t="s">
        <v>48</v>
      </c>
      <c r="F45" s="8" t="s">
        <v>46</v>
      </c>
      <c r="G45" s="8" t="s">
        <v>48</v>
      </c>
      <c r="H45" s="8" t="s">
        <v>46</v>
      </c>
      <c r="I45" s="8" t="s">
        <v>45</v>
      </c>
      <c r="J45" s="8" t="s">
        <v>48</v>
      </c>
      <c r="K45" s="8" t="s">
        <v>45</v>
      </c>
      <c r="L45" s="8" t="s">
        <v>47</v>
      </c>
      <c r="M45" s="8" t="s">
        <v>46</v>
      </c>
      <c r="N45" s="8" t="s">
        <v>46</v>
      </c>
      <c r="O45" s="8" t="s">
        <v>47</v>
      </c>
      <c r="P45" s="8" t="s">
        <v>48</v>
      </c>
      <c r="Q45" s="8" t="s">
        <v>48</v>
      </c>
      <c r="R45" s="8" t="s">
        <v>47</v>
      </c>
      <c r="S45" s="8" t="s">
        <v>45</v>
      </c>
      <c r="T45" s="8" t="s">
        <v>45</v>
      </c>
      <c r="U45" s="8" t="s">
        <v>46</v>
      </c>
      <c r="V45" s="8" t="s">
        <v>45</v>
      </c>
      <c r="W45" s="8" t="s">
        <v>48</v>
      </c>
      <c r="X45" s="8" t="s">
        <v>46</v>
      </c>
      <c r="Y45" s="8" t="s">
        <v>46</v>
      </c>
      <c r="Z45" s="8" t="s">
        <v>45</v>
      </c>
      <c r="AA45" s="8" t="s">
        <v>46</v>
      </c>
      <c r="AB45" s="8" t="s">
        <v>45</v>
      </c>
      <c r="AC45" s="8" t="s">
        <v>46</v>
      </c>
      <c r="AD45" s="8" t="s">
        <v>46</v>
      </c>
      <c r="AE45" s="8" t="s">
        <v>45</v>
      </c>
    </row>
    <row r="46" customFormat="false" ht="17.9" hidden="false" customHeight="false" outlineLevel="0" collapsed="false">
      <c r="A46" s="7" t="s">
        <v>92</v>
      </c>
      <c r="B46" s="8" t="s">
        <v>45</v>
      </c>
      <c r="C46" s="8" t="s">
        <v>46</v>
      </c>
      <c r="D46" s="8" t="s">
        <v>45</v>
      </c>
      <c r="E46" s="8" t="s">
        <v>47</v>
      </c>
      <c r="F46" s="8" t="s">
        <v>45</v>
      </c>
      <c r="G46" s="8" t="s">
        <v>47</v>
      </c>
      <c r="H46" s="8" t="s">
        <v>46</v>
      </c>
      <c r="I46" s="8" t="s">
        <v>46</v>
      </c>
      <c r="J46" s="8" t="s">
        <v>48</v>
      </c>
      <c r="K46" s="8" t="s">
        <v>45</v>
      </c>
      <c r="L46" s="8" t="s">
        <v>48</v>
      </c>
      <c r="M46" s="8" t="s">
        <v>46</v>
      </c>
      <c r="N46" s="8" t="s">
        <v>47</v>
      </c>
      <c r="O46" s="8" t="s">
        <v>45</v>
      </c>
      <c r="P46" s="8" t="s">
        <v>46</v>
      </c>
      <c r="Q46" s="8" t="s">
        <v>48</v>
      </c>
      <c r="R46" s="8" t="s">
        <v>48</v>
      </c>
      <c r="S46" s="8" t="s">
        <v>46</v>
      </c>
      <c r="T46" s="8" t="s">
        <v>45</v>
      </c>
      <c r="U46" s="8" t="s">
        <v>45</v>
      </c>
      <c r="V46" s="8" t="s">
        <v>46</v>
      </c>
      <c r="W46" s="8" t="s">
        <v>46</v>
      </c>
      <c r="X46" s="8" t="s">
        <v>46</v>
      </c>
      <c r="Y46" s="8" t="s">
        <v>47</v>
      </c>
      <c r="Z46" s="8" t="s">
        <v>46</v>
      </c>
      <c r="AA46" s="8" t="s">
        <v>47</v>
      </c>
      <c r="AB46" s="8" t="s">
        <v>46</v>
      </c>
      <c r="AC46" s="8" t="s">
        <v>47</v>
      </c>
      <c r="AD46" s="8" t="s">
        <v>46</v>
      </c>
      <c r="AE46" s="8" t="s">
        <v>46</v>
      </c>
    </row>
    <row r="47" customFormat="false" ht="17.9" hidden="false" customHeight="false" outlineLevel="0" collapsed="false">
      <c r="A47" s="7" t="s">
        <v>93</v>
      </c>
      <c r="B47" s="8" t="s">
        <v>45</v>
      </c>
      <c r="C47" s="8" t="s">
        <v>45</v>
      </c>
      <c r="D47" s="8" t="s">
        <v>47</v>
      </c>
      <c r="E47" s="8" t="s">
        <v>47</v>
      </c>
      <c r="F47" s="8" t="s">
        <v>45</v>
      </c>
      <c r="G47" s="8" t="s">
        <v>47</v>
      </c>
      <c r="H47" s="8" t="s">
        <v>46</v>
      </c>
      <c r="I47" s="8" t="s">
        <v>46</v>
      </c>
      <c r="J47" s="8" t="s">
        <v>48</v>
      </c>
      <c r="K47" s="8" t="s">
        <v>45</v>
      </c>
      <c r="L47" s="8" t="s">
        <v>48</v>
      </c>
      <c r="M47" s="8" t="s">
        <v>46</v>
      </c>
      <c r="N47" s="8" t="s">
        <v>47</v>
      </c>
      <c r="O47" s="8" t="s">
        <v>45</v>
      </c>
      <c r="P47" s="8" t="s">
        <v>48</v>
      </c>
      <c r="Q47" s="8" t="s">
        <v>48</v>
      </c>
      <c r="R47" s="8" t="s">
        <v>48</v>
      </c>
      <c r="S47" s="8" t="s">
        <v>48</v>
      </c>
      <c r="T47" s="8" t="s">
        <v>45</v>
      </c>
      <c r="U47" s="8" t="s">
        <v>45</v>
      </c>
      <c r="V47" s="8" t="s">
        <v>45</v>
      </c>
      <c r="W47" s="8" t="s">
        <v>46</v>
      </c>
      <c r="X47" s="8" t="s">
        <v>46</v>
      </c>
      <c r="Y47" s="8" t="s">
        <v>47</v>
      </c>
      <c r="Z47" s="8" t="s">
        <v>46</v>
      </c>
      <c r="AA47" s="8" t="s">
        <v>46</v>
      </c>
      <c r="AB47" s="8" t="s">
        <v>45</v>
      </c>
      <c r="AC47" s="8" t="s">
        <v>47</v>
      </c>
      <c r="AD47" s="8" t="s">
        <v>45</v>
      </c>
      <c r="AE47" s="8" t="s">
        <v>46</v>
      </c>
    </row>
    <row r="48" customFormat="false" ht="17.9" hidden="false" customHeight="false" outlineLevel="0" collapsed="false">
      <c r="A48" s="7" t="s">
        <v>94</v>
      </c>
      <c r="B48" s="8" t="s">
        <v>45</v>
      </c>
      <c r="C48" s="8" t="s">
        <v>47</v>
      </c>
      <c r="D48" s="8" t="s">
        <v>45</v>
      </c>
      <c r="E48" s="8" t="s">
        <v>47</v>
      </c>
      <c r="F48" s="8" t="s">
        <v>45</v>
      </c>
      <c r="G48" s="8" t="s">
        <v>48</v>
      </c>
      <c r="H48" s="8" t="s">
        <v>47</v>
      </c>
      <c r="I48" s="8" t="s">
        <v>46</v>
      </c>
      <c r="J48" s="8" t="s">
        <v>48</v>
      </c>
      <c r="K48" s="8" t="s">
        <v>45</v>
      </c>
      <c r="L48" s="8" t="s">
        <v>48</v>
      </c>
      <c r="M48" s="8" t="s">
        <v>46</v>
      </c>
      <c r="N48" s="8" t="s">
        <v>47</v>
      </c>
      <c r="O48" s="8" t="s">
        <v>45</v>
      </c>
      <c r="P48" s="8" t="s">
        <v>48</v>
      </c>
      <c r="Q48" s="8" t="s">
        <v>48</v>
      </c>
      <c r="R48" s="8" t="s">
        <v>48</v>
      </c>
      <c r="S48" s="8" t="s">
        <v>48</v>
      </c>
      <c r="T48" s="8" t="s">
        <v>47</v>
      </c>
      <c r="U48" s="8" t="s">
        <v>45</v>
      </c>
      <c r="V48" s="8" t="s">
        <v>46</v>
      </c>
      <c r="W48" s="8" t="s">
        <v>48</v>
      </c>
      <c r="X48" s="8" t="s">
        <v>46</v>
      </c>
      <c r="Y48" s="8" t="s">
        <v>46</v>
      </c>
      <c r="Z48" s="8" t="s">
        <v>46</v>
      </c>
      <c r="AA48" s="8" t="s">
        <v>47</v>
      </c>
      <c r="AB48" s="8" t="s">
        <v>47</v>
      </c>
      <c r="AC48" s="8" t="s">
        <v>47</v>
      </c>
      <c r="AD48" s="8" t="s">
        <v>46</v>
      </c>
      <c r="AE48" s="8" t="s">
        <v>46</v>
      </c>
    </row>
    <row r="49" customFormat="false" ht="17.9" hidden="false" customHeight="false" outlineLevel="0" collapsed="false">
      <c r="A49" s="7" t="s">
        <v>95</v>
      </c>
      <c r="B49" s="8" t="s">
        <v>45</v>
      </c>
      <c r="C49" s="8" t="s">
        <v>46</v>
      </c>
      <c r="D49" s="8" t="s">
        <v>45</v>
      </c>
      <c r="E49" s="8" t="s">
        <v>47</v>
      </c>
      <c r="F49" s="8" t="s">
        <v>47</v>
      </c>
      <c r="G49" s="8" t="s">
        <v>47</v>
      </c>
      <c r="H49" s="8" t="s">
        <v>46</v>
      </c>
      <c r="I49" s="8" t="s">
        <v>46</v>
      </c>
      <c r="J49" s="8" t="s">
        <v>48</v>
      </c>
      <c r="K49" s="8" t="s">
        <v>45</v>
      </c>
      <c r="L49" s="8" t="s">
        <v>48</v>
      </c>
      <c r="M49" s="8" t="s">
        <v>46</v>
      </c>
      <c r="N49" s="8" t="s">
        <v>47</v>
      </c>
      <c r="O49" s="8" t="s">
        <v>45</v>
      </c>
      <c r="P49" s="8" t="s">
        <v>48</v>
      </c>
      <c r="Q49" s="8" t="s">
        <v>48</v>
      </c>
      <c r="R49" s="8" t="s">
        <v>48</v>
      </c>
      <c r="S49" s="8" t="s">
        <v>46</v>
      </c>
      <c r="T49" s="8" t="s">
        <v>45</v>
      </c>
      <c r="U49" s="8" t="s">
        <v>45</v>
      </c>
      <c r="V49" s="8" t="s">
        <v>46</v>
      </c>
      <c r="W49" s="8" t="s">
        <v>46</v>
      </c>
      <c r="X49" s="8" t="s">
        <v>46</v>
      </c>
      <c r="Y49" s="8" t="s">
        <v>47</v>
      </c>
      <c r="Z49" s="8" t="s">
        <v>46</v>
      </c>
      <c r="AA49" s="8" t="s">
        <v>47</v>
      </c>
      <c r="AB49" s="8" t="s">
        <v>46</v>
      </c>
      <c r="AC49" s="8" t="s">
        <v>47</v>
      </c>
      <c r="AD49" s="8" t="s">
        <v>46</v>
      </c>
      <c r="AE49" s="8" t="s">
        <v>46</v>
      </c>
    </row>
    <row r="50" customFormat="false" ht="17.9" hidden="false" customHeight="false" outlineLevel="0" collapsed="false">
      <c r="A50" s="7" t="s">
        <v>96</v>
      </c>
      <c r="B50" s="8" t="s">
        <v>45</v>
      </c>
      <c r="C50" s="8" t="s">
        <v>45</v>
      </c>
      <c r="D50" s="8" t="s">
        <v>47</v>
      </c>
      <c r="E50" s="8" t="s">
        <v>47</v>
      </c>
      <c r="F50" s="8" t="s">
        <v>48</v>
      </c>
      <c r="G50" s="8" t="s">
        <v>48</v>
      </c>
      <c r="H50" s="8" t="s">
        <v>47</v>
      </c>
      <c r="I50" s="8" t="s">
        <v>48</v>
      </c>
      <c r="J50" s="8" t="s">
        <v>47</v>
      </c>
      <c r="K50" s="8" t="s">
        <v>46</v>
      </c>
      <c r="L50" s="8" t="s">
        <v>47</v>
      </c>
      <c r="M50" s="8" t="s">
        <v>46</v>
      </c>
      <c r="N50" s="8" t="s">
        <v>46</v>
      </c>
      <c r="O50" s="8" t="s">
        <v>48</v>
      </c>
      <c r="P50" s="8" t="s">
        <v>45</v>
      </c>
      <c r="Q50" s="8" t="s">
        <v>46</v>
      </c>
      <c r="R50" s="8" t="s">
        <v>48</v>
      </c>
      <c r="S50" s="8" t="s">
        <v>46</v>
      </c>
      <c r="T50" s="8" t="s">
        <v>46</v>
      </c>
      <c r="U50" s="8" t="s">
        <v>47</v>
      </c>
      <c r="V50" s="8" t="s">
        <v>45</v>
      </c>
      <c r="W50" s="8" t="s">
        <v>48</v>
      </c>
      <c r="X50" s="8" t="s">
        <v>47</v>
      </c>
      <c r="Y50" s="8" t="s">
        <v>46</v>
      </c>
      <c r="Z50" s="8" t="s">
        <v>46</v>
      </c>
      <c r="AA50" s="8" t="s">
        <v>48</v>
      </c>
      <c r="AB50" s="8" t="s">
        <v>48</v>
      </c>
      <c r="AC50" s="8" t="s">
        <v>47</v>
      </c>
      <c r="AD50" s="8" t="s">
        <v>48</v>
      </c>
      <c r="AE50" s="8" t="s">
        <v>48</v>
      </c>
    </row>
    <row r="51" customFormat="false" ht="17.9" hidden="false" customHeight="false" outlineLevel="0" collapsed="false">
      <c r="A51" s="7" t="s">
        <v>97</v>
      </c>
      <c r="B51" s="8" t="s">
        <v>45</v>
      </c>
      <c r="C51" s="8" t="s">
        <v>46</v>
      </c>
      <c r="D51" s="8" t="s">
        <v>45</v>
      </c>
      <c r="E51" s="8" t="s">
        <v>47</v>
      </c>
      <c r="F51" s="8" t="s">
        <v>47</v>
      </c>
      <c r="G51" s="8" t="s">
        <v>47</v>
      </c>
      <c r="H51" s="8" t="s">
        <v>46</v>
      </c>
      <c r="I51" s="8" t="s">
        <v>46</v>
      </c>
      <c r="J51" s="8" t="s">
        <v>48</v>
      </c>
      <c r="K51" s="8" t="s">
        <v>45</v>
      </c>
      <c r="L51" s="8" t="s">
        <v>48</v>
      </c>
      <c r="M51" s="8" t="s">
        <v>46</v>
      </c>
      <c r="N51" s="8" t="s">
        <v>47</v>
      </c>
      <c r="O51" s="8" t="s">
        <v>45</v>
      </c>
      <c r="P51" s="8" t="s">
        <v>46</v>
      </c>
      <c r="Q51" s="8" t="s">
        <v>48</v>
      </c>
      <c r="R51" s="8" t="s">
        <v>48</v>
      </c>
      <c r="S51" s="8" t="s">
        <v>46</v>
      </c>
      <c r="T51" s="8" t="s">
        <v>45</v>
      </c>
      <c r="U51" s="8" t="s">
        <v>45</v>
      </c>
      <c r="V51" s="8" t="s">
        <v>46</v>
      </c>
      <c r="W51" s="8" t="s">
        <v>46</v>
      </c>
      <c r="X51" s="8" t="s">
        <v>46</v>
      </c>
      <c r="Y51" s="8" t="s">
        <v>47</v>
      </c>
      <c r="Z51" s="8" t="s">
        <v>46</v>
      </c>
      <c r="AA51" s="8" t="s">
        <v>47</v>
      </c>
      <c r="AB51" s="8" t="s">
        <v>45</v>
      </c>
      <c r="AC51" s="8" t="s">
        <v>47</v>
      </c>
      <c r="AD51" s="8" t="s">
        <v>46</v>
      </c>
      <c r="AE51" s="8" t="s">
        <v>46</v>
      </c>
    </row>
    <row r="52" customFormat="false" ht="17.9" hidden="false" customHeight="false" outlineLevel="0" collapsed="false">
      <c r="A52" s="7" t="s">
        <v>98</v>
      </c>
      <c r="B52" s="8" t="s">
        <v>45</v>
      </c>
      <c r="C52" s="8" t="s">
        <v>46</v>
      </c>
      <c r="D52" s="8" t="s">
        <v>45</v>
      </c>
      <c r="E52" s="8" t="s">
        <v>47</v>
      </c>
      <c r="F52" s="8" t="s">
        <v>47</v>
      </c>
      <c r="G52" s="8" t="s">
        <v>47</v>
      </c>
      <c r="H52" s="8" t="s">
        <v>46</v>
      </c>
      <c r="I52" s="8" t="s">
        <v>46</v>
      </c>
      <c r="J52" s="8" t="s">
        <v>48</v>
      </c>
      <c r="K52" s="8" t="s">
        <v>45</v>
      </c>
      <c r="L52" s="8" t="s">
        <v>48</v>
      </c>
      <c r="M52" s="8" t="s">
        <v>46</v>
      </c>
      <c r="N52" s="8" t="s">
        <v>47</v>
      </c>
      <c r="O52" s="8" t="s">
        <v>45</v>
      </c>
      <c r="P52" s="8" t="s">
        <v>48</v>
      </c>
      <c r="Q52" s="8" t="s">
        <v>48</v>
      </c>
      <c r="R52" s="8" t="s">
        <v>48</v>
      </c>
      <c r="S52" s="8" t="s">
        <v>45</v>
      </c>
      <c r="T52" s="8" t="s">
        <v>45</v>
      </c>
      <c r="U52" s="8" t="s">
        <v>45</v>
      </c>
      <c r="V52" s="8" t="s">
        <v>46</v>
      </c>
      <c r="W52" s="8" t="s">
        <v>46</v>
      </c>
      <c r="X52" s="8" t="s">
        <v>46</v>
      </c>
      <c r="Y52" s="8" t="s">
        <v>47</v>
      </c>
      <c r="Z52" s="8" t="s">
        <v>46</v>
      </c>
      <c r="AA52" s="8" t="s">
        <v>47</v>
      </c>
      <c r="AB52" s="8" t="s">
        <v>47</v>
      </c>
      <c r="AC52" s="8" t="s">
        <v>47</v>
      </c>
      <c r="AD52" s="8" t="s">
        <v>46</v>
      </c>
      <c r="AE52" s="8" t="s">
        <v>46</v>
      </c>
    </row>
    <row r="53" customFormat="false" ht="17.9" hidden="false" customHeight="false" outlineLevel="0" collapsed="false">
      <c r="A53" s="7" t="s">
        <v>99</v>
      </c>
      <c r="B53" s="8" t="s">
        <v>45</v>
      </c>
      <c r="C53" s="8" t="s">
        <v>46</v>
      </c>
      <c r="D53" s="8" t="s">
        <v>45</v>
      </c>
      <c r="E53" s="8" t="s">
        <v>47</v>
      </c>
      <c r="F53" s="8" t="s">
        <v>47</v>
      </c>
      <c r="G53" s="8" t="s">
        <v>47</v>
      </c>
      <c r="H53" s="8" t="s">
        <v>46</v>
      </c>
      <c r="I53" s="8" t="s">
        <v>46</v>
      </c>
      <c r="J53" s="8" t="s">
        <v>48</v>
      </c>
      <c r="K53" s="8" t="s">
        <v>45</v>
      </c>
      <c r="L53" s="8" t="s">
        <v>48</v>
      </c>
      <c r="M53" s="8" t="s">
        <v>46</v>
      </c>
      <c r="N53" s="8" t="s">
        <v>47</v>
      </c>
      <c r="O53" s="8" t="s">
        <v>45</v>
      </c>
      <c r="P53" s="8" t="s">
        <v>48</v>
      </c>
      <c r="Q53" s="8" t="s">
        <v>48</v>
      </c>
      <c r="R53" s="8" t="s">
        <v>48</v>
      </c>
      <c r="S53" s="8" t="s">
        <v>47</v>
      </c>
      <c r="T53" s="8" t="s">
        <v>45</v>
      </c>
      <c r="U53" s="8" t="s">
        <v>45</v>
      </c>
      <c r="V53" s="8" t="s">
        <v>46</v>
      </c>
      <c r="W53" s="8" t="s">
        <v>46</v>
      </c>
      <c r="X53" s="8" t="s">
        <v>46</v>
      </c>
      <c r="Y53" s="8" t="s">
        <v>47</v>
      </c>
      <c r="Z53" s="8" t="s">
        <v>46</v>
      </c>
      <c r="AA53" s="8" t="s">
        <v>47</v>
      </c>
      <c r="AB53" s="8" t="s">
        <v>47</v>
      </c>
      <c r="AC53" s="8" t="s">
        <v>47</v>
      </c>
      <c r="AD53" s="8" t="s">
        <v>46</v>
      </c>
      <c r="AE53" s="8" t="s">
        <v>46</v>
      </c>
    </row>
    <row r="54" customFormat="false" ht="17.9" hidden="false" customHeight="false" outlineLevel="0" collapsed="false">
      <c r="A54" s="7" t="s">
        <v>100</v>
      </c>
      <c r="B54" s="8" t="s">
        <v>45</v>
      </c>
      <c r="C54" s="8" t="s">
        <v>46</v>
      </c>
      <c r="D54" s="8" t="s">
        <v>48</v>
      </c>
      <c r="E54" s="8" t="s">
        <v>47</v>
      </c>
      <c r="F54" s="8" t="s">
        <v>46</v>
      </c>
      <c r="G54" s="8" t="s">
        <v>45</v>
      </c>
      <c r="H54" s="8" t="s">
        <v>46</v>
      </c>
      <c r="I54" s="8" t="s">
        <v>46</v>
      </c>
      <c r="J54" s="8" t="s">
        <v>48</v>
      </c>
      <c r="K54" s="8" t="s">
        <v>45</v>
      </c>
      <c r="L54" s="8" t="s">
        <v>48</v>
      </c>
      <c r="M54" s="8" t="s">
        <v>46</v>
      </c>
      <c r="N54" s="8" t="s">
        <v>46</v>
      </c>
      <c r="O54" s="8" t="s">
        <v>46</v>
      </c>
      <c r="P54" s="8" t="s">
        <v>46</v>
      </c>
      <c r="Q54" s="8" t="s">
        <v>48</v>
      </c>
      <c r="R54" s="8" t="s">
        <v>48</v>
      </c>
      <c r="S54" s="8" t="s">
        <v>45</v>
      </c>
      <c r="T54" s="8" t="s">
        <v>45</v>
      </c>
      <c r="U54" s="8" t="s">
        <v>45</v>
      </c>
      <c r="V54" s="8" t="s">
        <v>46</v>
      </c>
      <c r="W54" s="8" t="s">
        <v>48</v>
      </c>
      <c r="X54" s="8" t="s">
        <v>46</v>
      </c>
      <c r="Y54" s="8" t="s">
        <v>47</v>
      </c>
      <c r="Z54" s="8" t="s">
        <v>46</v>
      </c>
      <c r="AA54" s="8" t="s">
        <v>47</v>
      </c>
      <c r="AB54" s="8" t="s">
        <v>47</v>
      </c>
      <c r="AC54" s="8" t="s">
        <v>47</v>
      </c>
      <c r="AD54" s="8" t="s">
        <v>45</v>
      </c>
      <c r="AE54" s="8" t="s">
        <v>46</v>
      </c>
    </row>
    <row r="55" customFormat="false" ht="17.9" hidden="false" customHeight="false" outlineLevel="0" collapsed="false">
      <c r="A55" s="7" t="s">
        <v>101</v>
      </c>
      <c r="B55" s="8" t="s">
        <v>48</v>
      </c>
      <c r="C55" s="8" t="s">
        <v>45</v>
      </c>
      <c r="D55" s="8" t="s">
        <v>47</v>
      </c>
      <c r="E55" s="8" t="s">
        <v>47</v>
      </c>
      <c r="F55" s="8" t="s">
        <v>46</v>
      </c>
      <c r="G55" s="8" t="s">
        <v>47</v>
      </c>
      <c r="H55" s="8" t="s">
        <v>48</v>
      </c>
      <c r="I55" s="8" t="s">
        <v>46</v>
      </c>
      <c r="J55" s="8" t="s">
        <v>48</v>
      </c>
      <c r="K55" s="8" t="s">
        <v>45</v>
      </c>
      <c r="L55" s="8" t="s">
        <v>46</v>
      </c>
      <c r="M55" s="8" t="s">
        <v>46</v>
      </c>
      <c r="N55" s="8" t="s">
        <v>47</v>
      </c>
      <c r="O55" s="8" t="s">
        <v>47</v>
      </c>
      <c r="P55" s="8" t="s">
        <v>45</v>
      </c>
      <c r="Q55" s="8" t="s">
        <v>48</v>
      </c>
      <c r="R55" s="8" t="s">
        <v>48</v>
      </c>
      <c r="S55" s="8" t="s">
        <v>47</v>
      </c>
      <c r="T55" s="8" t="s">
        <v>45</v>
      </c>
      <c r="U55" s="8" t="s">
        <v>46</v>
      </c>
      <c r="V55" s="8" t="s">
        <v>45</v>
      </c>
      <c r="W55" s="8" t="s">
        <v>48</v>
      </c>
      <c r="X55" s="8" t="s">
        <v>48</v>
      </c>
      <c r="Y55" s="8" t="s">
        <v>47</v>
      </c>
      <c r="Z55" s="8" t="s">
        <v>46</v>
      </c>
      <c r="AA55" s="8" t="s">
        <v>47</v>
      </c>
      <c r="AB55" s="8" t="s">
        <v>45</v>
      </c>
      <c r="AC55" s="8" t="s">
        <v>47</v>
      </c>
      <c r="AD55" s="8" t="s">
        <v>47</v>
      </c>
      <c r="AE55" s="8" t="s">
        <v>45</v>
      </c>
    </row>
    <row r="56" customFormat="false" ht="17.9" hidden="false" customHeight="false" outlineLevel="0" collapsed="false">
      <c r="A56" s="7" t="s">
        <v>102</v>
      </c>
      <c r="B56" s="8" t="s">
        <v>46</v>
      </c>
      <c r="C56" s="8" t="s">
        <v>46</v>
      </c>
      <c r="D56" s="8" t="s">
        <v>45</v>
      </c>
      <c r="E56" s="8" t="s">
        <v>47</v>
      </c>
      <c r="F56" s="8" t="s">
        <v>48</v>
      </c>
      <c r="G56" s="8" t="s">
        <v>47</v>
      </c>
      <c r="H56" s="8" t="s">
        <v>46</v>
      </c>
      <c r="I56" s="8" t="s">
        <v>46</v>
      </c>
      <c r="J56" s="8" t="s">
        <v>48</v>
      </c>
      <c r="K56" s="8" t="s">
        <v>45</v>
      </c>
      <c r="L56" s="8" t="s">
        <v>48</v>
      </c>
      <c r="M56" s="8" t="s">
        <v>46</v>
      </c>
      <c r="N56" s="8" t="s">
        <v>45</v>
      </c>
      <c r="O56" s="8" t="s">
        <v>47</v>
      </c>
      <c r="P56" s="8" t="s">
        <v>48</v>
      </c>
      <c r="Q56" s="8" t="s">
        <v>48</v>
      </c>
      <c r="R56" s="8" t="s">
        <v>48</v>
      </c>
      <c r="S56" s="8" t="s">
        <v>48</v>
      </c>
      <c r="T56" s="8" t="s">
        <v>48</v>
      </c>
      <c r="U56" s="8" t="s">
        <v>45</v>
      </c>
      <c r="V56" s="8" t="s">
        <v>46</v>
      </c>
      <c r="W56" s="8" t="s">
        <v>46</v>
      </c>
      <c r="X56" s="8" t="s">
        <v>46</v>
      </c>
      <c r="Y56" s="8" t="s">
        <v>47</v>
      </c>
      <c r="Z56" s="8" t="s">
        <v>46</v>
      </c>
      <c r="AA56" s="8" t="s">
        <v>48</v>
      </c>
      <c r="AB56" s="8" t="s">
        <v>47</v>
      </c>
      <c r="AC56" s="8" t="s">
        <v>47</v>
      </c>
      <c r="AD56" s="8" t="s">
        <v>46</v>
      </c>
      <c r="AE56" s="8" t="s">
        <v>46</v>
      </c>
    </row>
    <row r="57" customFormat="false" ht="17.9" hidden="false" customHeight="false" outlineLevel="0" collapsed="false">
      <c r="A57" s="7" t="s">
        <v>103</v>
      </c>
      <c r="B57" s="8" t="s">
        <v>47</v>
      </c>
      <c r="C57" s="8" t="s">
        <v>48</v>
      </c>
      <c r="D57" s="8" t="s">
        <v>47</v>
      </c>
      <c r="E57" s="8" t="s">
        <v>47</v>
      </c>
      <c r="F57" s="8" t="s">
        <v>46</v>
      </c>
      <c r="G57" s="8" t="s">
        <v>48</v>
      </c>
      <c r="H57" s="8" t="s">
        <v>48</v>
      </c>
      <c r="I57" s="8" t="s">
        <v>48</v>
      </c>
      <c r="J57" s="8" t="s">
        <v>48</v>
      </c>
      <c r="K57" s="8" t="s">
        <v>48</v>
      </c>
      <c r="L57" s="8" t="s">
        <v>47</v>
      </c>
      <c r="M57" s="8" t="s">
        <v>46</v>
      </c>
      <c r="N57" s="8" t="s">
        <v>48</v>
      </c>
      <c r="O57" s="8" t="s">
        <v>45</v>
      </c>
      <c r="P57" s="8" t="s">
        <v>47</v>
      </c>
      <c r="Q57" s="8" t="s">
        <v>48</v>
      </c>
      <c r="R57" s="8" t="s">
        <v>48</v>
      </c>
      <c r="S57" s="8" t="s">
        <v>46</v>
      </c>
      <c r="T57" s="8" t="s">
        <v>47</v>
      </c>
      <c r="U57" s="8" t="s">
        <v>48</v>
      </c>
      <c r="V57" s="8" t="s">
        <v>46</v>
      </c>
      <c r="W57" s="8" t="s">
        <v>48</v>
      </c>
      <c r="X57" s="8" t="s">
        <v>48</v>
      </c>
      <c r="Y57" s="8" t="s">
        <v>45</v>
      </c>
      <c r="Z57" s="8" t="s">
        <v>45</v>
      </c>
      <c r="AA57" s="8" t="s">
        <v>48</v>
      </c>
      <c r="AB57" s="8" t="s">
        <v>45</v>
      </c>
      <c r="AC57" s="8" t="s">
        <v>47</v>
      </c>
      <c r="AD57" s="8" t="s">
        <v>46</v>
      </c>
      <c r="AE57" s="8" t="s">
        <v>46</v>
      </c>
    </row>
    <row r="58" customFormat="false" ht="17.9" hidden="false" customHeight="false" outlineLevel="0" collapsed="false">
      <c r="A58" s="7" t="s">
        <v>104</v>
      </c>
      <c r="B58" s="8" t="s">
        <v>45</v>
      </c>
      <c r="C58" s="8" t="s">
        <v>45</v>
      </c>
      <c r="D58" s="8" t="s">
        <v>46</v>
      </c>
      <c r="E58" s="8" t="s">
        <v>45</v>
      </c>
      <c r="F58" s="8" t="s">
        <v>48</v>
      </c>
      <c r="G58" s="8" t="s">
        <v>47</v>
      </c>
      <c r="H58" s="8" t="s">
        <v>46</v>
      </c>
      <c r="I58" s="8" t="s">
        <v>46</v>
      </c>
      <c r="J58" s="8" t="s">
        <v>48</v>
      </c>
      <c r="K58" s="8" t="s">
        <v>48</v>
      </c>
      <c r="L58" s="8" t="s">
        <v>46</v>
      </c>
      <c r="M58" s="8" t="s">
        <v>46</v>
      </c>
      <c r="N58" s="8" t="s">
        <v>47</v>
      </c>
      <c r="O58" s="8" t="s">
        <v>45</v>
      </c>
      <c r="P58" s="8" t="s">
        <v>46</v>
      </c>
      <c r="Q58" s="8" t="s">
        <v>48</v>
      </c>
      <c r="R58" s="8" t="s">
        <v>48</v>
      </c>
      <c r="S58" s="8" t="s">
        <v>47</v>
      </c>
      <c r="T58" s="8" t="s">
        <v>46</v>
      </c>
      <c r="U58" s="8" t="s">
        <v>45</v>
      </c>
      <c r="V58" s="8" t="s">
        <v>46</v>
      </c>
      <c r="W58" s="8" t="s">
        <v>45</v>
      </c>
      <c r="X58" s="8" t="s">
        <v>46</v>
      </c>
      <c r="Y58" s="8" t="s">
        <v>48</v>
      </c>
      <c r="Z58" s="8" t="s">
        <v>45</v>
      </c>
      <c r="AA58" s="8" t="s">
        <v>47</v>
      </c>
      <c r="AB58" s="8" t="s">
        <v>47</v>
      </c>
      <c r="AC58" s="8" t="s">
        <v>47</v>
      </c>
      <c r="AD58" s="8" t="s">
        <v>46</v>
      </c>
      <c r="AE58" s="8" t="s">
        <v>45</v>
      </c>
    </row>
    <row r="59" customFormat="false" ht="17.9" hidden="false" customHeight="false" outlineLevel="0" collapsed="false">
      <c r="A59" s="7" t="s">
        <v>105</v>
      </c>
      <c r="B59" s="8" t="s">
        <v>47</v>
      </c>
      <c r="C59" s="8" t="s">
        <v>47</v>
      </c>
      <c r="D59" s="8" t="s">
        <v>46</v>
      </c>
      <c r="E59" s="8" t="s">
        <v>47</v>
      </c>
      <c r="F59" s="8" t="s">
        <v>48</v>
      </c>
      <c r="G59" s="8" t="s">
        <v>46</v>
      </c>
      <c r="H59" s="8" t="s">
        <v>46</v>
      </c>
      <c r="I59" s="8" t="s">
        <v>46</v>
      </c>
      <c r="J59" s="8" t="s">
        <v>48</v>
      </c>
      <c r="K59" s="8" t="s">
        <v>46</v>
      </c>
      <c r="L59" s="8" t="s">
        <v>48</v>
      </c>
      <c r="M59" s="8" t="s">
        <v>46</v>
      </c>
      <c r="N59" s="8" t="s">
        <v>48</v>
      </c>
      <c r="O59" s="8" t="s">
        <v>48</v>
      </c>
      <c r="P59" s="8" t="s">
        <v>46</v>
      </c>
      <c r="Q59" s="8" t="s">
        <v>48</v>
      </c>
      <c r="R59" s="8" t="s">
        <v>48</v>
      </c>
      <c r="S59" s="8" t="s">
        <v>48</v>
      </c>
      <c r="T59" s="8" t="s">
        <v>48</v>
      </c>
      <c r="U59" s="8" t="s">
        <v>46</v>
      </c>
      <c r="V59" s="8" t="s">
        <v>48</v>
      </c>
      <c r="W59" s="8" t="s">
        <v>46</v>
      </c>
      <c r="X59" s="8" t="s">
        <v>46</v>
      </c>
      <c r="Y59" s="8" t="s">
        <v>46</v>
      </c>
      <c r="Z59" s="8" t="s">
        <v>46</v>
      </c>
      <c r="AA59" s="8" t="s">
        <v>48</v>
      </c>
      <c r="AB59" s="8" t="s">
        <v>48</v>
      </c>
      <c r="AC59" s="8" t="s">
        <v>48</v>
      </c>
      <c r="AD59" s="8" t="s">
        <v>48</v>
      </c>
      <c r="AE59" s="8" t="s">
        <v>48</v>
      </c>
    </row>
    <row r="60" customFormat="false" ht="17.9" hidden="false" customHeight="false" outlineLevel="0" collapsed="false">
      <c r="A60" s="7" t="s">
        <v>106</v>
      </c>
      <c r="B60" s="8" t="s">
        <v>45</v>
      </c>
      <c r="C60" s="8" t="s">
        <v>48</v>
      </c>
      <c r="D60" s="8" t="s">
        <v>46</v>
      </c>
      <c r="E60" s="8" t="s">
        <v>47</v>
      </c>
      <c r="F60" s="8" t="s">
        <v>45</v>
      </c>
      <c r="G60" s="8" t="s">
        <v>47</v>
      </c>
      <c r="H60" s="8" t="s">
        <v>47</v>
      </c>
      <c r="I60" s="8" t="s">
        <v>46</v>
      </c>
      <c r="J60" s="8" t="s">
        <v>45</v>
      </c>
      <c r="K60" s="8" t="s">
        <v>45</v>
      </c>
      <c r="L60" s="8" t="s">
        <v>48</v>
      </c>
      <c r="M60" s="8" t="s">
        <v>46</v>
      </c>
      <c r="N60" s="8" t="s">
        <v>48</v>
      </c>
      <c r="O60" s="8" t="s">
        <v>45</v>
      </c>
      <c r="P60" s="8" t="s">
        <v>47</v>
      </c>
      <c r="Q60" s="8" t="s">
        <v>48</v>
      </c>
      <c r="R60" s="8" t="s">
        <v>48</v>
      </c>
      <c r="S60" s="8" t="s">
        <v>48</v>
      </c>
      <c r="T60" s="8" t="s">
        <v>45</v>
      </c>
      <c r="U60" s="8" t="s">
        <v>45</v>
      </c>
      <c r="V60" s="8" t="s">
        <v>48</v>
      </c>
      <c r="W60" s="8" t="s">
        <v>46</v>
      </c>
      <c r="X60" s="8" t="s">
        <v>46</v>
      </c>
      <c r="Y60" s="8" t="s">
        <v>48</v>
      </c>
      <c r="Z60" s="8" t="s">
        <v>46</v>
      </c>
      <c r="AA60" s="8" t="s">
        <v>47</v>
      </c>
      <c r="AB60" s="8" t="s">
        <v>47</v>
      </c>
      <c r="AC60" s="8" t="s">
        <v>46</v>
      </c>
      <c r="AD60" s="8" t="s">
        <v>46</v>
      </c>
      <c r="AE60" s="8" t="s">
        <v>45</v>
      </c>
    </row>
    <row r="61" customFormat="false" ht="17.9" hidden="false" customHeight="false" outlineLevel="0" collapsed="false">
      <c r="A61" s="7" t="s">
        <v>107</v>
      </c>
      <c r="B61" s="8" t="s">
        <v>45</v>
      </c>
      <c r="C61" s="8" t="s">
        <v>45</v>
      </c>
      <c r="D61" s="8" t="s">
        <v>46</v>
      </c>
      <c r="E61" s="8" t="s">
        <v>47</v>
      </c>
      <c r="F61" s="8" t="s">
        <v>47</v>
      </c>
      <c r="G61" s="8" t="s">
        <v>47</v>
      </c>
      <c r="H61" s="8" t="s">
        <v>46</v>
      </c>
      <c r="I61" s="8" t="s">
        <v>46</v>
      </c>
      <c r="J61" s="8" t="s">
        <v>48</v>
      </c>
      <c r="K61" s="8" t="s">
        <v>45</v>
      </c>
      <c r="L61" s="8" t="s">
        <v>48</v>
      </c>
      <c r="M61" s="8" t="s">
        <v>46</v>
      </c>
      <c r="N61" s="8" t="s">
        <v>47</v>
      </c>
      <c r="O61" s="8" t="s">
        <v>45</v>
      </c>
      <c r="P61" s="8" t="s">
        <v>46</v>
      </c>
      <c r="Q61" s="8" t="s">
        <v>48</v>
      </c>
      <c r="R61" s="8" t="s">
        <v>48</v>
      </c>
      <c r="S61" s="8" t="s">
        <v>46</v>
      </c>
      <c r="T61" s="8" t="s">
        <v>45</v>
      </c>
      <c r="U61" s="8" t="s">
        <v>45</v>
      </c>
      <c r="V61" s="8" t="s">
        <v>46</v>
      </c>
      <c r="W61" s="8" t="s">
        <v>46</v>
      </c>
      <c r="X61" s="8" t="s">
        <v>46</v>
      </c>
      <c r="Y61" s="8" t="s">
        <v>47</v>
      </c>
      <c r="Z61" s="8" t="s">
        <v>46</v>
      </c>
      <c r="AA61" s="8" t="s">
        <v>47</v>
      </c>
      <c r="AB61" s="8" t="s">
        <v>48</v>
      </c>
      <c r="AC61" s="8" t="s">
        <v>47</v>
      </c>
      <c r="AD61" s="8" t="s">
        <v>48</v>
      </c>
      <c r="AE61" s="8" t="s">
        <v>46</v>
      </c>
    </row>
    <row r="62" customFormat="false" ht="17.9" hidden="false" customHeight="false" outlineLevel="0" collapsed="false">
      <c r="A62" s="7" t="s">
        <v>108</v>
      </c>
      <c r="B62" s="8" t="s">
        <v>45</v>
      </c>
      <c r="C62" s="8" t="s">
        <v>45</v>
      </c>
      <c r="D62" s="8" t="s">
        <v>46</v>
      </c>
      <c r="E62" s="8" t="s">
        <v>47</v>
      </c>
      <c r="F62" s="8" t="s">
        <v>47</v>
      </c>
      <c r="G62" s="8" t="s">
        <v>47</v>
      </c>
      <c r="H62" s="8" t="s">
        <v>46</v>
      </c>
      <c r="I62" s="8" t="s">
        <v>48</v>
      </c>
      <c r="J62" s="8" t="s">
        <v>48</v>
      </c>
      <c r="K62" s="8" t="s">
        <v>45</v>
      </c>
      <c r="L62" s="8" t="s">
        <v>48</v>
      </c>
      <c r="M62" s="8" t="s">
        <v>46</v>
      </c>
      <c r="N62" s="8" t="s">
        <v>45</v>
      </c>
      <c r="O62" s="8" t="s">
        <v>45</v>
      </c>
      <c r="P62" s="8" t="s">
        <v>46</v>
      </c>
      <c r="Q62" s="8" t="s">
        <v>48</v>
      </c>
      <c r="R62" s="8" t="s">
        <v>48</v>
      </c>
      <c r="S62" s="8" t="s">
        <v>46</v>
      </c>
      <c r="T62" s="8" t="s">
        <v>48</v>
      </c>
      <c r="U62" s="8" t="s">
        <v>48</v>
      </c>
      <c r="V62" s="8" t="s">
        <v>47</v>
      </c>
      <c r="W62" s="8" t="s">
        <v>46</v>
      </c>
      <c r="X62" s="8" t="s">
        <v>47</v>
      </c>
      <c r="Y62" s="8" t="s">
        <v>47</v>
      </c>
      <c r="Z62" s="8" t="s">
        <v>48</v>
      </c>
      <c r="AA62" s="8" t="s">
        <v>47</v>
      </c>
      <c r="AB62" s="8" t="s">
        <v>47</v>
      </c>
      <c r="AC62" s="8" t="s">
        <v>46</v>
      </c>
      <c r="AD62" s="8" t="s">
        <v>48</v>
      </c>
      <c r="AE62" s="8" t="s">
        <v>48</v>
      </c>
    </row>
    <row r="63" customFormat="false" ht="17.9" hidden="false" customHeight="false" outlineLevel="0" collapsed="false">
      <c r="A63" s="7" t="s">
        <v>109</v>
      </c>
      <c r="B63" s="8" t="s">
        <v>46</v>
      </c>
      <c r="C63" s="8" t="s">
        <v>47</v>
      </c>
      <c r="D63" s="8" t="s">
        <v>46</v>
      </c>
      <c r="E63" s="8" t="s">
        <v>47</v>
      </c>
      <c r="F63" s="8" t="s">
        <v>46</v>
      </c>
      <c r="G63" s="8" t="s">
        <v>48</v>
      </c>
      <c r="H63" s="8" t="s">
        <v>46</v>
      </c>
      <c r="I63" s="8" t="s">
        <v>45</v>
      </c>
      <c r="J63" s="8" t="s">
        <v>48</v>
      </c>
      <c r="K63" s="8" t="s">
        <v>48</v>
      </c>
      <c r="L63" s="8" t="s">
        <v>45</v>
      </c>
      <c r="M63" s="8" t="s">
        <v>46</v>
      </c>
      <c r="N63" s="8" t="s">
        <v>48</v>
      </c>
      <c r="O63" s="8" t="s">
        <v>46</v>
      </c>
      <c r="P63" s="8" t="s">
        <v>48</v>
      </c>
      <c r="Q63" s="8" t="s">
        <v>46</v>
      </c>
      <c r="R63" s="8" t="s">
        <v>46</v>
      </c>
      <c r="S63" s="8" t="s">
        <v>48</v>
      </c>
      <c r="T63" s="8" t="s">
        <v>45</v>
      </c>
      <c r="U63" s="8" t="s">
        <v>46</v>
      </c>
      <c r="V63" s="8" t="s">
        <v>46</v>
      </c>
      <c r="W63" s="8" t="s">
        <v>47</v>
      </c>
      <c r="X63" s="8" t="s">
        <v>46</v>
      </c>
      <c r="Y63" s="8" t="s">
        <v>47</v>
      </c>
      <c r="Z63" s="8" t="s">
        <v>48</v>
      </c>
      <c r="AA63" s="8" t="s">
        <v>45</v>
      </c>
      <c r="AB63" s="8" t="s">
        <v>48</v>
      </c>
      <c r="AC63" s="8" t="s">
        <v>47</v>
      </c>
      <c r="AD63" s="8" t="s">
        <v>48</v>
      </c>
      <c r="AE63" s="8" t="s">
        <v>46</v>
      </c>
    </row>
    <row r="64" customFormat="false" ht="17.9" hidden="false" customHeight="false" outlineLevel="0" collapsed="false">
      <c r="A64" s="7" t="s">
        <v>110</v>
      </c>
      <c r="B64" s="8" t="s">
        <v>48</v>
      </c>
      <c r="C64" s="8" t="s">
        <v>48</v>
      </c>
      <c r="D64" s="8" t="s">
        <v>47</v>
      </c>
      <c r="E64" s="8" t="s">
        <v>46</v>
      </c>
      <c r="F64" s="8" t="s">
        <v>45</v>
      </c>
      <c r="G64" s="8" t="s">
        <v>47</v>
      </c>
      <c r="H64" s="8" t="s">
        <v>47</v>
      </c>
      <c r="I64" s="8" t="s">
        <v>45</v>
      </c>
      <c r="J64" s="8" t="s">
        <v>48</v>
      </c>
      <c r="K64" s="8" t="s">
        <v>48</v>
      </c>
      <c r="L64" s="8" t="s">
        <v>46</v>
      </c>
      <c r="M64" s="8" t="s">
        <v>46</v>
      </c>
      <c r="N64" s="8" t="s">
        <v>46</v>
      </c>
      <c r="O64" s="8" t="s">
        <v>45</v>
      </c>
      <c r="P64" s="8" t="s">
        <v>45</v>
      </c>
      <c r="Q64" s="8" t="s">
        <v>48</v>
      </c>
      <c r="R64" s="8" t="s">
        <v>47</v>
      </c>
      <c r="S64" s="8" t="s">
        <v>47</v>
      </c>
      <c r="T64" s="8" t="s">
        <v>48</v>
      </c>
      <c r="U64" s="8" t="s">
        <v>48</v>
      </c>
      <c r="V64" s="8" t="s">
        <v>45</v>
      </c>
      <c r="W64" s="8" t="s">
        <v>45</v>
      </c>
      <c r="X64" s="8" t="s">
        <v>47</v>
      </c>
      <c r="Y64" s="8" t="s">
        <v>46</v>
      </c>
      <c r="Z64" s="8" t="s">
        <v>47</v>
      </c>
      <c r="AA64" s="8" t="s">
        <v>47</v>
      </c>
      <c r="AB64" s="8" t="s">
        <v>45</v>
      </c>
      <c r="AC64" s="8" t="s">
        <v>46</v>
      </c>
      <c r="AD64" s="8" t="s">
        <v>47</v>
      </c>
      <c r="AE64" s="8" t="s">
        <v>47</v>
      </c>
    </row>
    <row r="65" customFormat="false" ht="17.9" hidden="false" customHeight="false" outlineLevel="0" collapsed="false">
      <c r="A65" s="7" t="s">
        <v>111</v>
      </c>
      <c r="B65" s="8" t="s">
        <v>47</v>
      </c>
      <c r="C65" s="8" t="s">
        <v>48</v>
      </c>
      <c r="D65" s="8" t="s">
        <v>45</v>
      </c>
      <c r="E65" s="8" t="s">
        <v>45</v>
      </c>
      <c r="F65" s="8" t="s">
        <v>45</v>
      </c>
      <c r="G65" s="8" t="s">
        <v>48</v>
      </c>
      <c r="H65" s="8" t="s">
        <v>45</v>
      </c>
      <c r="I65" s="8" t="s">
        <v>45</v>
      </c>
      <c r="J65" s="8" t="s">
        <v>48</v>
      </c>
      <c r="K65" s="8" t="s">
        <v>46</v>
      </c>
      <c r="L65" s="8" t="s">
        <v>48</v>
      </c>
      <c r="M65" s="8" t="s">
        <v>46</v>
      </c>
      <c r="N65" s="8" t="s">
        <v>46</v>
      </c>
      <c r="O65" s="8" t="s">
        <v>45</v>
      </c>
      <c r="P65" s="8" t="s">
        <v>48</v>
      </c>
      <c r="Q65" s="8" t="s">
        <v>48</v>
      </c>
      <c r="R65" s="8" t="s">
        <v>48</v>
      </c>
      <c r="S65" s="8" t="s">
        <v>47</v>
      </c>
      <c r="T65" s="8" t="s">
        <v>47</v>
      </c>
      <c r="U65" s="8" t="s">
        <v>47</v>
      </c>
      <c r="V65" s="8" t="s">
        <v>48</v>
      </c>
      <c r="W65" s="8" t="s">
        <v>45</v>
      </c>
      <c r="X65" s="8" t="s">
        <v>46</v>
      </c>
      <c r="Y65" s="8" t="s">
        <v>45</v>
      </c>
      <c r="Z65" s="8" t="s">
        <v>45</v>
      </c>
      <c r="AA65" s="8" t="s">
        <v>46</v>
      </c>
      <c r="AB65" s="8" t="s">
        <v>45</v>
      </c>
      <c r="AC65" s="8" t="s">
        <v>46</v>
      </c>
      <c r="AD65" s="8" t="s">
        <v>48</v>
      </c>
      <c r="AE65" s="8" t="s">
        <v>47</v>
      </c>
    </row>
    <row r="66" customFormat="false" ht="17.9" hidden="false" customHeight="false" outlineLevel="0" collapsed="false">
      <c r="A66" s="7" t="s">
        <v>112</v>
      </c>
      <c r="B66" s="8" t="s">
        <v>45</v>
      </c>
      <c r="C66" s="8" t="s">
        <v>45</v>
      </c>
      <c r="D66" s="8" t="s">
        <v>48</v>
      </c>
      <c r="E66" s="8" t="s">
        <v>47</v>
      </c>
      <c r="F66" s="8" t="s">
        <v>48</v>
      </c>
      <c r="G66" s="8" t="s">
        <v>48</v>
      </c>
      <c r="H66" s="8" t="s">
        <v>47</v>
      </c>
      <c r="I66" s="8" t="s">
        <v>46</v>
      </c>
      <c r="J66" s="8" t="s">
        <v>48</v>
      </c>
      <c r="K66" s="8" t="s">
        <v>46</v>
      </c>
      <c r="L66" s="8" t="s">
        <v>48</v>
      </c>
      <c r="M66" s="8" t="s">
        <v>46</v>
      </c>
      <c r="N66" s="8" t="s">
        <v>46</v>
      </c>
      <c r="O66" s="8" t="s">
        <v>47</v>
      </c>
      <c r="P66" s="8" t="s">
        <v>46</v>
      </c>
      <c r="Q66" s="8" t="s">
        <v>48</v>
      </c>
      <c r="R66" s="8" t="s">
        <v>48</v>
      </c>
      <c r="S66" s="8" t="s">
        <v>45</v>
      </c>
      <c r="T66" s="8" t="s">
        <v>45</v>
      </c>
      <c r="U66" s="8" t="s">
        <v>47</v>
      </c>
      <c r="V66" s="8" t="s">
        <v>48</v>
      </c>
      <c r="W66" s="8" t="s">
        <v>47</v>
      </c>
      <c r="X66" s="8" t="s">
        <v>48</v>
      </c>
      <c r="Y66" s="8" t="s">
        <v>48</v>
      </c>
      <c r="Z66" s="8" t="s">
        <v>46</v>
      </c>
      <c r="AA66" s="8" t="s">
        <v>47</v>
      </c>
      <c r="AB66" s="8" t="s">
        <v>45</v>
      </c>
      <c r="AC66" s="8" t="s">
        <v>47</v>
      </c>
      <c r="AD66" s="8" t="s">
        <v>47</v>
      </c>
      <c r="AE66" s="8" t="s">
        <v>47</v>
      </c>
    </row>
    <row r="67" customFormat="false" ht="17.9" hidden="false" customHeight="false" outlineLevel="0" collapsed="false">
      <c r="A67" s="7" t="s">
        <v>113</v>
      </c>
      <c r="B67" s="8" t="s">
        <v>46</v>
      </c>
      <c r="C67" s="8" t="s">
        <v>48</v>
      </c>
      <c r="D67" s="8" t="s">
        <v>47</v>
      </c>
      <c r="E67" s="8" t="s">
        <v>48</v>
      </c>
      <c r="F67" s="8" t="s">
        <v>46</v>
      </c>
      <c r="G67" s="8" t="s">
        <v>48</v>
      </c>
      <c r="H67" s="8" t="s">
        <v>46</v>
      </c>
      <c r="I67" s="8" t="s">
        <v>48</v>
      </c>
      <c r="J67" s="8" t="s">
        <v>48</v>
      </c>
      <c r="K67" s="8" t="s">
        <v>47</v>
      </c>
      <c r="L67" s="8" t="s">
        <v>47</v>
      </c>
      <c r="M67" s="8" t="s">
        <v>46</v>
      </c>
      <c r="N67" s="8" t="s">
        <v>48</v>
      </c>
      <c r="O67" s="8" t="s">
        <v>46</v>
      </c>
      <c r="P67" s="8" t="s">
        <v>48</v>
      </c>
      <c r="Q67" s="8" t="s">
        <v>48</v>
      </c>
      <c r="R67" s="8" t="s">
        <v>48</v>
      </c>
      <c r="S67" s="8" t="s">
        <v>45</v>
      </c>
      <c r="T67" s="8" t="s">
        <v>47</v>
      </c>
      <c r="U67" s="8" t="s">
        <v>48</v>
      </c>
      <c r="V67" s="8" t="s">
        <v>47</v>
      </c>
      <c r="W67" s="8" t="s">
        <v>45</v>
      </c>
      <c r="X67" s="8" t="s">
        <v>46</v>
      </c>
      <c r="Y67" s="8" t="s">
        <v>45</v>
      </c>
      <c r="Z67" s="8" t="s">
        <v>45</v>
      </c>
      <c r="AA67" s="8" t="s">
        <v>46</v>
      </c>
      <c r="AB67" s="8" t="s">
        <v>47</v>
      </c>
      <c r="AC67" s="8" t="s">
        <v>48</v>
      </c>
      <c r="AD67" s="8" t="s">
        <v>45</v>
      </c>
      <c r="AE67" s="8" t="s">
        <v>47</v>
      </c>
    </row>
    <row r="68" customFormat="false" ht="17.9" hidden="false" customHeight="false" outlineLevel="0" collapsed="false">
      <c r="A68" s="7" t="s">
        <v>114</v>
      </c>
      <c r="B68" s="8" t="s">
        <v>45</v>
      </c>
      <c r="C68" s="8" t="s">
        <v>45</v>
      </c>
      <c r="D68" s="8" t="s">
        <v>48</v>
      </c>
      <c r="E68" s="8" t="s">
        <v>47</v>
      </c>
      <c r="F68" s="8" t="s">
        <v>47</v>
      </c>
      <c r="G68" s="8" t="s">
        <v>47</v>
      </c>
      <c r="H68" s="8" t="s">
        <v>46</v>
      </c>
      <c r="I68" s="8" t="s">
        <v>46</v>
      </c>
      <c r="J68" s="8" t="s">
        <v>48</v>
      </c>
      <c r="K68" s="8" t="s">
        <v>45</v>
      </c>
      <c r="L68" s="8" t="s">
        <v>48</v>
      </c>
      <c r="M68" s="8" t="s">
        <v>46</v>
      </c>
      <c r="N68" s="8" t="s">
        <v>47</v>
      </c>
      <c r="O68" s="8" t="s">
        <v>45</v>
      </c>
      <c r="P68" s="8" t="s">
        <v>48</v>
      </c>
      <c r="Q68" s="8" t="s">
        <v>48</v>
      </c>
      <c r="R68" s="8" t="s">
        <v>48</v>
      </c>
      <c r="S68" s="8" t="s">
        <v>47</v>
      </c>
      <c r="T68" s="8" t="s">
        <v>46</v>
      </c>
      <c r="U68" s="8" t="s">
        <v>45</v>
      </c>
      <c r="V68" s="8" t="s">
        <v>46</v>
      </c>
      <c r="W68" s="8" t="s">
        <v>46</v>
      </c>
      <c r="X68" s="8" t="s">
        <v>46</v>
      </c>
      <c r="Y68" s="8" t="s">
        <v>47</v>
      </c>
      <c r="Z68" s="8" t="s">
        <v>46</v>
      </c>
      <c r="AA68" s="8" t="s">
        <v>47</v>
      </c>
      <c r="AB68" s="8" t="s">
        <v>45</v>
      </c>
      <c r="AC68" s="8" t="s">
        <v>47</v>
      </c>
      <c r="AD68" s="8" t="s">
        <v>46</v>
      </c>
      <c r="AE68" s="8" t="s">
        <v>46</v>
      </c>
    </row>
    <row r="69" customFormat="false" ht="17.9" hidden="false" customHeight="false" outlineLevel="0" collapsed="false">
      <c r="A69" s="7" t="s">
        <v>115</v>
      </c>
      <c r="B69" s="8" t="s">
        <v>45</v>
      </c>
      <c r="C69" s="8" t="s">
        <v>47</v>
      </c>
      <c r="D69" s="8" t="s">
        <v>46</v>
      </c>
      <c r="E69" s="8" t="s">
        <v>47</v>
      </c>
      <c r="F69" s="8" t="s">
        <v>47</v>
      </c>
      <c r="G69" s="8" t="s">
        <v>48</v>
      </c>
      <c r="H69" s="8" t="s">
        <v>47</v>
      </c>
      <c r="I69" s="8" t="s">
        <v>45</v>
      </c>
      <c r="J69" s="8" t="s">
        <v>48</v>
      </c>
      <c r="K69" s="8" t="s">
        <v>48</v>
      </c>
      <c r="L69" s="8" t="s">
        <v>47</v>
      </c>
      <c r="M69" s="8" t="s">
        <v>46</v>
      </c>
      <c r="N69" s="8" t="s">
        <v>45</v>
      </c>
      <c r="O69" s="8" t="s">
        <v>45</v>
      </c>
      <c r="P69" s="8" t="s">
        <v>45</v>
      </c>
      <c r="Q69" s="8" t="s">
        <v>48</v>
      </c>
      <c r="R69" s="8" t="s">
        <v>48</v>
      </c>
      <c r="S69" s="8" t="s">
        <v>48</v>
      </c>
      <c r="T69" s="8" t="s">
        <v>46</v>
      </c>
      <c r="U69" s="8" t="s">
        <v>45</v>
      </c>
      <c r="V69" s="8" t="s">
        <v>46</v>
      </c>
      <c r="W69" s="8" t="s">
        <v>46</v>
      </c>
      <c r="X69" s="8" t="s">
        <v>47</v>
      </c>
      <c r="Y69" s="8" t="s">
        <v>47</v>
      </c>
      <c r="Z69" s="8" t="s">
        <v>45</v>
      </c>
      <c r="AA69" s="8" t="s">
        <v>47</v>
      </c>
      <c r="AB69" s="8" t="s">
        <v>46</v>
      </c>
      <c r="AC69" s="8" t="s">
        <v>46</v>
      </c>
      <c r="AD69" s="8" t="s">
        <v>48</v>
      </c>
      <c r="AE69" s="8" t="s">
        <v>45</v>
      </c>
    </row>
    <row r="70" customFormat="false" ht="17.9" hidden="false" customHeight="false" outlineLevel="0" collapsed="false">
      <c r="A70" s="7" t="s">
        <v>116</v>
      </c>
      <c r="B70" s="8" t="s">
        <v>45</v>
      </c>
      <c r="C70" s="8" t="s">
        <v>46</v>
      </c>
      <c r="D70" s="8" t="s">
        <v>47</v>
      </c>
      <c r="E70" s="8" t="s">
        <v>47</v>
      </c>
      <c r="F70" s="8" t="s">
        <v>47</v>
      </c>
      <c r="G70" s="8" t="s">
        <v>45</v>
      </c>
      <c r="H70" s="8" t="s">
        <v>46</v>
      </c>
      <c r="I70" s="8" t="s">
        <v>46</v>
      </c>
      <c r="J70" s="8" t="s">
        <v>48</v>
      </c>
      <c r="K70" s="8" t="s">
        <v>47</v>
      </c>
      <c r="L70" s="8" t="s">
        <v>48</v>
      </c>
      <c r="M70" s="8" t="s">
        <v>46</v>
      </c>
      <c r="N70" s="8" t="s">
        <v>48</v>
      </c>
      <c r="O70" s="8" t="s">
        <v>45</v>
      </c>
      <c r="P70" s="8" t="s">
        <v>48</v>
      </c>
      <c r="Q70" s="8" t="s">
        <v>47</v>
      </c>
      <c r="R70" s="8" t="s">
        <v>48</v>
      </c>
      <c r="S70" s="8" t="s">
        <v>45</v>
      </c>
      <c r="T70" s="8" t="s">
        <v>45</v>
      </c>
      <c r="U70" s="8" t="s">
        <v>45</v>
      </c>
      <c r="V70" s="8" t="s">
        <v>46</v>
      </c>
      <c r="W70" s="8" t="s">
        <v>48</v>
      </c>
      <c r="X70" s="8" t="s">
        <v>48</v>
      </c>
      <c r="Y70" s="8" t="s">
        <v>47</v>
      </c>
      <c r="Z70" s="8" t="s">
        <v>47</v>
      </c>
      <c r="AA70" s="8" t="s">
        <v>45</v>
      </c>
      <c r="AB70" s="8" t="s">
        <v>46</v>
      </c>
      <c r="AC70" s="8" t="s">
        <v>47</v>
      </c>
      <c r="AD70" s="8" t="s">
        <v>46</v>
      </c>
      <c r="AE70" s="8" t="s">
        <v>45</v>
      </c>
    </row>
    <row r="71" customFormat="false" ht="17.9" hidden="false" customHeight="false" outlineLevel="0" collapsed="false">
      <c r="A71" s="7" t="s">
        <v>117</v>
      </c>
      <c r="B71" s="8" t="s">
        <v>48</v>
      </c>
      <c r="C71" s="8" t="s">
        <v>46</v>
      </c>
      <c r="D71" s="8" t="s">
        <v>45</v>
      </c>
      <c r="E71" s="8" t="s">
        <v>45</v>
      </c>
      <c r="F71" s="8" t="s">
        <v>48</v>
      </c>
      <c r="G71" s="8" t="s">
        <v>47</v>
      </c>
      <c r="H71" s="8" t="s">
        <v>47</v>
      </c>
      <c r="I71" s="8" t="s">
        <v>48</v>
      </c>
      <c r="J71" s="8" t="s">
        <v>48</v>
      </c>
      <c r="K71" s="8" t="s">
        <v>48</v>
      </c>
      <c r="L71" s="8" t="s">
        <v>47</v>
      </c>
      <c r="M71" s="8" t="s">
        <v>46</v>
      </c>
      <c r="N71" s="8" t="s">
        <v>48</v>
      </c>
      <c r="O71" s="8" t="s">
        <v>47</v>
      </c>
      <c r="P71" s="8" t="s">
        <v>47</v>
      </c>
      <c r="Q71" s="8" t="s">
        <v>48</v>
      </c>
      <c r="R71" s="8" t="s">
        <v>48</v>
      </c>
      <c r="S71" s="8" t="s">
        <v>46</v>
      </c>
      <c r="T71" s="8" t="s">
        <v>46</v>
      </c>
      <c r="U71" s="8" t="s">
        <v>46</v>
      </c>
      <c r="V71" s="8" t="s">
        <v>46</v>
      </c>
      <c r="W71" s="8" t="s">
        <v>47</v>
      </c>
      <c r="X71" s="8" t="s">
        <v>47</v>
      </c>
      <c r="Y71" s="8" t="s">
        <v>45</v>
      </c>
      <c r="Z71" s="8" t="s">
        <v>47</v>
      </c>
      <c r="AA71" s="8" t="s">
        <v>48</v>
      </c>
      <c r="AB71" s="8" t="s">
        <v>47</v>
      </c>
      <c r="AC71" s="8" t="s">
        <v>48</v>
      </c>
      <c r="AD71" s="8" t="s">
        <v>45</v>
      </c>
      <c r="AE71" s="8" t="s">
        <v>45</v>
      </c>
    </row>
    <row r="72" customFormat="false" ht="17.9" hidden="false" customHeight="false" outlineLevel="0" collapsed="false">
      <c r="A72" s="7" t="s">
        <v>118</v>
      </c>
      <c r="B72" s="8" t="s">
        <v>45</v>
      </c>
      <c r="C72" s="8" t="s">
        <v>46</v>
      </c>
      <c r="D72" s="8" t="s">
        <v>45</v>
      </c>
      <c r="E72" s="8" t="s">
        <v>47</v>
      </c>
      <c r="F72" s="8" t="s">
        <v>47</v>
      </c>
      <c r="G72" s="8" t="s">
        <v>45</v>
      </c>
      <c r="H72" s="8" t="s">
        <v>46</v>
      </c>
      <c r="I72" s="8" t="s">
        <v>46</v>
      </c>
      <c r="J72" s="8" t="s">
        <v>48</v>
      </c>
      <c r="K72" s="8" t="s">
        <v>48</v>
      </c>
      <c r="L72" s="8" t="s">
        <v>48</v>
      </c>
      <c r="M72" s="8" t="s">
        <v>46</v>
      </c>
      <c r="N72" s="8" t="s">
        <v>48</v>
      </c>
      <c r="O72" s="8" t="s">
        <v>45</v>
      </c>
      <c r="P72" s="8" t="s">
        <v>46</v>
      </c>
      <c r="Q72" s="8" t="s">
        <v>48</v>
      </c>
      <c r="R72" s="8" t="s">
        <v>48</v>
      </c>
      <c r="S72" s="8" t="s">
        <v>47</v>
      </c>
      <c r="T72" s="8" t="s">
        <v>48</v>
      </c>
      <c r="U72" s="8" t="s">
        <v>46</v>
      </c>
      <c r="V72" s="8" t="s">
        <v>46</v>
      </c>
      <c r="W72" s="8" t="s">
        <v>48</v>
      </c>
      <c r="X72" s="8" t="s">
        <v>46</v>
      </c>
      <c r="Y72" s="8" t="s">
        <v>48</v>
      </c>
      <c r="Z72" s="8" t="s">
        <v>47</v>
      </c>
      <c r="AA72" s="8" t="s">
        <v>45</v>
      </c>
      <c r="AB72" s="8" t="s">
        <v>47</v>
      </c>
      <c r="AC72" s="8" t="s">
        <v>46</v>
      </c>
      <c r="AD72" s="8" t="s">
        <v>46</v>
      </c>
      <c r="AE72" s="8" t="s">
        <v>46</v>
      </c>
    </row>
    <row r="73" customFormat="false" ht="17.9" hidden="false" customHeight="false" outlineLevel="0" collapsed="false">
      <c r="A73" s="7" t="s">
        <v>119</v>
      </c>
      <c r="B73" s="8" t="s">
        <v>47</v>
      </c>
      <c r="C73" s="8" t="s">
        <v>48</v>
      </c>
      <c r="D73" s="8" t="s">
        <v>46</v>
      </c>
      <c r="E73" s="8" t="s">
        <v>45</v>
      </c>
      <c r="F73" s="8" t="s">
        <v>46</v>
      </c>
      <c r="G73" s="8" t="s">
        <v>46</v>
      </c>
      <c r="H73" s="8" t="s">
        <v>47</v>
      </c>
      <c r="I73" s="8" t="s">
        <v>46</v>
      </c>
      <c r="J73" s="8" t="s">
        <v>48</v>
      </c>
      <c r="K73" s="8" t="s">
        <v>45</v>
      </c>
      <c r="L73" s="8" t="s">
        <v>47</v>
      </c>
      <c r="M73" s="8" t="s">
        <v>46</v>
      </c>
      <c r="N73" s="8" t="s">
        <v>48</v>
      </c>
      <c r="O73" s="8" t="s">
        <v>45</v>
      </c>
      <c r="P73" s="8" t="s">
        <v>46</v>
      </c>
      <c r="Q73" s="8" t="s">
        <v>48</v>
      </c>
      <c r="R73" s="8" t="s">
        <v>47</v>
      </c>
      <c r="S73" s="8" t="s">
        <v>46</v>
      </c>
      <c r="T73" s="8" t="s">
        <v>46</v>
      </c>
      <c r="U73" s="8" t="s">
        <v>47</v>
      </c>
      <c r="V73" s="8" t="s">
        <v>48</v>
      </c>
      <c r="W73" s="8" t="s">
        <v>45</v>
      </c>
      <c r="X73" s="8" t="s">
        <v>48</v>
      </c>
      <c r="Y73" s="8" t="s">
        <v>48</v>
      </c>
      <c r="Z73" s="8" t="s">
        <v>47</v>
      </c>
      <c r="AA73" s="8" t="s">
        <v>45</v>
      </c>
      <c r="AB73" s="8" t="s">
        <v>47</v>
      </c>
      <c r="AC73" s="8" t="s">
        <v>47</v>
      </c>
      <c r="AD73" s="8" t="s">
        <v>45</v>
      </c>
      <c r="AE73" s="8" t="s">
        <v>48</v>
      </c>
    </row>
    <row r="74" customFormat="false" ht="17.9" hidden="false" customHeight="false" outlineLevel="0" collapsed="false">
      <c r="A74" s="7" t="s">
        <v>120</v>
      </c>
      <c r="B74" s="8" t="s">
        <v>47</v>
      </c>
      <c r="C74" s="8" t="s">
        <v>46</v>
      </c>
      <c r="D74" s="8" t="s">
        <v>47</v>
      </c>
      <c r="E74" s="8" t="s">
        <v>45</v>
      </c>
      <c r="F74" s="8" t="s">
        <v>48</v>
      </c>
      <c r="G74" s="8" t="s">
        <v>47</v>
      </c>
      <c r="H74" s="8" t="s">
        <v>47</v>
      </c>
      <c r="I74" s="8" t="s">
        <v>48</v>
      </c>
      <c r="J74" s="8" t="s">
        <v>48</v>
      </c>
      <c r="K74" s="8" t="s">
        <v>47</v>
      </c>
      <c r="L74" s="8" t="s">
        <v>48</v>
      </c>
      <c r="M74" s="8" t="s">
        <v>46</v>
      </c>
      <c r="N74" s="8" t="s">
        <v>45</v>
      </c>
      <c r="O74" s="8" t="s">
        <v>45</v>
      </c>
      <c r="P74" s="8" t="s">
        <v>46</v>
      </c>
      <c r="Q74" s="8" t="s">
        <v>48</v>
      </c>
      <c r="R74" s="8" t="s">
        <v>48</v>
      </c>
      <c r="S74" s="8" t="s">
        <v>46</v>
      </c>
      <c r="T74" s="8" t="s">
        <v>46</v>
      </c>
      <c r="U74" s="8" t="s">
        <v>45</v>
      </c>
      <c r="V74" s="8" t="s">
        <v>46</v>
      </c>
      <c r="W74" s="8" t="s">
        <v>45</v>
      </c>
      <c r="X74" s="8" t="s">
        <v>47</v>
      </c>
      <c r="Y74" s="8" t="s">
        <v>48</v>
      </c>
      <c r="Z74" s="8" t="s">
        <v>47</v>
      </c>
      <c r="AA74" s="8" t="s">
        <v>47</v>
      </c>
      <c r="AB74" s="8" t="s">
        <v>47</v>
      </c>
      <c r="AC74" s="8" t="s">
        <v>47</v>
      </c>
      <c r="AD74" s="8" t="s">
        <v>48</v>
      </c>
      <c r="AE74" s="8" t="s">
        <v>48</v>
      </c>
    </row>
    <row r="75" customFormat="false" ht="17.9" hidden="false" customHeight="false" outlineLevel="0" collapsed="false">
      <c r="A75" s="7" t="s">
        <v>121</v>
      </c>
      <c r="B75" s="8" t="s">
        <v>45</v>
      </c>
      <c r="C75" s="8" t="s">
        <v>46</v>
      </c>
      <c r="D75" s="8" t="s">
        <v>45</v>
      </c>
      <c r="E75" s="8" t="s">
        <v>47</v>
      </c>
      <c r="F75" s="8" t="s">
        <v>47</v>
      </c>
      <c r="G75" s="8" t="s">
        <v>47</v>
      </c>
      <c r="H75" s="8" t="s">
        <v>46</v>
      </c>
      <c r="I75" s="8" t="s">
        <v>46</v>
      </c>
      <c r="J75" s="8" t="s">
        <v>48</v>
      </c>
      <c r="K75" s="8" t="s">
        <v>45</v>
      </c>
      <c r="L75" s="8" t="s">
        <v>48</v>
      </c>
      <c r="M75" s="8" t="s">
        <v>46</v>
      </c>
      <c r="N75" s="8" t="s">
        <v>47</v>
      </c>
      <c r="O75" s="8" t="s">
        <v>45</v>
      </c>
      <c r="P75" s="8" t="s">
        <v>48</v>
      </c>
      <c r="Q75" s="8" t="s">
        <v>48</v>
      </c>
      <c r="R75" s="8" t="s">
        <v>48</v>
      </c>
      <c r="S75" s="8" t="s">
        <v>46</v>
      </c>
      <c r="T75" s="8" t="s">
        <v>45</v>
      </c>
      <c r="U75" s="8" t="s">
        <v>45</v>
      </c>
      <c r="V75" s="8" t="s">
        <v>46</v>
      </c>
      <c r="W75" s="8" t="s">
        <v>46</v>
      </c>
      <c r="X75" s="8" t="s">
        <v>46</v>
      </c>
      <c r="Y75" s="8" t="s">
        <v>47</v>
      </c>
      <c r="Z75" s="8" t="s">
        <v>46</v>
      </c>
      <c r="AA75" s="8" t="s">
        <v>47</v>
      </c>
      <c r="AB75" s="8" t="s">
        <v>47</v>
      </c>
      <c r="AC75" s="8" t="s">
        <v>47</v>
      </c>
      <c r="AD75" s="8" t="s">
        <v>46</v>
      </c>
      <c r="AE75" s="8" t="s">
        <v>46</v>
      </c>
    </row>
    <row r="76" customFormat="false" ht="17.9" hidden="false" customHeight="false" outlineLevel="0" collapsed="false">
      <c r="A76" s="7" t="s">
        <v>122</v>
      </c>
      <c r="B76" s="8" t="s">
        <v>46</v>
      </c>
      <c r="C76" s="8" t="s">
        <v>45</v>
      </c>
      <c r="D76" s="8" t="s">
        <v>46</v>
      </c>
      <c r="E76" s="8" t="s">
        <v>47</v>
      </c>
      <c r="F76" s="8" t="s">
        <v>47</v>
      </c>
      <c r="G76" s="8" t="s">
        <v>46</v>
      </c>
      <c r="H76" s="8" t="s">
        <v>45</v>
      </c>
      <c r="I76" s="8" t="s">
        <v>46</v>
      </c>
      <c r="J76" s="8" t="s">
        <v>48</v>
      </c>
      <c r="K76" s="8" t="s">
        <v>48</v>
      </c>
      <c r="L76" s="8" t="s">
        <v>47</v>
      </c>
      <c r="M76" s="8" t="s">
        <v>46</v>
      </c>
      <c r="N76" s="8" t="s">
        <v>48</v>
      </c>
      <c r="O76" s="8" t="s">
        <v>46</v>
      </c>
      <c r="P76" s="8" t="s">
        <v>45</v>
      </c>
      <c r="Q76" s="8" t="s">
        <v>47</v>
      </c>
      <c r="R76" s="8" t="s">
        <v>48</v>
      </c>
      <c r="S76" s="8" t="s">
        <v>45</v>
      </c>
      <c r="T76" s="8" t="s">
        <v>45</v>
      </c>
      <c r="U76" s="8" t="s">
        <v>46</v>
      </c>
      <c r="V76" s="8" t="s">
        <v>48</v>
      </c>
      <c r="W76" s="8" t="s">
        <v>45</v>
      </c>
      <c r="X76" s="8" t="s">
        <v>46</v>
      </c>
      <c r="Y76" s="8" t="s">
        <v>46</v>
      </c>
      <c r="Z76" s="8" t="s">
        <v>46</v>
      </c>
      <c r="AA76" s="8" t="s">
        <v>48</v>
      </c>
      <c r="AB76" s="8" t="s">
        <v>47</v>
      </c>
      <c r="AC76" s="8" t="s">
        <v>46</v>
      </c>
      <c r="AD76" s="8" t="s">
        <v>45</v>
      </c>
      <c r="AE76" s="8" t="s">
        <v>45</v>
      </c>
    </row>
    <row r="77" customFormat="false" ht="17.9" hidden="false" customHeight="false" outlineLevel="0" collapsed="false">
      <c r="A77" s="7" t="s">
        <v>123</v>
      </c>
      <c r="B77" s="8" t="s">
        <v>45</v>
      </c>
      <c r="C77" s="8" t="s">
        <v>46</v>
      </c>
      <c r="D77" s="8" t="s">
        <v>45</v>
      </c>
      <c r="E77" s="8" t="s">
        <v>47</v>
      </c>
      <c r="F77" s="8" t="s">
        <v>47</v>
      </c>
      <c r="G77" s="8" t="s">
        <v>47</v>
      </c>
      <c r="H77" s="8" t="s">
        <v>46</v>
      </c>
      <c r="I77" s="8" t="s">
        <v>46</v>
      </c>
      <c r="J77" s="8" t="s">
        <v>48</v>
      </c>
      <c r="K77" s="8" t="s">
        <v>45</v>
      </c>
      <c r="L77" s="8" t="s">
        <v>48</v>
      </c>
      <c r="M77" s="8" t="s">
        <v>46</v>
      </c>
      <c r="N77" s="8" t="s">
        <v>47</v>
      </c>
      <c r="O77" s="8" t="s">
        <v>45</v>
      </c>
      <c r="P77" s="8" t="s">
        <v>48</v>
      </c>
      <c r="Q77" s="8" t="s">
        <v>48</v>
      </c>
      <c r="R77" s="8" t="s">
        <v>48</v>
      </c>
      <c r="S77" s="8" t="s">
        <v>45</v>
      </c>
      <c r="T77" s="8" t="s">
        <v>45</v>
      </c>
      <c r="U77" s="8" t="s">
        <v>45</v>
      </c>
      <c r="V77" s="8" t="s">
        <v>46</v>
      </c>
      <c r="W77" s="8" t="s">
        <v>46</v>
      </c>
      <c r="X77" s="8" t="s">
        <v>46</v>
      </c>
      <c r="Y77" s="8" t="s">
        <v>47</v>
      </c>
      <c r="Z77" s="8" t="s">
        <v>46</v>
      </c>
      <c r="AA77" s="8" t="s">
        <v>47</v>
      </c>
      <c r="AB77" s="8" t="s">
        <v>47</v>
      </c>
      <c r="AC77" s="8" t="s">
        <v>47</v>
      </c>
      <c r="AD77" s="8" t="s">
        <v>46</v>
      </c>
      <c r="AE77" s="8" t="s">
        <v>46</v>
      </c>
    </row>
    <row r="78" customFormat="false" ht="17.9" hidden="false" customHeight="false" outlineLevel="0" collapsed="false">
      <c r="A78" s="7" t="s">
        <v>124</v>
      </c>
      <c r="B78" s="8" t="s">
        <v>45</v>
      </c>
      <c r="C78" s="8" t="s">
        <v>46</v>
      </c>
      <c r="D78" s="8" t="s">
        <v>48</v>
      </c>
      <c r="E78" s="8" t="s">
        <v>47</v>
      </c>
      <c r="F78" s="8" t="s">
        <v>47</v>
      </c>
      <c r="G78" s="8" t="s">
        <v>45</v>
      </c>
      <c r="H78" s="8" t="s">
        <v>47</v>
      </c>
      <c r="I78" s="8" t="s">
        <v>46</v>
      </c>
      <c r="J78" s="8" t="s">
        <v>48</v>
      </c>
      <c r="K78" s="8" t="s">
        <v>48</v>
      </c>
      <c r="L78" s="8" t="s">
        <v>48</v>
      </c>
      <c r="M78" s="8" t="s">
        <v>46</v>
      </c>
      <c r="N78" s="8" t="s">
        <v>45</v>
      </c>
      <c r="O78" s="8" t="s">
        <v>46</v>
      </c>
      <c r="P78" s="8" t="s">
        <v>48</v>
      </c>
      <c r="Q78" s="8" t="s">
        <v>48</v>
      </c>
      <c r="R78" s="8" t="s">
        <v>48</v>
      </c>
      <c r="S78" s="8" t="s">
        <v>45</v>
      </c>
      <c r="T78" s="8" t="s">
        <v>45</v>
      </c>
      <c r="U78" s="8" t="s">
        <v>45</v>
      </c>
      <c r="V78" s="8" t="s">
        <v>46</v>
      </c>
      <c r="W78" s="8" t="s">
        <v>46</v>
      </c>
      <c r="X78" s="8" t="s">
        <v>47</v>
      </c>
      <c r="Y78" s="8" t="s">
        <v>47</v>
      </c>
      <c r="Z78" s="8" t="s">
        <v>46</v>
      </c>
      <c r="AA78" s="8" t="s">
        <v>48</v>
      </c>
      <c r="AB78" s="8" t="s">
        <v>47</v>
      </c>
      <c r="AC78" s="8" t="s">
        <v>48</v>
      </c>
      <c r="AD78" s="8" t="s">
        <v>46</v>
      </c>
      <c r="AE78" s="8" t="s">
        <v>47</v>
      </c>
    </row>
    <row r="79" customFormat="false" ht="17.9" hidden="false" customHeight="false" outlineLevel="0" collapsed="false">
      <c r="A79" s="7" t="s">
        <v>125</v>
      </c>
      <c r="B79" s="8" t="s">
        <v>45</v>
      </c>
      <c r="C79" s="8" t="s">
        <v>45</v>
      </c>
      <c r="D79" s="8" t="s">
        <v>47</v>
      </c>
      <c r="E79" s="8" t="s">
        <v>47</v>
      </c>
      <c r="F79" s="8" t="s">
        <v>47</v>
      </c>
      <c r="G79" s="8" t="s">
        <v>48</v>
      </c>
      <c r="H79" s="8" t="s">
        <v>46</v>
      </c>
      <c r="I79" s="8" t="s">
        <v>47</v>
      </c>
      <c r="J79" s="8" t="s">
        <v>48</v>
      </c>
      <c r="K79" s="8" t="s">
        <v>46</v>
      </c>
      <c r="L79" s="8" t="s">
        <v>48</v>
      </c>
      <c r="M79" s="8" t="s">
        <v>46</v>
      </c>
      <c r="N79" s="8" t="s">
        <v>45</v>
      </c>
      <c r="O79" s="8" t="s">
        <v>48</v>
      </c>
      <c r="P79" s="8" t="s">
        <v>48</v>
      </c>
      <c r="Q79" s="8" t="s">
        <v>48</v>
      </c>
      <c r="R79" s="8" t="s">
        <v>48</v>
      </c>
      <c r="S79" s="8" t="s">
        <v>48</v>
      </c>
      <c r="T79" s="8" t="s">
        <v>45</v>
      </c>
      <c r="U79" s="8" t="s">
        <v>47</v>
      </c>
      <c r="V79" s="8" t="s">
        <v>46</v>
      </c>
      <c r="W79" s="8" t="s">
        <v>46</v>
      </c>
      <c r="X79" s="8" t="s">
        <v>48</v>
      </c>
      <c r="Y79" s="8" t="s">
        <v>46</v>
      </c>
      <c r="Z79" s="8" t="s">
        <v>45</v>
      </c>
      <c r="AA79" s="8" t="s">
        <v>46</v>
      </c>
      <c r="AB79" s="8" t="s">
        <v>46</v>
      </c>
      <c r="AC79" s="8" t="s">
        <v>48</v>
      </c>
      <c r="AD79" s="8" t="s">
        <v>47</v>
      </c>
      <c r="AE79" s="8" t="s">
        <v>45</v>
      </c>
    </row>
    <row r="80" customFormat="false" ht="17.9" hidden="false" customHeight="false" outlineLevel="0" collapsed="false">
      <c r="A80" s="7" t="s">
        <v>126</v>
      </c>
      <c r="B80" s="8" t="s">
        <v>48</v>
      </c>
      <c r="C80" s="8" t="s">
        <v>47</v>
      </c>
      <c r="D80" s="8" t="s">
        <v>47</v>
      </c>
      <c r="E80" s="8" t="s">
        <v>47</v>
      </c>
      <c r="F80" s="8" t="s">
        <v>48</v>
      </c>
      <c r="G80" s="8" t="s">
        <v>48</v>
      </c>
      <c r="H80" s="8" t="s">
        <v>47</v>
      </c>
      <c r="I80" s="8" t="s">
        <v>46</v>
      </c>
      <c r="J80" s="8" t="s">
        <v>46</v>
      </c>
      <c r="K80" s="8" t="s">
        <v>47</v>
      </c>
      <c r="L80" s="8" t="s">
        <v>47</v>
      </c>
      <c r="M80" s="8" t="s">
        <v>46</v>
      </c>
      <c r="N80" s="8" t="s">
        <v>46</v>
      </c>
      <c r="O80" s="8" t="s">
        <v>45</v>
      </c>
      <c r="P80" s="8" t="s">
        <v>48</v>
      </c>
      <c r="Q80" s="8" t="s">
        <v>48</v>
      </c>
      <c r="R80" s="8" t="s">
        <v>48</v>
      </c>
      <c r="S80" s="8" t="s">
        <v>45</v>
      </c>
      <c r="T80" s="8" t="s">
        <v>45</v>
      </c>
      <c r="U80" s="8" t="s">
        <v>47</v>
      </c>
      <c r="V80" s="8" t="s">
        <v>48</v>
      </c>
      <c r="W80" s="8" t="s">
        <v>46</v>
      </c>
      <c r="X80" s="8" t="s">
        <v>47</v>
      </c>
      <c r="Y80" s="8" t="s">
        <v>45</v>
      </c>
      <c r="Z80" s="8" t="s">
        <v>46</v>
      </c>
      <c r="AA80" s="8" t="s">
        <v>47</v>
      </c>
      <c r="AB80" s="8" t="s">
        <v>47</v>
      </c>
      <c r="AC80" s="8" t="s">
        <v>45</v>
      </c>
      <c r="AD80" s="8" t="s">
        <v>46</v>
      </c>
      <c r="AE80" s="8" t="s">
        <v>46</v>
      </c>
    </row>
    <row r="81" customFormat="false" ht="17.9" hidden="false" customHeight="false" outlineLevel="0" collapsed="false">
      <c r="A81" s="7" t="s">
        <v>127</v>
      </c>
      <c r="B81" s="8" t="s">
        <v>45</v>
      </c>
      <c r="C81" s="8" t="s">
        <v>48</v>
      </c>
      <c r="D81" s="8" t="s">
        <v>45</v>
      </c>
      <c r="E81" s="8" t="s">
        <v>47</v>
      </c>
      <c r="F81" s="8" t="s">
        <v>47</v>
      </c>
      <c r="G81" s="8" t="s">
        <v>47</v>
      </c>
      <c r="H81" s="8" t="s">
        <v>46</v>
      </c>
      <c r="I81" s="8" t="s">
        <v>46</v>
      </c>
      <c r="J81" s="8" t="s">
        <v>48</v>
      </c>
      <c r="K81" s="8" t="s">
        <v>45</v>
      </c>
      <c r="L81" s="8" t="s">
        <v>48</v>
      </c>
      <c r="M81" s="8" t="s">
        <v>46</v>
      </c>
      <c r="N81" s="8" t="s">
        <v>48</v>
      </c>
      <c r="O81" s="8" t="s">
        <v>45</v>
      </c>
      <c r="P81" s="8" t="s">
        <v>48</v>
      </c>
      <c r="Q81" s="8" t="s">
        <v>48</v>
      </c>
      <c r="R81" s="8" t="s">
        <v>48</v>
      </c>
      <c r="S81" s="8" t="s">
        <v>48</v>
      </c>
      <c r="T81" s="8" t="s">
        <v>45</v>
      </c>
      <c r="U81" s="8" t="s">
        <v>45</v>
      </c>
      <c r="V81" s="8" t="s">
        <v>46</v>
      </c>
      <c r="W81" s="8" t="s">
        <v>46</v>
      </c>
      <c r="X81" s="8" t="s">
        <v>46</v>
      </c>
      <c r="Y81" s="8" t="s">
        <v>47</v>
      </c>
      <c r="Z81" s="8" t="s">
        <v>46</v>
      </c>
      <c r="AA81" s="8" t="s">
        <v>47</v>
      </c>
      <c r="AB81" s="8" t="s">
        <v>46</v>
      </c>
      <c r="AC81" s="8" t="s">
        <v>47</v>
      </c>
      <c r="AD81" s="8" t="s">
        <v>46</v>
      </c>
      <c r="AE81" s="8" t="s">
        <v>46</v>
      </c>
    </row>
    <row r="82" customFormat="false" ht="17.9" hidden="false" customHeight="false" outlineLevel="0" collapsed="false">
      <c r="A82" s="7" t="s">
        <v>128</v>
      </c>
      <c r="B82" s="8" t="s">
        <v>46</v>
      </c>
      <c r="C82" s="8" t="s">
        <v>45</v>
      </c>
      <c r="D82" s="8" t="s">
        <v>45</v>
      </c>
      <c r="E82" s="8" t="s">
        <v>45</v>
      </c>
      <c r="F82" s="8" t="s">
        <v>48</v>
      </c>
      <c r="G82" s="8" t="s">
        <v>46</v>
      </c>
      <c r="H82" s="8" t="s">
        <v>45</v>
      </c>
      <c r="I82" s="8" t="s">
        <v>45</v>
      </c>
      <c r="J82" s="8" t="s">
        <v>48</v>
      </c>
      <c r="K82" s="8" t="s">
        <v>47</v>
      </c>
      <c r="L82" s="8" t="s">
        <v>47</v>
      </c>
      <c r="M82" s="8" t="s">
        <v>46</v>
      </c>
      <c r="N82" s="8" t="s">
        <v>46</v>
      </c>
      <c r="O82" s="8" t="s">
        <v>47</v>
      </c>
      <c r="P82" s="8" t="s">
        <v>47</v>
      </c>
      <c r="Q82" s="8" t="s">
        <v>48</v>
      </c>
      <c r="R82" s="8" t="s">
        <v>48</v>
      </c>
      <c r="S82" s="8" t="s">
        <v>48</v>
      </c>
      <c r="T82" s="8" t="s">
        <v>45</v>
      </c>
      <c r="U82" s="8" t="s">
        <v>48</v>
      </c>
      <c r="V82" s="8" t="s">
        <v>46</v>
      </c>
      <c r="W82" s="8" t="s">
        <v>48</v>
      </c>
      <c r="X82" s="8" t="s">
        <v>46</v>
      </c>
      <c r="Y82" s="8" t="s">
        <v>47</v>
      </c>
      <c r="Z82" s="8" t="s">
        <v>48</v>
      </c>
      <c r="AA82" s="8" t="s">
        <v>48</v>
      </c>
      <c r="AB82" s="8" t="s">
        <v>48</v>
      </c>
      <c r="AC82" s="8" t="s">
        <v>46</v>
      </c>
      <c r="AD82" s="8" t="s">
        <v>46</v>
      </c>
      <c r="AE82" s="8" t="s">
        <v>48</v>
      </c>
    </row>
    <row r="83" customFormat="false" ht="17.9" hidden="false" customHeight="false" outlineLevel="0" collapsed="false">
      <c r="A83" s="7" t="s">
        <v>129</v>
      </c>
      <c r="B83" s="8" t="s">
        <v>45</v>
      </c>
      <c r="C83" s="8" t="s">
        <v>46</v>
      </c>
      <c r="D83" s="8" t="s">
        <v>48</v>
      </c>
      <c r="E83" s="8" t="s">
        <v>47</v>
      </c>
      <c r="F83" s="8" t="s">
        <v>47</v>
      </c>
      <c r="G83" s="8" t="s">
        <v>47</v>
      </c>
      <c r="H83" s="8" t="s">
        <v>46</v>
      </c>
      <c r="I83" s="8" t="s">
        <v>46</v>
      </c>
      <c r="J83" s="8" t="s">
        <v>48</v>
      </c>
      <c r="K83" s="8" t="s">
        <v>45</v>
      </c>
      <c r="L83" s="8" t="s">
        <v>48</v>
      </c>
      <c r="M83" s="8" t="s">
        <v>46</v>
      </c>
      <c r="N83" s="8" t="s">
        <v>47</v>
      </c>
      <c r="O83" s="8" t="s">
        <v>45</v>
      </c>
      <c r="P83" s="8" t="s">
        <v>48</v>
      </c>
      <c r="Q83" s="8" t="s">
        <v>48</v>
      </c>
      <c r="R83" s="8" t="s">
        <v>48</v>
      </c>
      <c r="S83" s="8" t="s">
        <v>45</v>
      </c>
      <c r="T83" s="8" t="s">
        <v>45</v>
      </c>
      <c r="U83" s="8" t="s">
        <v>45</v>
      </c>
      <c r="V83" s="8" t="s">
        <v>46</v>
      </c>
      <c r="W83" s="8" t="s">
        <v>46</v>
      </c>
      <c r="X83" s="8" t="s">
        <v>46</v>
      </c>
      <c r="Y83" s="8" t="s">
        <v>47</v>
      </c>
      <c r="Z83" s="8" t="s">
        <v>46</v>
      </c>
      <c r="AA83" s="8" t="s">
        <v>47</v>
      </c>
      <c r="AB83" s="8" t="s">
        <v>46</v>
      </c>
      <c r="AC83" s="8" t="s">
        <v>47</v>
      </c>
      <c r="AD83" s="8" t="s">
        <v>46</v>
      </c>
      <c r="AE83" s="8" t="s">
        <v>46</v>
      </c>
    </row>
    <row r="84" customFormat="false" ht="17.9" hidden="false" customHeight="false" outlineLevel="0" collapsed="false">
      <c r="A84" s="7" t="s">
        <v>130</v>
      </c>
      <c r="B84" s="8" t="s">
        <v>45</v>
      </c>
      <c r="C84" s="8" t="s">
        <v>45</v>
      </c>
      <c r="D84" s="8" t="s">
        <v>47</v>
      </c>
      <c r="E84" s="8" t="s">
        <v>45</v>
      </c>
      <c r="F84" s="8" t="s">
        <v>45</v>
      </c>
      <c r="G84" s="8" t="s">
        <v>47</v>
      </c>
      <c r="H84" s="8" t="s">
        <v>47</v>
      </c>
      <c r="I84" s="8" t="s">
        <v>45</v>
      </c>
      <c r="J84" s="8" t="s">
        <v>48</v>
      </c>
      <c r="K84" s="8" t="s">
        <v>45</v>
      </c>
      <c r="L84" s="8" t="s">
        <v>48</v>
      </c>
      <c r="M84" s="8" t="s">
        <v>46</v>
      </c>
      <c r="N84" s="8" t="s">
        <v>46</v>
      </c>
      <c r="O84" s="8" t="s">
        <v>45</v>
      </c>
      <c r="P84" s="8" t="s">
        <v>45</v>
      </c>
      <c r="Q84" s="8" t="s">
        <v>48</v>
      </c>
      <c r="R84" s="8" t="s">
        <v>48</v>
      </c>
      <c r="S84" s="8" t="s">
        <v>46</v>
      </c>
      <c r="T84" s="8" t="s">
        <v>45</v>
      </c>
      <c r="U84" s="8" t="s">
        <v>47</v>
      </c>
      <c r="V84" s="8" t="s">
        <v>45</v>
      </c>
      <c r="W84" s="8" t="s">
        <v>47</v>
      </c>
      <c r="X84" s="8" t="s">
        <v>47</v>
      </c>
      <c r="Y84" s="8" t="s">
        <v>46</v>
      </c>
      <c r="Z84" s="8" t="s">
        <v>48</v>
      </c>
      <c r="AA84" s="8" t="s">
        <v>48</v>
      </c>
      <c r="AB84" s="8" t="s">
        <v>47</v>
      </c>
      <c r="AC84" s="8" t="s">
        <v>46</v>
      </c>
      <c r="AD84" s="8" t="s">
        <v>45</v>
      </c>
      <c r="AE84" s="8" t="s">
        <v>48</v>
      </c>
    </row>
    <row r="85" customFormat="false" ht="17.9" hidden="false" customHeight="false" outlineLevel="0" collapsed="false">
      <c r="A85" s="7" t="s">
        <v>131</v>
      </c>
      <c r="B85" s="8" t="s">
        <v>47</v>
      </c>
      <c r="C85" s="8" t="s">
        <v>47</v>
      </c>
      <c r="D85" s="8" t="s">
        <v>47</v>
      </c>
      <c r="E85" s="8" t="s">
        <v>47</v>
      </c>
      <c r="F85" s="8" t="s">
        <v>46</v>
      </c>
      <c r="G85" s="8" t="s">
        <v>45</v>
      </c>
      <c r="H85" s="8" t="s">
        <v>46</v>
      </c>
      <c r="I85" s="8" t="s">
        <v>47</v>
      </c>
      <c r="J85" s="8" t="s">
        <v>48</v>
      </c>
      <c r="K85" s="8" t="s">
        <v>48</v>
      </c>
      <c r="L85" s="8" t="s">
        <v>48</v>
      </c>
      <c r="M85" s="8" t="s">
        <v>46</v>
      </c>
      <c r="N85" s="8" t="s">
        <v>47</v>
      </c>
      <c r="O85" s="8" t="s">
        <v>48</v>
      </c>
      <c r="P85" s="8" t="s">
        <v>48</v>
      </c>
      <c r="Q85" s="8" t="s">
        <v>48</v>
      </c>
      <c r="R85" s="8" t="s">
        <v>48</v>
      </c>
      <c r="S85" s="8" t="s">
        <v>48</v>
      </c>
      <c r="T85" s="8" t="s">
        <v>45</v>
      </c>
      <c r="U85" s="8" t="s">
        <v>48</v>
      </c>
      <c r="V85" s="8" t="s">
        <v>46</v>
      </c>
      <c r="W85" s="8" t="s">
        <v>45</v>
      </c>
      <c r="X85" s="8" t="s">
        <v>46</v>
      </c>
      <c r="Y85" s="8" t="s">
        <v>46</v>
      </c>
      <c r="Z85" s="8" t="s">
        <v>46</v>
      </c>
      <c r="AA85" s="8" t="s">
        <v>47</v>
      </c>
      <c r="AB85" s="8" t="s">
        <v>48</v>
      </c>
      <c r="AC85" s="8" t="s">
        <v>48</v>
      </c>
      <c r="AD85" s="8" t="s">
        <v>46</v>
      </c>
      <c r="AE85" s="8" t="s">
        <v>46</v>
      </c>
    </row>
    <row r="86" customFormat="false" ht="17.9" hidden="false" customHeight="false" outlineLevel="0" collapsed="false">
      <c r="A86" s="7" t="s">
        <v>132</v>
      </c>
      <c r="B86" s="8" t="s">
        <v>45</v>
      </c>
      <c r="C86" s="8" t="s">
        <v>47</v>
      </c>
      <c r="D86" s="8" t="s">
        <v>45</v>
      </c>
      <c r="E86" s="8" t="s">
        <v>47</v>
      </c>
      <c r="F86" s="8" t="s">
        <v>47</v>
      </c>
      <c r="G86" s="8" t="s">
        <v>45</v>
      </c>
      <c r="H86" s="8" t="s">
        <v>46</v>
      </c>
      <c r="I86" s="8" t="s">
        <v>46</v>
      </c>
      <c r="J86" s="8" t="s">
        <v>48</v>
      </c>
      <c r="K86" s="8" t="s">
        <v>45</v>
      </c>
      <c r="L86" s="8" t="s">
        <v>48</v>
      </c>
      <c r="M86" s="8" t="s">
        <v>46</v>
      </c>
      <c r="N86" s="8" t="s">
        <v>46</v>
      </c>
      <c r="O86" s="8" t="s">
        <v>45</v>
      </c>
      <c r="P86" s="8" t="s">
        <v>46</v>
      </c>
      <c r="Q86" s="8" t="s">
        <v>48</v>
      </c>
      <c r="R86" s="8" t="s">
        <v>48</v>
      </c>
      <c r="S86" s="8" t="s">
        <v>45</v>
      </c>
      <c r="T86" s="8" t="s">
        <v>45</v>
      </c>
      <c r="U86" s="8" t="s">
        <v>47</v>
      </c>
      <c r="V86" s="8" t="s">
        <v>46</v>
      </c>
      <c r="W86" s="8" t="s">
        <v>46</v>
      </c>
      <c r="X86" s="8" t="s">
        <v>48</v>
      </c>
      <c r="Y86" s="8" t="s">
        <v>48</v>
      </c>
      <c r="Z86" s="8" t="s">
        <v>46</v>
      </c>
      <c r="AA86" s="8" t="s">
        <v>46</v>
      </c>
      <c r="AB86" s="8" t="s">
        <v>46</v>
      </c>
      <c r="AC86" s="8" t="s">
        <v>47</v>
      </c>
      <c r="AD86" s="8" t="s">
        <v>47</v>
      </c>
      <c r="AE86" s="8" t="s">
        <v>48</v>
      </c>
    </row>
    <row r="87" customFormat="false" ht="17.9" hidden="false" customHeight="false" outlineLevel="0" collapsed="false">
      <c r="A87" s="7" t="s">
        <v>133</v>
      </c>
      <c r="B87" s="8" t="s">
        <v>46</v>
      </c>
      <c r="C87" s="8" t="s">
        <v>46</v>
      </c>
      <c r="D87" s="8" t="s">
        <v>46</v>
      </c>
      <c r="E87" s="8" t="s">
        <v>47</v>
      </c>
      <c r="F87" s="8" t="s">
        <v>46</v>
      </c>
      <c r="G87" s="8" t="s">
        <v>47</v>
      </c>
      <c r="H87" s="8" t="s">
        <v>46</v>
      </c>
      <c r="I87" s="8" t="s">
        <v>46</v>
      </c>
      <c r="J87" s="8" t="s">
        <v>48</v>
      </c>
      <c r="K87" s="8" t="s">
        <v>47</v>
      </c>
      <c r="L87" s="8" t="s">
        <v>46</v>
      </c>
      <c r="M87" s="8" t="s">
        <v>46</v>
      </c>
      <c r="N87" s="8" t="s">
        <v>47</v>
      </c>
      <c r="O87" s="8" t="s">
        <v>47</v>
      </c>
      <c r="P87" s="8" t="s">
        <v>48</v>
      </c>
      <c r="Q87" s="8" t="s">
        <v>48</v>
      </c>
      <c r="R87" s="8" t="s">
        <v>48</v>
      </c>
      <c r="S87" s="8" t="s">
        <v>46</v>
      </c>
      <c r="T87" s="8" t="s">
        <v>47</v>
      </c>
      <c r="U87" s="8" t="s">
        <v>45</v>
      </c>
      <c r="V87" s="8" t="s">
        <v>47</v>
      </c>
      <c r="W87" s="8" t="s">
        <v>45</v>
      </c>
      <c r="X87" s="8" t="s">
        <v>47</v>
      </c>
      <c r="Y87" s="8" t="s">
        <v>48</v>
      </c>
      <c r="Z87" s="8" t="s">
        <v>46</v>
      </c>
      <c r="AA87" s="8" t="s">
        <v>46</v>
      </c>
      <c r="AB87" s="8" t="s">
        <v>47</v>
      </c>
      <c r="AC87" s="8" t="s">
        <v>47</v>
      </c>
      <c r="AD87" s="8" t="s">
        <v>47</v>
      </c>
      <c r="AE87" s="8" t="s">
        <v>46</v>
      </c>
    </row>
    <row r="88" customFormat="false" ht="17.9" hidden="false" customHeight="false" outlineLevel="0" collapsed="false">
      <c r="A88" s="7" t="s">
        <v>134</v>
      </c>
      <c r="B88" s="8" t="s">
        <v>48</v>
      </c>
      <c r="C88" s="8" t="s">
        <v>46</v>
      </c>
      <c r="D88" s="8" t="s">
        <v>48</v>
      </c>
      <c r="E88" s="8" t="s">
        <v>46</v>
      </c>
      <c r="F88" s="8" t="s">
        <v>48</v>
      </c>
      <c r="G88" s="8" t="s">
        <v>46</v>
      </c>
      <c r="H88" s="8" t="s">
        <v>47</v>
      </c>
      <c r="I88" s="8" t="s">
        <v>48</v>
      </c>
      <c r="J88" s="8" t="s">
        <v>48</v>
      </c>
      <c r="K88" s="8" t="s">
        <v>47</v>
      </c>
      <c r="L88" s="8" t="s">
        <v>46</v>
      </c>
      <c r="M88" s="8" t="s">
        <v>46</v>
      </c>
      <c r="N88" s="8" t="s">
        <v>48</v>
      </c>
      <c r="O88" s="8" t="s">
        <v>47</v>
      </c>
      <c r="P88" s="8" t="s">
        <v>46</v>
      </c>
      <c r="Q88" s="8" t="s">
        <v>48</v>
      </c>
      <c r="R88" s="8" t="s">
        <v>45</v>
      </c>
      <c r="S88" s="8" t="s">
        <v>45</v>
      </c>
      <c r="T88" s="8" t="s">
        <v>45</v>
      </c>
      <c r="U88" s="8" t="s">
        <v>48</v>
      </c>
      <c r="V88" s="8" t="s">
        <v>48</v>
      </c>
      <c r="W88" s="8" t="s">
        <v>46</v>
      </c>
      <c r="X88" s="8" t="s">
        <v>47</v>
      </c>
      <c r="Y88" s="8" t="s">
        <v>46</v>
      </c>
      <c r="Z88" s="8" t="s">
        <v>46</v>
      </c>
      <c r="AA88" s="8" t="s">
        <v>46</v>
      </c>
      <c r="AB88" s="8" t="s">
        <v>47</v>
      </c>
      <c r="AC88" s="8" t="s">
        <v>45</v>
      </c>
      <c r="AD88" s="8" t="s">
        <v>45</v>
      </c>
      <c r="AE88" s="8" t="s">
        <v>46</v>
      </c>
    </row>
    <row r="89" customFormat="false" ht="17.9" hidden="false" customHeight="false" outlineLevel="0" collapsed="false">
      <c r="A89" s="7" t="s">
        <v>135</v>
      </c>
      <c r="B89" s="8" t="s">
        <v>47</v>
      </c>
      <c r="C89" s="8" t="s">
        <v>47</v>
      </c>
      <c r="D89" s="8" t="s">
        <v>45</v>
      </c>
      <c r="E89" s="8" t="s">
        <v>45</v>
      </c>
      <c r="F89" s="8" t="s">
        <v>47</v>
      </c>
      <c r="G89" s="8" t="s">
        <v>48</v>
      </c>
      <c r="H89" s="8" t="s">
        <v>47</v>
      </c>
      <c r="I89" s="8" t="s">
        <v>48</v>
      </c>
      <c r="J89" s="8" t="s">
        <v>47</v>
      </c>
      <c r="K89" s="8" t="s">
        <v>48</v>
      </c>
      <c r="L89" s="8" t="s">
        <v>47</v>
      </c>
      <c r="M89" s="8" t="s">
        <v>46</v>
      </c>
      <c r="N89" s="8" t="s">
        <v>46</v>
      </c>
      <c r="O89" s="8" t="s">
        <v>47</v>
      </c>
      <c r="P89" s="8" t="s">
        <v>48</v>
      </c>
      <c r="Q89" s="8" t="s">
        <v>48</v>
      </c>
      <c r="R89" s="8" t="s">
        <v>48</v>
      </c>
      <c r="S89" s="8" t="s">
        <v>45</v>
      </c>
      <c r="T89" s="8" t="s">
        <v>46</v>
      </c>
      <c r="U89" s="8" t="s">
        <v>45</v>
      </c>
      <c r="V89" s="8" t="s">
        <v>48</v>
      </c>
      <c r="W89" s="8" t="s">
        <v>45</v>
      </c>
      <c r="X89" s="8" t="s">
        <v>47</v>
      </c>
      <c r="Y89" s="8" t="s">
        <v>47</v>
      </c>
      <c r="Z89" s="8" t="s">
        <v>47</v>
      </c>
      <c r="AA89" s="8" t="s">
        <v>48</v>
      </c>
      <c r="AB89" s="8" t="s">
        <v>47</v>
      </c>
      <c r="AC89" s="8" t="s">
        <v>45</v>
      </c>
      <c r="AD89" s="8" t="s">
        <v>46</v>
      </c>
      <c r="AE89" s="8" t="s">
        <v>46</v>
      </c>
    </row>
    <row r="90" customFormat="false" ht="17.9" hidden="false" customHeight="false" outlineLevel="0" collapsed="false">
      <c r="A90" s="7" t="s">
        <v>136</v>
      </c>
      <c r="B90" s="8" t="s">
        <v>47</v>
      </c>
      <c r="C90" s="8" t="s">
        <v>46</v>
      </c>
      <c r="D90" s="8" t="s">
        <v>45</v>
      </c>
      <c r="E90" s="8" t="s">
        <v>45</v>
      </c>
      <c r="F90" s="8" t="s">
        <v>48</v>
      </c>
      <c r="G90" s="8" t="s">
        <v>47</v>
      </c>
      <c r="H90" s="8" t="s">
        <v>46</v>
      </c>
      <c r="I90" s="8" t="s">
        <v>46</v>
      </c>
      <c r="J90" s="8" t="s">
        <v>48</v>
      </c>
      <c r="K90" s="8" t="s">
        <v>48</v>
      </c>
      <c r="L90" s="8" t="s">
        <v>47</v>
      </c>
      <c r="M90" s="8" t="s">
        <v>46</v>
      </c>
      <c r="N90" s="8" t="s">
        <v>47</v>
      </c>
      <c r="O90" s="8" t="s">
        <v>45</v>
      </c>
      <c r="P90" s="8" t="s">
        <v>46</v>
      </c>
      <c r="Q90" s="8" t="s">
        <v>48</v>
      </c>
      <c r="R90" s="8" t="s">
        <v>48</v>
      </c>
      <c r="S90" s="8" t="s">
        <v>47</v>
      </c>
      <c r="T90" s="8" t="s">
        <v>46</v>
      </c>
      <c r="U90" s="8" t="s">
        <v>45</v>
      </c>
      <c r="V90" s="8" t="s">
        <v>46</v>
      </c>
      <c r="W90" s="8" t="s">
        <v>48</v>
      </c>
      <c r="X90" s="8" t="s">
        <v>48</v>
      </c>
      <c r="Y90" s="8" t="s">
        <v>45</v>
      </c>
      <c r="Z90" s="8" t="s">
        <v>45</v>
      </c>
      <c r="AA90" s="8" t="s">
        <v>48</v>
      </c>
      <c r="AB90" s="8" t="s">
        <v>47</v>
      </c>
      <c r="AC90" s="8" t="s">
        <v>47</v>
      </c>
      <c r="AD90" s="8" t="s">
        <v>48</v>
      </c>
      <c r="AE90" s="8" t="s">
        <v>45</v>
      </c>
    </row>
    <row r="91" customFormat="false" ht="17.9" hidden="false" customHeight="false" outlineLevel="0" collapsed="false">
      <c r="A91" s="7" t="s">
        <v>137</v>
      </c>
      <c r="B91" s="8" t="s">
        <v>48</v>
      </c>
      <c r="C91" s="8" t="s">
        <v>46</v>
      </c>
      <c r="D91" s="8" t="s">
        <v>48</v>
      </c>
      <c r="E91" s="8" t="s">
        <v>47</v>
      </c>
      <c r="F91" s="8" t="s">
        <v>45</v>
      </c>
      <c r="G91" s="8" t="s">
        <v>48</v>
      </c>
      <c r="H91" s="8" t="s">
        <v>47</v>
      </c>
      <c r="I91" s="8" t="s">
        <v>48</v>
      </c>
      <c r="J91" s="8" t="s">
        <v>48</v>
      </c>
      <c r="K91" s="8" t="s">
        <v>45</v>
      </c>
      <c r="L91" s="8" t="s">
        <v>47</v>
      </c>
      <c r="M91" s="8" t="s">
        <v>46</v>
      </c>
      <c r="N91" s="8" t="s">
        <v>48</v>
      </c>
      <c r="O91" s="8" t="s">
        <v>45</v>
      </c>
      <c r="P91" s="8" t="s">
        <v>48</v>
      </c>
      <c r="Q91" s="8" t="s">
        <v>47</v>
      </c>
      <c r="R91" s="8" t="s">
        <v>48</v>
      </c>
      <c r="S91" s="8" t="s">
        <v>47</v>
      </c>
      <c r="T91" s="8" t="s">
        <v>45</v>
      </c>
      <c r="U91" s="8" t="s">
        <v>47</v>
      </c>
      <c r="V91" s="8" t="s">
        <v>46</v>
      </c>
      <c r="W91" s="8" t="s">
        <v>47</v>
      </c>
      <c r="X91" s="8" t="s">
        <v>48</v>
      </c>
      <c r="Y91" s="8" t="s">
        <v>48</v>
      </c>
      <c r="Z91" s="8" t="s">
        <v>46</v>
      </c>
      <c r="AA91" s="8" t="s">
        <v>45</v>
      </c>
      <c r="AB91" s="8" t="s">
        <v>47</v>
      </c>
      <c r="AC91" s="8" t="s">
        <v>45</v>
      </c>
      <c r="AD91" s="8" t="s">
        <v>46</v>
      </c>
      <c r="AE91" s="8" t="s">
        <v>45</v>
      </c>
    </row>
    <row r="92" customFormat="false" ht="17.9" hidden="false" customHeight="false" outlineLevel="0" collapsed="false">
      <c r="A92" s="7" t="s">
        <v>138</v>
      </c>
      <c r="B92" s="8" t="s">
        <v>45</v>
      </c>
      <c r="C92" s="8" t="s">
        <v>46</v>
      </c>
      <c r="D92" s="8" t="s">
        <v>48</v>
      </c>
      <c r="E92" s="8" t="s">
        <v>47</v>
      </c>
      <c r="F92" s="8" t="s">
        <v>47</v>
      </c>
      <c r="G92" s="8" t="s">
        <v>46</v>
      </c>
      <c r="H92" s="8" t="s">
        <v>47</v>
      </c>
      <c r="I92" s="8" t="s">
        <v>46</v>
      </c>
      <c r="J92" s="8" t="s">
        <v>48</v>
      </c>
      <c r="K92" s="8" t="s">
        <v>45</v>
      </c>
      <c r="L92" s="8" t="s">
        <v>48</v>
      </c>
      <c r="M92" s="8" t="s">
        <v>46</v>
      </c>
      <c r="N92" s="8" t="s">
        <v>48</v>
      </c>
      <c r="O92" s="8" t="s">
        <v>45</v>
      </c>
      <c r="P92" s="8" t="s">
        <v>46</v>
      </c>
      <c r="Q92" s="8" t="s">
        <v>48</v>
      </c>
      <c r="R92" s="8" t="s">
        <v>48</v>
      </c>
      <c r="S92" s="8" t="s">
        <v>47</v>
      </c>
      <c r="T92" s="8" t="s">
        <v>48</v>
      </c>
      <c r="U92" s="8" t="s">
        <v>46</v>
      </c>
      <c r="V92" s="8" t="s">
        <v>46</v>
      </c>
      <c r="W92" s="8" t="s">
        <v>46</v>
      </c>
      <c r="X92" s="8" t="s">
        <v>48</v>
      </c>
      <c r="Y92" s="8" t="s">
        <v>47</v>
      </c>
      <c r="Z92" s="8" t="s">
        <v>46</v>
      </c>
      <c r="AA92" s="8" t="s">
        <v>47</v>
      </c>
      <c r="AB92" s="8" t="s">
        <v>46</v>
      </c>
      <c r="AC92" s="8" t="s">
        <v>45</v>
      </c>
      <c r="AD92" s="8" t="s">
        <v>46</v>
      </c>
      <c r="AE92" s="8" t="s">
        <v>46</v>
      </c>
    </row>
    <row r="93" customFormat="false" ht="17.9" hidden="false" customHeight="false" outlineLevel="0" collapsed="false">
      <c r="A93" s="7" t="s">
        <v>139</v>
      </c>
      <c r="B93" s="8" t="s">
        <v>48</v>
      </c>
      <c r="C93" s="8" t="s">
        <v>46</v>
      </c>
      <c r="D93" s="8" t="s">
        <v>45</v>
      </c>
      <c r="E93" s="8" t="s">
        <v>47</v>
      </c>
      <c r="F93" s="8" t="s">
        <v>48</v>
      </c>
      <c r="G93" s="8" t="s">
        <v>48</v>
      </c>
      <c r="H93" s="8" t="s">
        <v>46</v>
      </c>
      <c r="I93" s="8" t="s">
        <v>46</v>
      </c>
      <c r="J93" s="8" t="s">
        <v>48</v>
      </c>
      <c r="K93" s="8" t="s">
        <v>47</v>
      </c>
      <c r="L93" s="8" t="s">
        <v>47</v>
      </c>
      <c r="M93" s="8" t="s">
        <v>46</v>
      </c>
      <c r="N93" s="8" t="s">
        <v>47</v>
      </c>
      <c r="O93" s="8" t="s">
        <v>45</v>
      </c>
      <c r="P93" s="8" t="s">
        <v>48</v>
      </c>
      <c r="Q93" s="8" t="s">
        <v>48</v>
      </c>
      <c r="R93" s="8" t="s">
        <v>48</v>
      </c>
      <c r="S93" s="8" t="s">
        <v>45</v>
      </c>
      <c r="T93" s="8" t="s">
        <v>45</v>
      </c>
      <c r="U93" s="8" t="s">
        <v>46</v>
      </c>
      <c r="V93" s="8" t="s">
        <v>46</v>
      </c>
      <c r="W93" s="8" t="s">
        <v>48</v>
      </c>
      <c r="X93" s="8" t="s">
        <v>46</v>
      </c>
      <c r="Y93" s="8" t="s">
        <v>47</v>
      </c>
      <c r="Z93" s="8" t="s">
        <v>46</v>
      </c>
      <c r="AA93" s="8" t="s">
        <v>47</v>
      </c>
      <c r="AB93" s="8" t="s">
        <v>46</v>
      </c>
      <c r="AC93" s="8" t="s">
        <v>47</v>
      </c>
      <c r="AD93" s="8" t="s">
        <v>46</v>
      </c>
      <c r="AE93" s="8" t="s">
        <v>46</v>
      </c>
    </row>
    <row r="94" customFormat="false" ht="17.9" hidden="false" customHeight="false" outlineLevel="0" collapsed="false">
      <c r="A94" s="7" t="s">
        <v>140</v>
      </c>
      <c r="B94" s="8" t="s">
        <v>47</v>
      </c>
      <c r="C94" s="8" t="s">
        <v>47</v>
      </c>
      <c r="D94" s="8" t="s">
        <v>45</v>
      </c>
      <c r="E94" s="8" t="s">
        <v>47</v>
      </c>
      <c r="F94" s="8" t="s">
        <v>46</v>
      </c>
      <c r="G94" s="8" t="s">
        <v>45</v>
      </c>
      <c r="H94" s="8" t="s">
        <v>47</v>
      </c>
      <c r="I94" s="8" t="s">
        <v>45</v>
      </c>
      <c r="J94" s="8" t="s">
        <v>48</v>
      </c>
      <c r="K94" s="8" t="s">
        <v>46</v>
      </c>
      <c r="L94" s="8" t="s">
        <v>48</v>
      </c>
      <c r="M94" s="8" t="s">
        <v>48</v>
      </c>
      <c r="N94" s="8" t="s">
        <v>47</v>
      </c>
      <c r="O94" s="8" t="s">
        <v>47</v>
      </c>
      <c r="P94" s="8" t="s">
        <v>45</v>
      </c>
      <c r="Q94" s="8" t="s">
        <v>45</v>
      </c>
      <c r="R94" s="8" t="s">
        <v>46</v>
      </c>
      <c r="S94" s="8" t="s">
        <v>45</v>
      </c>
      <c r="T94" s="8" t="s">
        <v>47</v>
      </c>
      <c r="U94" s="8" t="s">
        <v>46</v>
      </c>
      <c r="V94" s="8" t="s">
        <v>45</v>
      </c>
      <c r="W94" s="8" t="s">
        <v>47</v>
      </c>
      <c r="X94" s="8" t="s">
        <v>47</v>
      </c>
      <c r="Y94" s="8" t="s">
        <v>48</v>
      </c>
      <c r="Z94" s="8" t="s">
        <v>47</v>
      </c>
      <c r="AA94" s="8" t="s">
        <v>48</v>
      </c>
      <c r="AB94" s="8" t="s">
        <v>48</v>
      </c>
      <c r="AC94" s="8" t="s">
        <v>45</v>
      </c>
      <c r="AD94" s="8" t="s">
        <v>48</v>
      </c>
      <c r="AE94" s="8" t="s">
        <v>45</v>
      </c>
    </row>
    <row r="95" customFormat="false" ht="17.9" hidden="false" customHeight="false" outlineLevel="0" collapsed="false">
      <c r="A95" s="7" t="s">
        <v>141</v>
      </c>
      <c r="B95" s="8" t="s">
        <v>48</v>
      </c>
      <c r="C95" s="8" t="s">
        <v>46</v>
      </c>
      <c r="D95" s="8" t="s">
        <v>47</v>
      </c>
      <c r="E95" s="8" t="s">
        <v>48</v>
      </c>
      <c r="F95" s="8" t="s">
        <v>48</v>
      </c>
      <c r="G95" s="8" t="s">
        <v>48</v>
      </c>
      <c r="H95" s="8" t="s">
        <v>47</v>
      </c>
      <c r="I95" s="8" t="s">
        <v>48</v>
      </c>
      <c r="J95" s="8" t="s">
        <v>48</v>
      </c>
      <c r="K95" s="8" t="s">
        <v>46</v>
      </c>
      <c r="L95" s="8" t="s">
        <v>48</v>
      </c>
      <c r="M95" s="8" t="s">
        <v>46</v>
      </c>
      <c r="N95" s="8" t="s">
        <v>45</v>
      </c>
      <c r="O95" s="8" t="s">
        <v>48</v>
      </c>
      <c r="P95" s="8" t="s">
        <v>46</v>
      </c>
      <c r="Q95" s="8" t="s">
        <v>46</v>
      </c>
      <c r="R95" s="8" t="s">
        <v>48</v>
      </c>
      <c r="S95" s="8" t="s">
        <v>47</v>
      </c>
      <c r="T95" s="8" t="s">
        <v>46</v>
      </c>
      <c r="U95" s="8" t="s">
        <v>48</v>
      </c>
      <c r="V95" s="8" t="s">
        <v>48</v>
      </c>
      <c r="W95" s="8" t="s">
        <v>48</v>
      </c>
      <c r="X95" s="8" t="s">
        <v>47</v>
      </c>
      <c r="Y95" s="8" t="s">
        <v>47</v>
      </c>
      <c r="Z95" s="8" t="s">
        <v>48</v>
      </c>
      <c r="AA95" s="8" t="s">
        <v>45</v>
      </c>
      <c r="AB95" s="8" t="s">
        <v>46</v>
      </c>
      <c r="AC95" s="8" t="s">
        <v>45</v>
      </c>
      <c r="AD95" s="8" t="s">
        <v>48</v>
      </c>
      <c r="AE95" s="8" t="s">
        <v>45</v>
      </c>
    </row>
    <row r="96" customFormat="false" ht="17.9" hidden="false" customHeight="false" outlineLevel="0" collapsed="false">
      <c r="A96" s="7" t="s">
        <v>142</v>
      </c>
      <c r="B96" s="8" t="s">
        <v>47</v>
      </c>
      <c r="C96" s="8" t="s">
        <v>48</v>
      </c>
      <c r="D96" s="8" t="s">
        <v>48</v>
      </c>
      <c r="E96" s="8" t="s">
        <v>47</v>
      </c>
      <c r="F96" s="8" t="s">
        <v>47</v>
      </c>
      <c r="G96" s="8" t="s">
        <v>45</v>
      </c>
      <c r="H96" s="8" t="s">
        <v>46</v>
      </c>
      <c r="I96" s="8" t="s">
        <v>48</v>
      </c>
      <c r="J96" s="8" t="s">
        <v>47</v>
      </c>
      <c r="K96" s="8" t="s">
        <v>47</v>
      </c>
      <c r="L96" s="8" t="s">
        <v>46</v>
      </c>
      <c r="M96" s="8" t="s">
        <v>48</v>
      </c>
      <c r="N96" s="8" t="s">
        <v>45</v>
      </c>
      <c r="O96" s="8" t="s">
        <v>48</v>
      </c>
      <c r="P96" s="8" t="s">
        <v>45</v>
      </c>
      <c r="Q96" s="8" t="s">
        <v>45</v>
      </c>
      <c r="R96" s="8" t="s">
        <v>46</v>
      </c>
      <c r="S96" s="8" t="s">
        <v>45</v>
      </c>
      <c r="T96" s="8" t="s">
        <v>45</v>
      </c>
      <c r="U96" s="8" t="s">
        <v>47</v>
      </c>
      <c r="V96" s="8" t="s">
        <v>45</v>
      </c>
      <c r="W96" s="8" t="s">
        <v>45</v>
      </c>
      <c r="X96" s="8" t="s">
        <v>48</v>
      </c>
      <c r="Y96" s="8" t="s">
        <v>48</v>
      </c>
      <c r="Z96" s="8" t="s">
        <v>47</v>
      </c>
      <c r="AA96" s="8" t="s">
        <v>48</v>
      </c>
      <c r="AB96" s="8" t="s">
        <v>47</v>
      </c>
      <c r="AC96" s="8" t="s">
        <v>46</v>
      </c>
      <c r="AD96" s="8" t="s">
        <v>46</v>
      </c>
      <c r="AE96" s="8" t="s">
        <v>47</v>
      </c>
    </row>
    <row r="97" customFormat="false" ht="17.9" hidden="false" customHeight="false" outlineLevel="0" collapsed="false">
      <c r="A97" s="7" t="s">
        <v>143</v>
      </c>
      <c r="B97" s="8" t="s">
        <v>46</v>
      </c>
      <c r="C97" s="8" t="s">
        <v>48</v>
      </c>
      <c r="D97" s="8" t="s">
        <v>46</v>
      </c>
      <c r="E97" s="8" t="s">
        <v>47</v>
      </c>
      <c r="F97" s="8" t="s">
        <v>46</v>
      </c>
      <c r="G97" s="8" t="s">
        <v>48</v>
      </c>
      <c r="H97" s="8" t="s">
        <v>46</v>
      </c>
      <c r="I97" s="8" t="s">
        <v>46</v>
      </c>
      <c r="J97" s="8" t="s">
        <v>48</v>
      </c>
      <c r="K97" s="8" t="s">
        <v>45</v>
      </c>
      <c r="L97" s="8" t="s">
        <v>48</v>
      </c>
      <c r="M97" s="8" t="s">
        <v>46</v>
      </c>
      <c r="N97" s="8" t="s">
        <v>45</v>
      </c>
      <c r="O97" s="8" t="s">
        <v>48</v>
      </c>
      <c r="P97" s="8" t="s">
        <v>46</v>
      </c>
      <c r="Q97" s="8" t="s">
        <v>48</v>
      </c>
      <c r="R97" s="8" t="s">
        <v>48</v>
      </c>
      <c r="S97" s="8" t="s">
        <v>46</v>
      </c>
      <c r="T97" s="8" t="s">
        <v>48</v>
      </c>
      <c r="U97" s="8" t="s">
        <v>45</v>
      </c>
      <c r="V97" s="8" t="s">
        <v>47</v>
      </c>
      <c r="W97" s="8" t="s">
        <v>45</v>
      </c>
      <c r="X97" s="8" t="s">
        <v>46</v>
      </c>
      <c r="Y97" s="8" t="s">
        <v>47</v>
      </c>
      <c r="Z97" s="8" t="s">
        <v>46</v>
      </c>
      <c r="AA97" s="8" t="s">
        <v>45</v>
      </c>
      <c r="AB97" s="8" t="s">
        <v>47</v>
      </c>
      <c r="AC97" s="8" t="s">
        <v>46</v>
      </c>
      <c r="AD97" s="8" t="s">
        <v>48</v>
      </c>
      <c r="AE97" s="8" t="s">
        <v>46</v>
      </c>
    </row>
    <row r="98" customFormat="false" ht="17.9" hidden="false" customHeight="false" outlineLevel="0" collapsed="false">
      <c r="A98" s="7" t="s">
        <v>144</v>
      </c>
      <c r="B98" s="8" t="s">
        <v>45</v>
      </c>
      <c r="C98" s="8" t="s">
        <v>46</v>
      </c>
      <c r="D98" s="8" t="s">
        <v>45</v>
      </c>
      <c r="E98" s="8" t="s">
        <v>47</v>
      </c>
      <c r="F98" s="8" t="s">
        <v>47</v>
      </c>
      <c r="G98" s="8" t="s">
        <v>47</v>
      </c>
      <c r="H98" s="8" t="s">
        <v>46</v>
      </c>
      <c r="I98" s="8" t="s">
        <v>46</v>
      </c>
      <c r="J98" s="8" t="s">
        <v>48</v>
      </c>
      <c r="K98" s="8" t="s">
        <v>45</v>
      </c>
      <c r="L98" s="8" t="s">
        <v>48</v>
      </c>
      <c r="M98" s="8" t="s">
        <v>46</v>
      </c>
      <c r="N98" s="8" t="s">
        <v>47</v>
      </c>
      <c r="O98" s="8" t="s">
        <v>45</v>
      </c>
      <c r="P98" s="8" t="s">
        <v>46</v>
      </c>
      <c r="Q98" s="8" t="s">
        <v>48</v>
      </c>
      <c r="R98" s="8" t="s">
        <v>48</v>
      </c>
      <c r="S98" s="8" t="s">
        <v>45</v>
      </c>
      <c r="T98" s="8" t="s">
        <v>45</v>
      </c>
      <c r="U98" s="8" t="s">
        <v>45</v>
      </c>
      <c r="V98" s="8" t="s">
        <v>46</v>
      </c>
      <c r="W98" s="8" t="s">
        <v>46</v>
      </c>
      <c r="X98" s="8" t="s">
        <v>46</v>
      </c>
      <c r="Y98" s="8" t="s">
        <v>47</v>
      </c>
      <c r="Z98" s="8" t="s">
        <v>46</v>
      </c>
      <c r="AA98" s="8" t="s">
        <v>47</v>
      </c>
      <c r="AB98" s="8" t="s">
        <v>45</v>
      </c>
      <c r="AC98" s="8" t="s">
        <v>47</v>
      </c>
      <c r="AD98" s="8" t="s">
        <v>46</v>
      </c>
      <c r="AE98" s="8" t="s">
        <v>46</v>
      </c>
    </row>
    <row r="99" customFormat="false" ht="17.9" hidden="false" customHeight="false" outlineLevel="0" collapsed="false">
      <c r="A99" s="7" t="s">
        <v>145</v>
      </c>
      <c r="B99" s="8" t="s">
        <v>46</v>
      </c>
      <c r="C99" s="8" t="s">
        <v>47</v>
      </c>
      <c r="D99" s="8" t="s">
        <v>45</v>
      </c>
      <c r="E99" s="8" t="s">
        <v>47</v>
      </c>
      <c r="F99" s="8" t="s">
        <v>48</v>
      </c>
      <c r="G99" s="8" t="s">
        <v>46</v>
      </c>
      <c r="H99" s="8" t="s">
        <v>46</v>
      </c>
      <c r="I99" s="8" t="s">
        <v>46</v>
      </c>
      <c r="J99" s="8" t="s">
        <v>48</v>
      </c>
      <c r="K99" s="8" t="s">
        <v>47</v>
      </c>
      <c r="L99" s="8" t="s">
        <v>48</v>
      </c>
      <c r="M99" s="8" t="s">
        <v>46</v>
      </c>
      <c r="N99" s="8" t="s">
        <v>48</v>
      </c>
      <c r="O99" s="8" t="s">
        <v>47</v>
      </c>
      <c r="P99" s="8" t="s">
        <v>48</v>
      </c>
      <c r="Q99" s="8" t="s">
        <v>48</v>
      </c>
      <c r="R99" s="8" t="s">
        <v>48</v>
      </c>
      <c r="S99" s="8" t="s">
        <v>47</v>
      </c>
      <c r="T99" s="8" t="s">
        <v>45</v>
      </c>
      <c r="U99" s="8" t="s">
        <v>45</v>
      </c>
      <c r="V99" s="8" t="s">
        <v>48</v>
      </c>
      <c r="W99" s="8" t="s">
        <v>48</v>
      </c>
      <c r="X99" s="8" t="s">
        <v>46</v>
      </c>
      <c r="Y99" s="8" t="s">
        <v>45</v>
      </c>
      <c r="Z99" s="8" t="s">
        <v>47</v>
      </c>
      <c r="AA99" s="8" t="s">
        <v>46</v>
      </c>
      <c r="AB99" s="8" t="s">
        <v>45</v>
      </c>
      <c r="AC99" s="8" t="s">
        <v>47</v>
      </c>
      <c r="AD99" s="8" t="s">
        <v>48</v>
      </c>
      <c r="AE99" s="8" t="s">
        <v>48</v>
      </c>
    </row>
    <row r="100" customFormat="false" ht="17.9" hidden="false" customHeight="false" outlineLevel="0" collapsed="false">
      <c r="A100" s="7" t="s">
        <v>146</v>
      </c>
      <c r="B100" s="8" t="s">
        <v>45</v>
      </c>
      <c r="C100" s="8" t="s">
        <v>48</v>
      </c>
      <c r="D100" s="8" t="s">
        <v>47</v>
      </c>
      <c r="E100" s="8" t="s">
        <v>46</v>
      </c>
      <c r="F100" s="8" t="s">
        <v>48</v>
      </c>
      <c r="G100" s="8" t="s">
        <v>47</v>
      </c>
      <c r="H100" s="8" t="s">
        <v>46</v>
      </c>
      <c r="I100" s="8" t="s">
        <v>45</v>
      </c>
      <c r="J100" s="8" t="s">
        <v>48</v>
      </c>
      <c r="K100" s="8" t="s">
        <v>45</v>
      </c>
      <c r="L100" s="8" t="s">
        <v>48</v>
      </c>
      <c r="M100" s="8" t="s">
        <v>46</v>
      </c>
      <c r="N100" s="8" t="s">
        <v>48</v>
      </c>
      <c r="O100" s="8" t="s">
        <v>45</v>
      </c>
      <c r="P100" s="8" t="s">
        <v>46</v>
      </c>
      <c r="Q100" s="8" t="s">
        <v>48</v>
      </c>
      <c r="R100" s="8" t="s">
        <v>48</v>
      </c>
      <c r="S100" s="8" t="s">
        <v>46</v>
      </c>
      <c r="T100" s="8" t="s">
        <v>48</v>
      </c>
      <c r="U100" s="8" t="s">
        <v>45</v>
      </c>
      <c r="V100" s="8" t="s">
        <v>48</v>
      </c>
      <c r="W100" s="8" t="s">
        <v>47</v>
      </c>
      <c r="X100" s="8" t="s">
        <v>46</v>
      </c>
      <c r="Y100" s="8" t="s">
        <v>46</v>
      </c>
      <c r="Z100" s="8" t="s">
        <v>46</v>
      </c>
      <c r="AA100" s="8" t="s">
        <v>47</v>
      </c>
      <c r="AB100" s="8" t="s">
        <v>46</v>
      </c>
      <c r="AC100" s="8" t="s">
        <v>47</v>
      </c>
      <c r="AD100" s="8" t="s">
        <v>46</v>
      </c>
      <c r="AE100" s="8" t="s">
        <v>46</v>
      </c>
    </row>
    <row r="101" customFormat="false" ht="17.9" hidden="false" customHeight="false" outlineLevel="0" collapsed="false">
      <c r="A101" s="7" t="s">
        <v>147</v>
      </c>
      <c r="B101" s="8" t="s">
        <v>48</v>
      </c>
      <c r="C101" s="8" t="s">
        <v>47</v>
      </c>
      <c r="D101" s="8" t="s">
        <v>45</v>
      </c>
      <c r="E101" s="8" t="s">
        <v>48</v>
      </c>
      <c r="F101" s="8" t="s">
        <v>45</v>
      </c>
      <c r="G101" s="8" t="s">
        <v>48</v>
      </c>
      <c r="H101" s="8" t="s">
        <v>46</v>
      </c>
      <c r="I101" s="8" t="s">
        <v>46</v>
      </c>
      <c r="J101" s="8" t="s">
        <v>48</v>
      </c>
      <c r="K101" s="8" t="s">
        <v>47</v>
      </c>
      <c r="L101" s="8" t="s">
        <v>46</v>
      </c>
      <c r="M101" s="8" t="s">
        <v>46</v>
      </c>
      <c r="N101" s="8" t="s">
        <v>46</v>
      </c>
      <c r="O101" s="8" t="s">
        <v>46</v>
      </c>
      <c r="P101" s="8" t="s">
        <v>45</v>
      </c>
      <c r="Q101" s="8" t="s">
        <v>47</v>
      </c>
      <c r="R101" s="8" t="s">
        <v>48</v>
      </c>
      <c r="S101" s="8" t="s">
        <v>47</v>
      </c>
      <c r="T101" s="8" t="s">
        <v>46</v>
      </c>
      <c r="U101" s="8" t="s">
        <v>45</v>
      </c>
      <c r="V101" s="8" t="s">
        <v>45</v>
      </c>
      <c r="W101" s="8" t="s">
        <v>47</v>
      </c>
      <c r="X101" s="8" t="s">
        <v>48</v>
      </c>
      <c r="Y101" s="8" t="s">
        <v>47</v>
      </c>
      <c r="Z101" s="8" t="s">
        <v>48</v>
      </c>
      <c r="AA101" s="8" t="s">
        <v>48</v>
      </c>
      <c r="AB101" s="8" t="s">
        <v>47</v>
      </c>
      <c r="AC101" s="8" t="s">
        <v>48</v>
      </c>
      <c r="AD101" s="8" t="s">
        <v>45</v>
      </c>
      <c r="AE101" s="8" t="s">
        <v>47</v>
      </c>
    </row>
    <row r="102" customFormat="false" ht="17.9" hidden="false" customHeight="false" outlineLevel="0" collapsed="false">
      <c r="A102" s="7" t="s">
        <v>148</v>
      </c>
      <c r="B102" s="8" t="s">
        <v>48</v>
      </c>
      <c r="C102" s="8" t="s">
        <v>45</v>
      </c>
      <c r="D102" s="8" t="s">
        <v>45</v>
      </c>
      <c r="E102" s="8" t="s">
        <v>46</v>
      </c>
      <c r="F102" s="8" t="s">
        <v>48</v>
      </c>
      <c r="G102" s="8" t="s">
        <v>45</v>
      </c>
      <c r="H102" s="8" t="s">
        <v>47</v>
      </c>
      <c r="I102" s="8" t="s">
        <v>47</v>
      </c>
      <c r="J102" s="8" t="s">
        <v>48</v>
      </c>
      <c r="K102" s="8" t="s">
        <v>45</v>
      </c>
      <c r="L102" s="8" t="s">
        <v>47</v>
      </c>
      <c r="M102" s="8" t="s">
        <v>46</v>
      </c>
      <c r="N102" s="8" t="s">
        <v>47</v>
      </c>
      <c r="O102" s="8" t="s">
        <v>45</v>
      </c>
      <c r="P102" s="8" t="s">
        <v>46</v>
      </c>
      <c r="Q102" s="8" t="s">
        <v>48</v>
      </c>
      <c r="R102" s="8" t="s">
        <v>48</v>
      </c>
      <c r="S102" s="8" t="s">
        <v>46</v>
      </c>
      <c r="T102" s="8" t="s">
        <v>48</v>
      </c>
      <c r="U102" s="8" t="s">
        <v>48</v>
      </c>
      <c r="V102" s="8" t="s">
        <v>48</v>
      </c>
      <c r="W102" s="8" t="s">
        <v>46</v>
      </c>
      <c r="X102" s="8" t="s">
        <v>47</v>
      </c>
      <c r="Y102" s="8" t="s">
        <v>46</v>
      </c>
      <c r="Z102" s="8" t="s">
        <v>45</v>
      </c>
      <c r="AA102" s="8" t="s">
        <v>46</v>
      </c>
      <c r="AB102" s="8" t="s">
        <v>47</v>
      </c>
      <c r="AC102" s="8" t="s">
        <v>45</v>
      </c>
      <c r="AD102" s="8" t="s">
        <v>46</v>
      </c>
      <c r="AE102" s="8" t="s">
        <v>48</v>
      </c>
    </row>
    <row r="103" customFormat="false" ht="17.9" hidden="false" customHeight="false" outlineLevel="0" collapsed="false">
      <c r="A103" s="7" t="s">
        <v>149</v>
      </c>
      <c r="B103" s="8" t="s">
        <v>48</v>
      </c>
      <c r="C103" s="8" t="s">
        <v>45</v>
      </c>
      <c r="D103" s="8" t="s">
        <v>46</v>
      </c>
      <c r="E103" s="8" t="s">
        <v>45</v>
      </c>
      <c r="F103" s="8" t="s">
        <v>48</v>
      </c>
      <c r="G103" s="8" t="s">
        <v>48</v>
      </c>
      <c r="H103" s="8" t="s">
        <v>47</v>
      </c>
      <c r="I103" s="8" t="s">
        <v>45</v>
      </c>
      <c r="J103" s="8" t="s">
        <v>48</v>
      </c>
      <c r="K103" s="8" t="s">
        <v>47</v>
      </c>
      <c r="L103" s="8" t="s">
        <v>47</v>
      </c>
      <c r="M103" s="8" t="s">
        <v>46</v>
      </c>
      <c r="N103" s="8" t="s">
        <v>48</v>
      </c>
      <c r="O103" s="8" t="s">
        <v>46</v>
      </c>
      <c r="P103" s="8" t="s">
        <v>45</v>
      </c>
      <c r="Q103" s="8" t="s">
        <v>46</v>
      </c>
      <c r="R103" s="8" t="s">
        <v>46</v>
      </c>
      <c r="S103" s="8" t="s">
        <v>47</v>
      </c>
      <c r="T103" s="8" t="s">
        <v>45</v>
      </c>
      <c r="U103" s="8" t="s">
        <v>46</v>
      </c>
      <c r="V103" s="8" t="s">
        <v>47</v>
      </c>
      <c r="W103" s="8" t="s">
        <v>48</v>
      </c>
      <c r="X103" s="8" t="s">
        <v>47</v>
      </c>
      <c r="Y103" s="8" t="s">
        <v>47</v>
      </c>
      <c r="Z103" s="8" t="s">
        <v>47</v>
      </c>
      <c r="AA103" s="8" t="s">
        <v>47</v>
      </c>
      <c r="AB103" s="8" t="s">
        <v>46</v>
      </c>
      <c r="AC103" s="8" t="s">
        <v>45</v>
      </c>
      <c r="AD103" s="8" t="s">
        <v>45</v>
      </c>
      <c r="AE103" s="8" t="s">
        <v>48</v>
      </c>
    </row>
    <row r="104" customFormat="false" ht="17.9" hidden="false" customHeight="false" outlineLevel="0" collapsed="false">
      <c r="A104" s="7" t="s">
        <v>150</v>
      </c>
      <c r="B104" s="8" t="s">
        <v>46</v>
      </c>
      <c r="C104" s="8" t="s">
        <v>47</v>
      </c>
      <c r="D104" s="8" t="s">
        <v>48</v>
      </c>
      <c r="E104" s="8" t="s">
        <v>47</v>
      </c>
      <c r="F104" s="8" t="s">
        <v>47</v>
      </c>
      <c r="G104" s="8" t="s">
        <v>45</v>
      </c>
      <c r="H104" s="8" t="s">
        <v>46</v>
      </c>
      <c r="I104" s="8" t="s">
        <v>46</v>
      </c>
      <c r="J104" s="8" t="s">
        <v>48</v>
      </c>
      <c r="K104" s="8" t="s">
        <v>47</v>
      </c>
      <c r="L104" s="8" t="s">
        <v>48</v>
      </c>
      <c r="M104" s="8" t="s">
        <v>46</v>
      </c>
      <c r="N104" s="8" t="s">
        <v>47</v>
      </c>
      <c r="O104" s="8" t="s">
        <v>45</v>
      </c>
      <c r="P104" s="8" t="s">
        <v>46</v>
      </c>
      <c r="Q104" s="8" t="s">
        <v>48</v>
      </c>
      <c r="R104" s="8" t="s">
        <v>48</v>
      </c>
      <c r="S104" s="8" t="s">
        <v>48</v>
      </c>
      <c r="T104" s="8" t="s">
        <v>45</v>
      </c>
      <c r="U104" s="8" t="s">
        <v>45</v>
      </c>
      <c r="V104" s="8" t="s">
        <v>46</v>
      </c>
      <c r="W104" s="8" t="s">
        <v>47</v>
      </c>
      <c r="X104" s="8" t="s">
        <v>46</v>
      </c>
      <c r="Y104" s="8" t="s">
        <v>45</v>
      </c>
      <c r="Z104" s="8" t="s">
        <v>45</v>
      </c>
      <c r="AA104" s="8" t="s">
        <v>46</v>
      </c>
      <c r="AB104" s="8" t="s">
        <v>46</v>
      </c>
      <c r="AC104" s="8" t="s">
        <v>45</v>
      </c>
      <c r="AD104" s="8" t="s">
        <v>46</v>
      </c>
      <c r="AE104" s="8" t="s">
        <v>46</v>
      </c>
    </row>
    <row r="105" customFormat="false" ht="17.9" hidden="false" customHeight="false" outlineLevel="0" collapsed="false">
      <c r="A105" s="7" t="s">
        <v>151</v>
      </c>
      <c r="B105" s="8" t="s">
        <v>45</v>
      </c>
      <c r="C105" s="8" t="s">
        <v>46</v>
      </c>
      <c r="D105" s="8" t="s">
        <v>47</v>
      </c>
      <c r="E105" s="8" t="s">
        <v>47</v>
      </c>
      <c r="F105" s="8" t="s">
        <v>46</v>
      </c>
      <c r="G105" s="8" t="s">
        <v>48</v>
      </c>
      <c r="H105" s="8" t="s">
        <v>46</v>
      </c>
      <c r="I105" s="8" t="s">
        <v>46</v>
      </c>
      <c r="J105" s="8" t="s">
        <v>48</v>
      </c>
      <c r="K105" s="8" t="s">
        <v>45</v>
      </c>
      <c r="L105" s="8" t="s">
        <v>48</v>
      </c>
      <c r="M105" s="8" t="s">
        <v>46</v>
      </c>
      <c r="N105" s="8" t="s">
        <v>47</v>
      </c>
      <c r="O105" s="8" t="s">
        <v>45</v>
      </c>
      <c r="P105" s="8" t="s">
        <v>46</v>
      </c>
      <c r="Q105" s="8" t="s">
        <v>47</v>
      </c>
      <c r="R105" s="8" t="s">
        <v>48</v>
      </c>
      <c r="S105" s="8" t="s">
        <v>47</v>
      </c>
      <c r="T105" s="8" t="s">
        <v>48</v>
      </c>
      <c r="U105" s="8" t="s">
        <v>45</v>
      </c>
      <c r="V105" s="8" t="s">
        <v>46</v>
      </c>
      <c r="W105" s="8" t="s">
        <v>48</v>
      </c>
      <c r="X105" s="8" t="s">
        <v>46</v>
      </c>
      <c r="Y105" s="8" t="s">
        <v>48</v>
      </c>
      <c r="Z105" s="8" t="s">
        <v>46</v>
      </c>
      <c r="AA105" s="8" t="s">
        <v>46</v>
      </c>
      <c r="AB105" s="8" t="s">
        <v>47</v>
      </c>
      <c r="AC105" s="8" t="s">
        <v>47</v>
      </c>
      <c r="AD105" s="8" t="s">
        <v>47</v>
      </c>
      <c r="AE105" s="8" t="s">
        <v>46</v>
      </c>
    </row>
    <row r="106" customFormat="false" ht="17.9" hidden="false" customHeight="false" outlineLevel="0" collapsed="false">
      <c r="A106" s="7" t="s">
        <v>152</v>
      </c>
      <c r="B106" s="8" t="s">
        <v>47</v>
      </c>
      <c r="C106" s="8" t="s">
        <v>47</v>
      </c>
      <c r="D106" s="8" t="s">
        <v>46</v>
      </c>
      <c r="E106" s="8" t="s">
        <v>47</v>
      </c>
      <c r="F106" s="8" t="s">
        <v>47</v>
      </c>
      <c r="G106" s="8" t="s">
        <v>47</v>
      </c>
      <c r="H106" s="8" t="s">
        <v>46</v>
      </c>
      <c r="I106" s="8" t="s">
        <v>46</v>
      </c>
      <c r="J106" s="8" t="s">
        <v>48</v>
      </c>
      <c r="K106" s="8" t="s">
        <v>47</v>
      </c>
      <c r="L106" s="8" t="s">
        <v>45</v>
      </c>
      <c r="M106" s="8" t="s">
        <v>46</v>
      </c>
      <c r="N106" s="8" t="s">
        <v>46</v>
      </c>
      <c r="O106" s="8" t="s">
        <v>45</v>
      </c>
      <c r="P106" s="8" t="s">
        <v>48</v>
      </c>
      <c r="Q106" s="8" t="s">
        <v>48</v>
      </c>
      <c r="R106" s="8" t="s">
        <v>48</v>
      </c>
      <c r="S106" s="8" t="s">
        <v>47</v>
      </c>
      <c r="T106" s="8" t="s">
        <v>48</v>
      </c>
      <c r="U106" s="8" t="s">
        <v>45</v>
      </c>
      <c r="V106" s="8" t="s">
        <v>48</v>
      </c>
      <c r="W106" s="8" t="s">
        <v>48</v>
      </c>
      <c r="X106" s="8" t="s">
        <v>47</v>
      </c>
      <c r="Y106" s="8" t="s">
        <v>47</v>
      </c>
      <c r="Z106" s="8" t="s">
        <v>45</v>
      </c>
      <c r="AA106" s="8" t="s">
        <v>48</v>
      </c>
      <c r="AB106" s="8" t="s">
        <v>47</v>
      </c>
      <c r="AC106" s="8" t="s">
        <v>46</v>
      </c>
      <c r="AD106" s="8" t="s">
        <v>47</v>
      </c>
      <c r="AE106" s="8" t="s">
        <v>48</v>
      </c>
    </row>
    <row r="107" customFormat="false" ht="17.9" hidden="false" customHeight="false" outlineLevel="0" collapsed="false">
      <c r="A107" s="7" t="s">
        <v>153</v>
      </c>
      <c r="B107" s="8" t="s">
        <v>45</v>
      </c>
      <c r="C107" s="8" t="s">
        <v>46</v>
      </c>
      <c r="D107" s="8" t="s">
        <v>45</v>
      </c>
      <c r="E107" s="8" t="s">
        <v>47</v>
      </c>
      <c r="F107" s="8" t="s">
        <v>47</v>
      </c>
      <c r="G107" s="8" t="s">
        <v>47</v>
      </c>
      <c r="H107" s="8" t="s">
        <v>46</v>
      </c>
      <c r="I107" s="8" t="s">
        <v>46</v>
      </c>
      <c r="J107" s="8" t="s">
        <v>48</v>
      </c>
      <c r="K107" s="8" t="s">
        <v>45</v>
      </c>
      <c r="L107" s="8" t="s">
        <v>48</v>
      </c>
      <c r="M107" s="8" t="s">
        <v>46</v>
      </c>
      <c r="N107" s="8" t="s">
        <v>47</v>
      </c>
      <c r="O107" s="8" t="s">
        <v>45</v>
      </c>
      <c r="P107" s="8" t="s">
        <v>48</v>
      </c>
      <c r="Q107" s="8" t="s">
        <v>48</v>
      </c>
      <c r="R107" s="8" t="s">
        <v>48</v>
      </c>
      <c r="S107" s="8" t="s">
        <v>47</v>
      </c>
      <c r="T107" s="8" t="s">
        <v>45</v>
      </c>
      <c r="U107" s="8" t="s">
        <v>45</v>
      </c>
      <c r="V107" s="8" t="s">
        <v>46</v>
      </c>
      <c r="W107" s="8" t="s">
        <v>46</v>
      </c>
      <c r="X107" s="8" t="s">
        <v>46</v>
      </c>
      <c r="Y107" s="8" t="s">
        <v>47</v>
      </c>
      <c r="Z107" s="8" t="s">
        <v>45</v>
      </c>
      <c r="AA107" s="8" t="s">
        <v>47</v>
      </c>
      <c r="AB107" s="8" t="s">
        <v>47</v>
      </c>
      <c r="AC107" s="8" t="s">
        <v>47</v>
      </c>
      <c r="AD107" s="8" t="s">
        <v>46</v>
      </c>
      <c r="AE107" s="8" t="s">
        <v>46</v>
      </c>
    </row>
    <row r="108" customFormat="false" ht="17.9" hidden="false" customHeight="false" outlineLevel="0" collapsed="false">
      <c r="A108" s="7" t="s">
        <v>154</v>
      </c>
      <c r="B108" s="8" t="s">
        <v>46</v>
      </c>
      <c r="C108" s="8" t="s">
        <v>48</v>
      </c>
      <c r="D108" s="8" t="s">
        <v>45</v>
      </c>
      <c r="E108" s="8" t="s">
        <v>47</v>
      </c>
      <c r="F108" s="8" t="s">
        <v>45</v>
      </c>
      <c r="G108" s="8" t="s">
        <v>47</v>
      </c>
      <c r="H108" s="8" t="s">
        <v>46</v>
      </c>
      <c r="I108" s="8" t="s">
        <v>46</v>
      </c>
      <c r="J108" s="8" t="s">
        <v>48</v>
      </c>
      <c r="K108" s="8" t="s">
        <v>45</v>
      </c>
      <c r="L108" s="8" t="s">
        <v>48</v>
      </c>
      <c r="M108" s="8" t="s">
        <v>46</v>
      </c>
      <c r="N108" s="8" t="s">
        <v>47</v>
      </c>
      <c r="O108" s="8" t="s">
        <v>48</v>
      </c>
      <c r="P108" s="8" t="s">
        <v>47</v>
      </c>
      <c r="Q108" s="8" t="s">
        <v>48</v>
      </c>
      <c r="R108" s="8" t="s">
        <v>48</v>
      </c>
      <c r="S108" s="8" t="s">
        <v>48</v>
      </c>
      <c r="T108" s="8" t="s">
        <v>45</v>
      </c>
      <c r="U108" s="8" t="s">
        <v>48</v>
      </c>
      <c r="V108" s="8" t="s">
        <v>48</v>
      </c>
      <c r="W108" s="8" t="s">
        <v>46</v>
      </c>
      <c r="X108" s="8" t="s">
        <v>46</v>
      </c>
      <c r="Y108" s="8" t="s">
        <v>47</v>
      </c>
      <c r="Z108" s="8" t="s">
        <v>46</v>
      </c>
      <c r="AA108" s="8" t="s">
        <v>48</v>
      </c>
      <c r="AB108" s="8" t="s">
        <v>47</v>
      </c>
      <c r="AC108" s="8" t="s">
        <v>45</v>
      </c>
      <c r="AD108" s="8" t="s">
        <v>46</v>
      </c>
      <c r="AE108" s="8" t="s">
        <v>48</v>
      </c>
    </row>
    <row r="109" customFormat="false" ht="17.9" hidden="false" customHeight="false" outlineLevel="0" collapsed="false">
      <c r="A109" s="7" t="s">
        <v>155</v>
      </c>
      <c r="B109" s="8" t="s">
        <v>47</v>
      </c>
      <c r="C109" s="8" t="s">
        <v>46</v>
      </c>
      <c r="D109" s="8" t="s">
        <v>47</v>
      </c>
      <c r="E109" s="8" t="s">
        <v>47</v>
      </c>
      <c r="F109" s="8" t="s">
        <v>45</v>
      </c>
      <c r="G109" s="8" t="s">
        <v>47</v>
      </c>
      <c r="H109" s="8" t="s">
        <v>46</v>
      </c>
      <c r="I109" s="8" t="s">
        <v>46</v>
      </c>
      <c r="J109" s="8" t="s">
        <v>48</v>
      </c>
      <c r="K109" s="8" t="s">
        <v>48</v>
      </c>
      <c r="L109" s="8" t="s">
        <v>48</v>
      </c>
      <c r="M109" s="8" t="s">
        <v>46</v>
      </c>
      <c r="N109" s="8" t="s">
        <v>48</v>
      </c>
      <c r="O109" s="8" t="s">
        <v>46</v>
      </c>
      <c r="P109" s="8" t="s">
        <v>47</v>
      </c>
      <c r="Q109" s="8" t="s">
        <v>48</v>
      </c>
      <c r="R109" s="8" t="s">
        <v>48</v>
      </c>
      <c r="S109" s="8" t="s">
        <v>46</v>
      </c>
      <c r="T109" s="8" t="s">
        <v>48</v>
      </c>
      <c r="U109" s="8" t="s">
        <v>48</v>
      </c>
      <c r="V109" s="8" t="s">
        <v>47</v>
      </c>
      <c r="W109" s="8" t="s">
        <v>46</v>
      </c>
      <c r="X109" s="8" t="s">
        <v>46</v>
      </c>
      <c r="Y109" s="8" t="s">
        <v>45</v>
      </c>
      <c r="Z109" s="8" t="s">
        <v>46</v>
      </c>
      <c r="AA109" s="8" t="s">
        <v>48</v>
      </c>
      <c r="AB109" s="8" t="s">
        <v>47</v>
      </c>
      <c r="AC109" s="8" t="s">
        <v>48</v>
      </c>
      <c r="AD109" s="8" t="s">
        <v>46</v>
      </c>
      <c r="AE109" s="8" t="s">
        <v>46</v>
      </c>
    </row>
    <row r="110" customFormat="false" ht="17.9" hidden="false" customHeight="false" outlineLevel="0" collapsed="false">
      <c r="A110" s="7" t="s">
        <v>156</v>
      </c>
      <c r="B110" s="8" t="s">
        <v>45</v>
      </c>
      <c r="C110" s="8" t="s">
        <v>46</v>
      </c>
      <c r="D110" s="8" t="s">
        <v>47</v>
      </c>
      <c r="E110" s="8" t="s">
        <v>47</v>
      </c>
      <c r="F110" s="8" t="s">
        <v>48</v>
      </c>
      <c r="G110" s="8" t="s">
        <v>47</v>
      </c>
      <c r="H110" s="8" t="s">
        <v>46</v>
      </c>
      <c r="I110" s="8" t="s">
        <v>46</v>
      </c>
      <c r="J110" s="8" t="s">
        <v>48</v>
      </c>
      <c r="K110" s="8" t="s">
        <v>47</v>
      </c>
      <c r="L110" s="8" t="s">
        <v>48</v>
      </c>
      <c r="M110" s="8" t="s">
        <v>46</v>
      </c>
      <c r="N110" s="8" t="s">
        <v>47</v>
      </c>
      <c r="O110" s="8" t="s">
        <v>45</v>
      </c>
      <c r="P110" s="8" t="s">
        <v>46</v>
      </c>
      <c r="Q110" s="8" t="s">
        <v>48</v>
      </c>
      <c r="R110" s="8" t="s">
        <v>48</v>
      </c>
      <c r="S110" s="8" t="s">
        <v>48</v>
      </c>
      <c r="T110" s="8" t="s">
        <v>46</v>
      </c>
      <c r="U110" s="8" t="s">
        <v>45</v>
      </c>
      <c r="V110" s="8" t="s">
        <v>46</v>
      </c>
      <c r="W110" s="8" t="s">
        <v>46</v>
      </c>
      <c r="X110" s="8" t="s">
        <v>46</v>
      </c>
      <c r="Y110" s="8" t="s">
        <v>47</v>
      </c>
      <c r="Z110" s="8" t="s">
        <v>47</v>
      </c>
      <c r="AA110" s="8" t="s">
        <v>45</v>
      </c>
      <c r="AB110" s="8" t="s">
        <v>45</v>
      </c>
      <c r="AC110" s="8" t="s">
        <v>47</v>
      </c>
      <c r="AD110" s="8" t="s">
        <v>46</v>
      </c>
      <c r="AE110" s="8" t="s">
        <v>46</v>
      </c>
    </row>
    <row r="111" customFormat="false" ht="17.9" hidden="false" customHeight="false" outlineLevel="0" collapsed="false">
      <c r="A111" s="7" t="s">
        <v>157</v>
      </c>
      <c r="B111" s="8" t="s">
        <v>45</v>
      </c>
      <c r="C111" s="8" t="s">
        <v>46</v>
      </c>
      <c r="D111" s="8" t="s">
        <v>45</v>
      </c>
      <c r="E111" s="8" t="s">
        <v>47</v>
      </c>
      <c r="F111" s="8" t="s">
        <v>47</v>
      </c>
      <c r="G111" s="8" t="s">
        <v>46</v>
      </c>
      <c r="H111" s="8" t="s">
        <v>46</v>
      </c>
      <c r="I111" s="8" t="s">
        <v>46</v>
      </c>
      <c r="J111" s="8" t="s">
        <v>48</v>
      </c>
      <c r="K111" s="8" t="s">
        <v>48</v>
      </c>
      <c r="L111" s="8" t="s">
        <v>47</v>
      </c>
      <c r="M111" s="8" t="s">
        <v>46</v>
      </c>
      <c r="N111" s="8" t="s">
        <v>46</v>
      </c>
      <c r="O111" s="8" t="s">
        <v>45</v>
      </c>
      <c r="P111" s="8" t="s">
        <v>48</v>
      </c>
      <c r="Q111" s="8" t="s">
        <v>48</v>
      </c>
      <c r="R111" s="8" t="s">
        <v>48</v>
      </c>
      <c r="S111" s="8" t="s">
        <v>48</v>
      </c>
      <c r="T111" s="8" t="s">
        <v>45</v>
      </c>
      <c r="U111" s="8" t="s">
        <v>45</v>
      </c>
      <c r="V111" s="8" t="s">
        <v>48</v>
      </c>
      <c r="W111" s="8" t="s">
        <v>46</v>
      </c>
      <c r="X111" s="8" t="s">
        <v>47</v>
      </c>
      <c r="Y111" s="8" t="s">
        <v>45</v>
      </c>
      <c r="Z111" s="8" t="s">
        <v>45</v>
      </c>
      <c r="AA111" s="8" t="s">
        <v>45</v>
      </c>
      <c r="AB111" s="8" t="s">
        <v>45</v>
      </c>
      <c r="AC111" s="8" t="s">
        <v>48</v>
      </c>
      <c r="AD111" s="8" t="s">
        <v>46</v>
      </c>
      <c r="AE111" s="8" t="s">
        <v>46</v>
      </c>
    </row>
    <row r="112" customFormat="false" ht="17.9" hidden="false" customHeight="false" outlineLevel="0" collapsed="false">
      <c r="A112" s="7" t="s">
        <v>158</v>
      </c>
      <c r="B112" s="8" t="s">
        <v>45</v>
      </c>
      <c r="C112" s="8" t="s">
        <v>46</v>
      </c>
      <c r="D112" s="8" t="s">
        <v>45</v>
      </c>
      <c r="E112" s="8" t="s">
        <v>47</v>
      </c>
      <c r="F112" s="8" t="s">
        <v>47</v>
      </c>
      <c r="G112" s="8" t="s">
        <v>47</v>
      </c>
      <c r="H112" s="8" t="s">
        <v>46</v>
      </c>
      <c r="I112" s="8" t="s">
        <v>46</v>
      </c>
      <c r="J112" s="8" t="s">
        <v>48</v>
      </c>
      <c r="K112" s="8" t="s">
        <v>45</v>
      </c>
      <c r="L112" s="8" t="s">
        <v>48</v>
      </c>
      <c r="M112" s="8" t="s">
        <v>46</v>
      </c>
      <c r="N112" s="8" t="s">
        <v>47</v>
      </c>
      <c r="O112" s="8" t="s">
        <v>45</v>
      </c>
      <c r="P112" s="8" t="s">
        <v>46</v>
      </c>
      <c r="Q112" s="8" t="s">
        <v>48</v>
      </c>
      <c r="R112" s="8" t="s">
        <v>48</v>
      </c>
      <c r="S112" s="8" t="s">
        <v>45</v>
      </c>
      <c r="T112" s="8" t="s">
        <v>45</v>
      </c>
      <c r="U112" s="8" t="s">
        <v>45</v>
      </c>
      <c r="V112" s="8" t="s">
        <v>46</v>
      </c>
      <c r="W112" s="8" t="s">
        <v>46</v>
      </c>
      <c r="X112" s="8" t="s">
        <v>46</v>
      </c>
      <c r="Y112" s="8" t="s">
        <v>48</v>
      </c>
      <c r="Z112" s="8" t="s">
        <v>46</v>
      </c>
      <c r="AA112" s="8" t="s">
        <v>47</v>
      </c>
      <c r="AB112" s="8" t="s">
        <v>46</v>
      </c>
      <c r="AC112" s="8" t="s">
        <v>47</v>
      </c>
      <c r="AD112" s="8" t="s">
        <v>46</v>
      </c>
      <c r="AE112" s="8" t="s">
        <v>46</v>
      </c>
    </row>
    <row r="113" customFormat="false" ht="17.9" hidden="false" customHeight="false" outlineLevel="0" collapsed="false">
      <c r="A113" s="7" t="s">
        <v>159</v>
      </c>
      <c r="B113" s="8" t="s">
        <v>48</v>
      </c>
      <c r="C113" s="8" t="s">
        <v>48</v>
      </c>
      <c r="D113" s="8" t="s">
        <v>46</v>
      </c>
      <c r="E113" s="8" t="s">
        <v>47</v>
      </c>
      <c r="F113" s="8" t="s">
        <v>48</v>
      </c>
      <c r="G113" s="8" t="s">
        <v>46</v>
      </c>
      <c r="H113" s="8" t="s">
        <v>46</v>
      </c>
      <c r="I113" s="8" t="s">
        <v>46</v>
      </c>
      <c r="J113" s="8" t="s">
        <v>48</v>
      </c>
      <c r="K113" s="8" t="s">
        <v>48</v>
      </c>
      <c r="L113" s="8" t="s">
        <v>46</v>
      </c>
      <c r="M113" s="8" t="s">
        <v>46</v>
      </c>
      <c r="N113" s="8" t="s">
        <v>46</v>
      </c>
      <c r="O113" s="8" t="s">
        <v>47</v>
      </c>
      <c r="P113" s="8" t="s">
        <v>45</v>
      </c>
      <c r="Q113" s="8" t="s">
        <v>48</v>
      </c>
      <c r="R113" s="8" t="s">
        <v>45</v>
      </c>
      <c r="S113" s="8" t="s">
        <v>45</v>
      </c>
      <c r="T113" s="8" t="s">
        <v>45</v>
      </c>
      <c r="U113" s="8" t="s">
        <v>48</v>
      </c>
      <c r="V113" s="8" t="s">
        <v>47</v>
      </c>
      <c r="W113" s="8" t="s">
        <v>46</v>
      </c>
      <c r="X113" s="8" t="s">
        <v>48</v>
      </c>
      <c r="Y113" s="8" t="s">
        <v>48</v>
      </c>
      <c r="Z113" s="8" t="s">
        <v>46</v>
      </c>
      <c r="AA113" s="8" t="s">
        <v>48</v>
      </c>
      <c r="AB113" s="8" t="s">
        <v>47</v>
      </c>
      <c r="AC113" s="8" t="s">
        <v>45</v>
      </c>
      <c r="AD113" s="8" t="s">
        <v>46</v>
      </c>
      <c r="AE113" s="8" t="s">
        <v>46</v>
      </c>
    </row>
    <row r="114" customFormat="false" ht="17.9" hidden="false" customHeight="false" outlineLevel="0" collapsed="false">
      <c r="A114" s="7" t="s">
        <v>160</v>
      </c>
      <c r="B114" s="8" t="s">
        <v>47</v>
      </c>
      <c r="C114" s="8" t="s">
        <v>47</v>
      </c>
      <c r="D114" s="8" t="s">
        <v>48</v>
      </c>
      <c r="E114" s="8" t="s">
        <v>46</v>
      </c>
      <c r="F114" s="8" t="s">
        <v>48</v>
      </c>
      <c r="G114" s="8" t="s">
        <v>47</v>
      </c>
      <c r="H114" s="8" t="s">
        <v>47</v>
      </c>
      <c r="I114" s="8" t="s">
        <v>47</v>
      </c>
      <c r="J114" s="8" t="s">
        <v>48</v>
      </c>
      <c r="K114" s="8" t="s">
        <v>45</v>
      </c>
      <c r="L114" s="8" t="s">
        <v>46</v>
      </c>
      <c r="M114" s="8" t="s">
        <v>46</v>
      </c>
      <c r="N114" s="8" t="s">
        <v>45</v>
      </c>
      <c r="O114" s="8" t="s">
        <v>45</v>
      </c>
      <c r="P114" s="8" t="s">
        <v>45</v>
      </c>
      <c r="Q114" s="8" t="s">
        <v>46</v>
      </c>
      <c r="R114" s="8" t="s">
        <v>46</v>
      </c>
      <c r="S114" s="8" t="s">
        <v>47</v>
      </c>
      <c r="T114" s="8" t="s">
        <v>46</v>
      </c>
      <c r="U114" s="8" t="s">
        <v>47</v>
      </c>
      <c r="V114" s="8" t="s">
        <v>45</v>
      </c>
      <c r="W114" s="8" t="s">
        <v>46</v>
      </c>
      <c r="X114" s="8" t="s">
        <v>47</v>
      </c>
      <c r="Y114" s="8" t="s">
        <v>46</v>
      </c>
      <c r="Z114" s="8" t="s">
        <v>45</v>
      </c>
      <c r="AA114" s="8" t="s">
        <v>47</v>
      </c>
      <c r="AB114" s="8" t="s">
        <v>45</v>
      </c>
      <c r="AC114" s="8" t="s">
        <v>46</v>
      </c>
      <c r="AD114" s="8" t="s">
        <v>46</v>
      </c>
      <c r="AE114" s="8" t="s">
        <v>48</v>
      </c>
    </row>
    <row r="115" customFormat="false" ht="17.9" hidden="false" customHeight="false" outlineLevel="0" collapsed="false">
      <c r="A115" s="7" t="s">
        <v>161</v>
      </c>
      <c r="B115" s="8" t="s">
        <v>45</v>
      </c>
      <c r="C115" s="8" t="s">
        <v>48</v>
      </c>
      <c r="D115" s="8" t="s">
        <v>45</v>
      </c>
      <c r="E115" s="8" t="s">
        <v>47</v>
      </c>
      <c r="F115" s="8" t="s">
        <v>47</v>
      </c>
      <c r="G115" s="8" t="s">
        <v>48</v>
      </c>
      <c r="H115" s="8" t="s">
        <v>46</v>
      </c>
      <c r="I115" s="8" t="s">
        <v>46</v>
      </c>
      <c r="J115" s="8" t="s">
        <v>48</v>
      </c>
      <c r="K115" s="8" t="s">
        <v>47</v>
      </c>
      <c r="L115" s="8" t="s">
        <v>48</v>
      </c>
      <c r="M115" s="8" t="s">
        <v>46</v>
      </c>
      <c r="N115" s="8" t="s">
        <v>47</v>
      </c>
      <c r="O115" s="8" t="s">
        <v>45</v>
      </c>
      <c r="P115" s="8" t="s">
        <v>46</v>
      </c>
      <c r="Q115" s="8" t="s">
        <v>48</v>
      </c>
      <c r="R115" s="8" t="s">
        <v>48</v>
      </c>
      <c r="S115" s="8" t="s">
        <v>48</v>
      </c>
      <c r="T115" s="8" t="s">
        <v>45</v>
      </c>
      <c r="U115" s="8" t="s">
        <v>47</v>
      </c>
      <c r="V115" s="8" t="s">
        <v>47</v>
      </c>
      <c r="W115" s="8" t="s">
        <v>46</v>
      </c>
      <c r="X115" s="8" t="s">
        <v>46</v>
      </c>
      <c r="Y115" s="8" t="s">
        <v>48</v>
      </c>
      <c r="Z115" s="8" t="s">
        <v>47</v>
      </c>
      <c r="AA115" s="8" t="s">
        <v>46</v>
      </c>
      <c r="AB115" s="8" t="s">
        <v>46</v>
      </c>
      <c r="AC115" s="8" t="s">
        <v>45</v>
      </c>
      <c r="AD115" s="8" t="s">
        <v>48</v>
      </c>
      <c r="AE115" s="8" t="s">
        <v>45</v>
      </c>
    </row>
    <row r="116" customFormat="false" ht="17.9" hidden="false" customHeight="false" outlineLevel="0" collapsed="false">
      <c r="A116" s="7" t="s">
        <v>162</v>
      </c>
      <c r="B116" s="8" t="s">
        <v>47</v>
      </c>
      <c r="C116" s="8" t="s">
        <v>47</v>
      </c>
      <c r="D116" s="8" t="s">
        <v>48</v>
      </c>
      <c r="E116" s="8" t="s">
        <v>45</v>
      </c>
      <c r="F116" s="8" t="s">
        <v>48</v>
      </c>
      <c r="G116" s="8" t="s">
        <v>47</v>
      </c>
      <c r="H116" s="8" t="s">
        <v>46</v>
      </c>
      <c r="I116" s="8" t="s">
        <v>45</v>
      </c>
      <c r="J116" s="8" t="s">
        <v>48</v>
      </c>
      <c r="K116" s="8" t="s">
        <v>46</v>
      </c>
      <c r="L116" s="8" t="s">
        <v>47</v>
      </c>
      <c r="M116" s="8" t="s">
        <v>46</v>
      </c>
      <c r="N116" s="8" t="s">
        <v>48</v>
      </c>
      <c r="O116" s="8" t="s">
        <v>45</v>
      </c>
      <c r="P116" s="8" t="s">
        <v>47</v>
      </c>
      <c r="Q116" s="8" t="s">
        <v>48</v>
      </c>
      <c r="R116" s="8" t="s">
        <v>48</v>
      </c>
      <c r="S116" s="8" t="s">
        <v>45</v>
      </c>
      <c r="T116" s="8" t="s">
        <v>47</v>
      </c>
      <c r="U116" s="8" t="s">
        <v>48</v>
      </c>
      <c r="V116" s="8" t="s">
        <v>46</v>
      </c>
      <c r="W116" s="8" t="s">
        <v>48</v>
      </c>
      <c r="X116" s="8" t="s">
        <v>47</v>
      </c>
      <c r="Y116" s="8" t="s">
        <v>48</v>
      </c>
      <c r="Z116" s="8" t="s">
        <v>47</v>
      </c>
      <c r="AA116" s="8" t="s">
        <v>46</v>
      </c>
      <c r="AB116" s="8" t="s">
        <v>47</v>
      </c>
      <c r="AC116" s="8" t="s">
        <v>45</v>
      </c>
      <c r="AD116" s="8" t="s">
        <v>47</v>
      </c>
      <c r="AE116" s="8" t="s">
        <v>48</v>
      </c>
    </row>
    <row r="117" customFormat="false" ht="17.9" hidden="false" customHeight="false" outlineLevel="0" collapsed="false">
      <c r="A117" s="7" t="s">
        <v>163</v>
      </c>
      <c r="B117" s="8" t="s">
        <v>45</v>
      </c>
      <c r="C117" s="8" t="s">
        <v>48</v>
      </c>
      <c r="D117" s="8" t="s">
        <v>46</v>
      </c>
      <c r="E117" s="8" t="s">
        <v>47</v>
      </c>
      <c r="F117" s="8" t="s">
        <v>46</v>
      </c>
      <c r="G117" s="8" t="s">
        <v>48</v>
      </c>
      <c r="H117" s="8" t="s">
        <v>47</v>
      </c>
      <c r="I117" s="8" t="s">
        <v>48</v>
      </c>
      <c r="J117" s="8" t="s">
        <v>48</v>
      </c>
      <c r="K117" s="8" t="s">
        <v>48</v>
      </c>
      <c r="L117" s="8" t="s">
        <v>48</v>
      </c>
      <c r="M117" s="8" t="s">
        <v>46</v>
      </c>
      <c r="N117" s="8" t="s">
        <v>45</v>
      </c>
      <c r="O117" s="8" t="s">
        <v>45</v>
      </c>
      <c r="P117" s="8" t="s">
        <v>46</v>
      </c>
      <c r="Q117" s="8" t="s">
        <v>48</v>
      </c>
      <c r="R117" s="8" t="s">
        <v>48</v>
      </c>
      <c r="S117" s="8" t="s">
        <v>46</v>
      </c>
      <c r="T117" s="8" t="s">
        <v>48</v>
      </c>
      <c r="U117" s="8" t="s">
        <v>45</v>
      </c>
      <c r="V117" s="8" t="s">
        <v>46</v>
      </c>
      <c r="W117" s="8" t="s">
        <v>47</v>
      </c>
      <c r="X117" s="8" t="s">
        <v>47</v>
      </c>
      <c r="Y117" s="8" t="s">
        <v>46</v>
      </c>
      <c r="Z117" s="8" t="s">
        <v>47</v>
      </c>
      <c r="AA117" s="8" t="s">
        <v>48</v>
      </c>
      <c r="AB117" s="8" t="s">
        <v>45</v>
      </c>
      <c r="AC117" s="8" t="s">
        <v>48</v>
      </c>
      <c r="AD117" s="8" t="s">
        <v>47</v>
      </c>
      <c r="AE117" s="8" t="s">
        <v>46</v>
      </c>
    </row>
    <row r="118" customFormat="false" ht="17.9" hidden="false" customHeight="false" outlineLevel="0" collapsed="false">
      <c r="A118" s="7" t="s">
        <v>164</v>
      </c>
      <c r="B118" s="8" t="s">
        <v>45</v>
      </c>
      <c r="C118" s="8" t="s">
        <v>46</v>
      </c>
      <c r="D118" s="8" t="s">
        <v>45</v>
      </c>
      <c r="E118" s="8" t="s">
        <v>47</v>
      </c>
      <c r="F118" s="8" t="s">
        <v>47</v>
      </c>
      <c r="G118" s="8" t="s">
        <v>47</v>
      </c>
      <c r="H118" s="8" t="s">
        <v>46</v>
      </c>
      <c r="I118" s="8" t="s">
        <v>46</v>
      </c>
      <c r="J118" s="8" t="s">
        <v>48</v>
      </c>
      <c r="K118" s="8" t="s">
        <v>45</v>
      </c>
      <c r="L118" s="8" t="s">
        <v>48</v>
      </c>
      <c r="M118" s="8" t="s">
        <v>46</v>
      </c>
      <c r="N118" s="8" t="s">
        <v>47</v>
      </c>
      <c r="O118" s="8" t="s">
        <v>45</v>
      </c>
      <c r="P118" s="8" t="s">
        <v>46</v>
      </c>
      <c r="Q118" s="8" t="s">
        <v>48</v>
      </c>
      <c r="R118" s="8" t="s">
        <v>48</v>
      </c>
      <c r="S118" s="8" t="s">
        <v>47</v>
      </c>
      <c r="T118" s="8" t="s">
        <v>45</v>
      </c>
      <c r="U118" s="8" t="s">
        <v>45</v>
      </c>
      <c r="V118" s="8" t="s">
        <v>46</v>
      </c>
      <c r="W118" s="8" t="s">
        <v>46</v>
      </c>
      <c r="X118" s="8" t="s">
        <v>48</v>
      </c>
      <c r="Y118" s="8" t="s">
        <v>47</v>
      </c>
      <c r="Z118" s="8" t="s">
        <v>46</v>
      </c>
      <c r="AA118" s="8" t="s">
        <v>47</v>
      </c>
      <c r="AB118" s="8" t="s">
        <v>46</v>
      </c>
      <c r="AC118" s="8" t="s">
        <v>47</v>
      </c>
      <c r="AD118" s="8" t="s">
        <v>46</v>
      </c>
      <c r="AE118" s="8" t="s">
        <v>46</v>
      </c>
    </row>
    <row r="119" customFormat="false" ht="17.9" hidden="false" customHeight="false" outlineLevel="0" collapsed="false">
      <c r="A119" s="7" t="s">
        <v>165</v>
      </c>
      <c r="B119" s="8" t="s">
        <v>47</v>
      </c>
      <c r="C119" s="8" t="s">
        <v>47</v>
      </c>
      <c r="D119" s="8" t="s">
        <v>46</v>
      </c>
      <c r="E119" s="8" t="s">
        <v>47</v>
      </c>
      <c r="F119" s="8" t="s">
        <v>48</v>
      </c>
      <c r="G119" s="8" t="s">
        <v>45</v>
      </c>
      <c r="H119" s="8" t="s">
        <v>46</v>
      </c>
      <c r="I119" s="8" t="s">
        <v>47</v>
      </c>
      <c r="J119" s="8" t="s">
        <v>48</v>
      </c>
      <c r="K119" s="8" t="s">
        <v>45</v>
      </c>
      <c r="L119" s="8" t="s">
        <v>46</v>
      </c>
      <c r="M119" s="8" t="s">
        <v>46</v>
      </c>
      <c r="N119" s="8" t="s">
        <v>45</v>
      </c>
      <c r="O119" s="8" t="s">
        <v>47</v>
      </c>
      <c r="P119" s="8" t="s">
        <v>46</v>
      </c>
      <c r="Q119" s="8" t="s">
        <v>48</v>
      </c>
      <c r="R119" s="8" t="s">
        <v>45</v>
      </c>
      <c r="S119" s="8" t="s">
        <v>47</v>
      </c>
      <c r="T119" s="8" t="s">
        <v>46</v>
      </c>
      <c r="U119" s="8" t="s">
        <v>45</v>
      </c>
      <c r="V119" s="8" t="s">
        <v>47</v>
      </c>
      <c r="W119" s="8" t="s">
        <v>45</v>
      </c>
      <c r="X119" s="8" t="s">
        <v>48</v>
      </c>
      <c r="Y119" s="8" t="s">
        <v>48</v>
      </c>
      <c r="Z119" s="8" t="s">
        <v>45</v>
      </c>
      <c r="AA119" s="8" t="s">
        <v>46</v>
      </c>
      <c r="AB119" s="8" t="s">
        <v>47</v>
      </c>
      <c r="AC119" s="8" t="s">
        <v>48</v>
      </c>
      <c r="AD119" s="8" t="s">
        <v>47</v>
      </c>
      <c r="AE119" s="8" t="s">
        <v>47</v>
      </c>
    </row>
    <row r="120" customFormat="false" ht="17.9" hidden="false" customHeight="false" outlineLevel="0" collapsed="false">
      <c r="A120" s="7" t="s">
        <v>166</v>
      </c>
      <c r="B120" s="8" t="s">
        <v>45</v>
      </c>
      <c r="C120" s="8" t="s">
        <v>46</v>
      </c>
      <c r="D120" s="8" t="s">
        <v>46</v>
      </c>
      <c r="E120" s="8" t="s">
        <v>47</v>
      </c>
      <c r="F120" s="8" t="s">
        <v>48</v>
      </c>
      <c r="G120" s="8" t="s">
        <v>47</v>
      </c>
      <c r="H120" s="8" t="s">
        <v>46</v>
      </c>
      <c r="I120" s="8" t="s">
        <v>46</v>
      </c>
      <c r="J120" s="8" t="s">
        <v>48</v>
      </c>
      <c r="K120" s="8" t="s">
        <v>45</v>
      </c>
      <c r="L120" s="8" t="s">
        <v>48</v>
      </c>
      <c r="M120" s="8" t="s">
        <v>46</v>
      </c>
      <c r="N120" s="8" t="s">
        <v>47</v>
      </c>
      <c r="O120" s="8" t="s">
        <v>45</v>
      </c>
      <c r="P120" s="8" t="s">
        <v>48</v>
      </c>
      <c r="Q120" s="8" t="s">
        <v>48</v>
      </c>
      <c r="R120" s="8" t="s">
        <v>48</v>
      </c>
      <c r="S120" s="8" t="s">
        <v>48</v>
      </c>
      <c r="T120" s="8" t="s">
        <v>45</v>
      </c>
      <c r="U120" s="8" t="s">
        <v>45</v>
      </c>
      <c r="V120" s="8" t="s">
        <v>46</v>
      </c>
      <c r="W120" s="8" t="s">
        <v>46</v>
      </c>
      <c r="X120" s="8" t="s">
        <v>46</v>
      </c>
      <c r="Y120" s="8" t="s">
        <v>47</v>
      </c>
      <c r="Z120" s="8" t="s">
        <v>46</v>
      </c>
      <c r="AA120" s="8" t="s">
        <v>48</v>
      </c>
      <c r="AB120" s="8" t="s">
        <v>48</v>
      </c>
      <c r="AC120" s="8" t="s">
        <v>47</v>
      </c>
      <c r="AD120" s="8" t="s">
        <v>45</v>
      </c>
      <c r="AE120" s="8" t="s">
        <v>46</v>
      </c>
    </row>
    <row r="121" customFormat="false" ht="17.9" hidden="false" customHeight="false" outlineLevel="0" collapsed="false">
      <c r="A121" s="7" t="s">
        <v>167</v>
      </c>
      <c r="B121" s="8" t="s">
        <v>48</v>
      </c>
      <c r="C121" s="8" t="s">
        <v>48</v>
      </c>
      <c r="D121" s="8" t="s">
        <v>45</v>
      </c>
      <c r="E121" s="8" t="s">
        <v>47</v>
      </c>
      <c r="F121" s="8" t="s">
        <v>47</v>
      </c>
      <c r="G121" s="8" t="s">
        <v>45</v>
      </c>
      <c r="H121" s="8" t="s">
        <v>46</v>
      </c>
      <c r="I121" s="8" t="s">
        <v>46</v>
      </c>
      <c r="J121" s="8" t="s">
        <v>48</v>
      </c>
      <c r="K121" s="8" t="s">
        <v>45</v>
      </c>
      <c r="L121" s="8" t="s">
        <v>48</v>
      </c>
      <c r="M121" s="8" t="s">
        <v>46</v>
      </c>
      <c r="N121" s="8" t="s">
        <v>47</v>
      </c>
      <c r="O121" s="8" t="s">
        <v>45</v>
      </c>
      <c r="P121" s="8" t="s">
        <v>46</v>
      </c>
      <c r="Q121" s="8" t="s">
        <v>48</v>
      </c>
      <c r="R121" s="8" t="s">
        <v>48</v>
      </c>
      <c r="S121" s="8" t="s">
        <v>46</v>
      </c>
      <c r="T121" s="8" t="s">
        <v>45</v>
      </c>
      <c r="U121" s="8" t="s">
        <v>45</v>
      </c>
      <c r="V121" s="8" t="s">
        <v>47</v>
      </c>
      <c r="W121" s="8" t="s">
        <v>46</v>
      </c>
      <c r="X121" s="8" t="s">
        <v>46</v>
      </c>
      <c r="Y121" s="8" t="s">
        <v>47</v>
      </c>
      <c r="Z121" s="8" t="s">
        <v>46</v>
      </c>
      <c r="AA121" s="8" t="s">
        <v>45</v>
      </c>
      <c r="AB121" s="8" t="s">
        <v>45</v>
      </c>
      <c r="AC121" s="8" t="s">
        <v>46</v>
      </c>
      <c r="AD121" s="8" t="s">
        <v>47</v>
      </c>
      <c r="AE121" s="8" t="s">
        <v>46</v>
      </c>
    </row>
    <row r="122" customFormat="false" ht="17.9" hidden="false" customHeight="false" outlineLevel="0" collapsed="false">
      <c r="A122" s="7" t="s">
        <v>168</v>
      </c>
      <c r="B122" s="8" t="s">
        <v>46</v>
      </c>
      <c r="C122" s="8" t="s">
        <v>46</v>
      </c>
      <c r="D122" s="8" t="s">
        <v>46</v>
      </c>
      <c r="E122" s="8" t="s">
        <v>47</v>
      </c>
      <c r="F122" s="8" t="s">
        <v>47</v>
      </c>
      <c r="G122" s="8" t="s">
        <v>48</v>
      </c>
      <c r="H122" s="8" t="s">
        <v>46</v>
      </c>
      <c r="I122" s="8" t="s">
        <v>46</v>
      </c>
      <c r="J122" s="8" t="s">
        <v>48</v>
      </c>
      <c r="K122" s="8" t="s">
        <v>45</v>
      </c>
      <c r="L122" s="8" t="s">
        <v>48</v>
      </c>
      <c r="M122" s="8" t="s">
        <v>46</v>
      </c>
      <c r="N122" s="8" t="s">
        <v>46</v>
      </c>
      <c r="O122" s="8" t="s">
        <v>45</v>
      </c>
      <c r="P122" s="8" t="s">
        <v>46</v>
      </c>
      <c r="Q122" s="8" t="s">
        <v>48</v>
      </c>
      <c r="R122" s="8" t="s">
        <v>48</v>
      </c>
      <c r="S122" s="8" t="s">
        <v>48</v>
      </c>
      <c r="T122" s="8" t="s">
        <v>45</v>
      </c>
      <c r="U122" s="8" t="s">
        <v>48</v>
      </c>
      <c r="V122" s="8" t="s">
        <v>46</v>
      </c>
      <c r="W122" s="8" t="s">
        <v>46</v>
      </c>
      <c r="X122" s="8" t="s">
        <v>46</v>
      </c>
      <c r="Y122" s="8" t="s">
        <v>47</v>
      </c>
      <c r="Z122" s="8" t="s">
        <v>46</v>
      </c>
      <c r="AA122" s="8" t="s">
        <v>46</v>
      </c>
      <c r="AB122" s="8" t="s">
        <v>46</v>
      </c>
      <c r="AC122" s="8" t="s">
        <v>47</v>
      </c>
      <c r="AD122" s="8" t="s">
        <v>46</v>
      </c>
      <c r="AE122" s="8" t="s">
        <v>46</v>
      </c>
    </row>
    <row r="123" customFormat="false" ht="17.9" hidden="false" customHeight="false" outlineLevel="0" collapsed="false">
      <c r="A123" s="7" t="s">
        <v>169</v>
      </c>
      <c r="B123" s="8" t="s">
        <v>45</v>
      </c>
      <c r="C123" s="8" t="s">
        <v>46</v>
      </c>
      <c r="D123" s="8" t="s">
        <v>45</v>
      </c>
      <c r="E123" s="8" t="s">
        <v>47</v>
      </c>
      <c r="F123" s="8" t="s">
        <v>47</v>
      </c>
      <c r="G123" s="8" t="s">
        <v>47</v>
      </c>
      <c r="H123" s="8" t="s">
        <v>46</v>
      </c>
      <c r="I123" s="8" t="s">
        <v>46</v>
      </c>
      <c r="J123" s="8" t="s">
        <v>48</v>
      </c>
      <c r="K123" s="8" t="s">
        <v>45</v>
      </c>
      <c r="L123" s="8" t="s">
        <v>48</v>
      </c>
      <c r="M123" s="8" t="s">
        <v>46</v>
      </c>
      <c r="N123" s="8" t="s">
        <v>48</v>
      </c>
      <c r="O123" s="8" t="s">
        <v>45</v>
      </c>
      <c r="P123" s="8" t="s">
        <v>46</v>
      </c>
      <c r="Q123" s="8" t="s">
        <v>48</v>
      </c>
      <c r="R123" s="8" t="s">
        <v>48</v>
      </c>
      <c r="S123" s="8" t="s">
        <v>46</v>
      </c>
      <c r="T123" s="8" t="s">
        <v>45</v>
      </c>
      <c r="U123" s="8" t="s">
        <v>45</v>
      </c>
      <c r="V123" s="8" t="s">
        <v>45</v>
      </c>
      <c r="W123" s="8" t="s">
        <v>46</v>
      </c>
      <c r="X123" s="8" t="s">
        <v>46</v>
      </c>
      <c r="Y123" s="8" t="s">
        <v>47</v>
      </c>
      <c r="Z123" s="8" t="s">
        <v>46</v>
      </c>
      <c r="AA123" s="8" t="s">
        <v>47</v>
      </c>
      <c r="AB123" s="8" t="s">
        <v>47</v>
      </c>
      <c r="AC123" s="8" t="s">
        <v>47</v>
      </c>
      <c r="AD123" s="8" t="s">
        <v>46</v>
      </c>
      <c r="AE123" s="8" t="s">
        <v>46</v>
      </c>
    </row>
    <row r="124" customFormat="false" ht="17.9" hidden="false" customHeight="false" outlineLevel="0" collapsed="false">
      <c r="A124" s="7" t="s">
        <v>170</v>
      </c>
      <c r="B124" s="8" t="s">
        <v>47</v>
      </c>
      <c r="C124" s="8" t="s">
        <v>45</v>
      </c>
      <c r="D124" s="8" t="s">
        <v>47</v>
      </c>
      <c r="E124" s="8" t="s">
        <v>46</v>
      </c>
      <c r="F124" s="8" t="s">
        <v>46</v>
      </c>
      <c r="G124" s="8" t="s">
        <v>47</v>
      </c>
      <c r="H124" s="8" t="s">
        <v>47</v>
      </c>
      <c r="I124" s="8" t="s">
        <v>45</v>
      </c>
      <c r="J124" s="8" t="s">
        <v>48</v>
      </c>
      <c r="K124" s="8" t="s">
        <v>47</v>
      </c>
      <c r="L124" s="8" t="s">
        <v>48</v>
      </c>
      <c r="M124" s="8" t="s">
        <v>46</v>
      </c>
      <c r="N124" s="8" t="s">
        <v>45</v>
      </c>
      <c r="O124" s="8" t="s">
        <v>45</v>
      </c>
      <c r="P124" s="8" t="s">
        <v>47</v>
      </c>
      <c r="Q124" s="8" t="s">
        <v>48</v>
      </c>
      <c r="R124" s="8" t="s">
        <v>48</v>
      </c>
      <c r="S124" s="8" t="s">
        <v>46</v>
      </c>
      <c r="T124" s="8" t="s">
        <v>48</v>
      </c>
      <c r="U124" s="8" t="s">
        <v>48</v>
      </c>
      <c r="V124" s="8" t="s">
        <v>48</v>
      </c>
      <c r="W124" s="8" t="s">
        <v>45</v>
      </c>
      <c r="X124" s="8" t="s">
        <v>47</v>
      </c>
      <c r="Y124" s="8" t="s">
        <v>47</v>
      </c>
      <c r="Z124" s="8" t="s">
        <v>47</v>
      </c>
      <c r="AA124" s="8" t="s">
        <v>47</v>
      </c>
      <c r="AB124" s="8" t="s">
        <v>47</v>
      </c>
      <c r="AC124" s="8" t="s">
        <v>46</v>
      </c>
      <c r="AD124" s="8" t="s">
        <v>48</v>
      </c>
      <c r="AE124" s="8" t="s">
        <v>48</v>
      </c>
    </row>
    <row r="125" customFormat="false" ht="17.9" hidden="false" customHeight="false" outlineLevel="0" collapsed="false">
      <c r="A125" s="7" t="s">
        <v>171</v>
      </c>
      <c r="B125" s="8" t="s">
        <v>45</v>
      </c>
      <c r="C125" s="8" t="s">
        <v>45</v>
      </c>
      <c r="D125" s="8" t="s">
        <v>48</v>
      </c>
      <c r="E125" s="8" t="s">
        <v>47</v>
      </c>
      <c r="F125" s="8" t="s">
        <v>46</v>
      </c>
      <c r="G125" s="8" t="s">
        <v>48</v>
      </c>
      <c r="H125" s="8" t="s">
        <v>46</v>
      </c>
      <c r="I125" s="8" t="s">
        <v>48</v>
      </c>
      <c r="J125" s="8" t="s">
        <v>45</v>
      </c>
      <c r="K125" s="8" t="s">
        <v>45</v>
      </c>
      <c r="L125" s="8" t="s">
        <v>46</v>
      </c>
      <c r="M125" s="8" t="s">
        <v>46</v>
      </c>
      <c r="N125" s="8" t="s">
        <v>45</v>
      </c>
      <c r="O125" s="8" t="s">
        <v>45</v>
      </c>
      <c r="P125" s="8" t="s">
        <v>46</v>
      </c>
      <c r="Q125" s="8" t="s">
        <v>48</v>
      </c>
      <c r="R125" s="8" t="s">
        <v>47</v>
      </c>
      <c r="S125" s="8" t="s">
        <v>48</v>
      </c>
      <c r="T125" s="8" t="s">
        <v>45</v>
      </c>
      <c r="U125" s="8" t="s">
        <v>48</v>
      </c>
      <c r="V125" s="8" t="s">
        <v>47</v>
      </c>
      <c r="W125" s="8" t="s">
        <v>46</v>
      </c>
      <c r="X125" s="8" t="s">
        <v>48</v>
      </c>
      <c r="Y125" s="8" t="s">
        <v>46</v>
      </c>
      <c r="Z125" s="8" t="s">
        <v>46</v>
      </c>
      <c r="AA125" s="8" t="s">
        <v>48</v>
      </c>
      <c r="AB125" s="8" t="s">
        <v>45</v>
      </c>
      <c r="AC125" s="8" t="s">
        <v>48</v>
      </c>
      <c r="AD125" s="8" t="s">
        <v>48</v>
      </c>
      <c r="AE125" s="8" t="s">
        <v>48</v>
      </c>
    </row>
    <row r="126" customFormat="false" ht="17.9" hidden="false" customHeight="false" outlineLevel="0" collapsed="false">
      <c r="A126" s="7" t="s">
        <v>172</v>
      </c>
      <c r="B126" s="8" t="s">
        <v>46</v>
      </c>
      <c r="C126" s="8" t="s">
        <v>45</v>
      </c>
      <c r="D126" s="8" t="s">
        <v>46</v>
      </c>
      <c r="E126" s="8" t="s">
        <v>47</v>
      </c>
      <c r="F126" s="8" t="s">
        <v>45</v>
      </c>
      <c r="G126" s="8" t="s">
        <v>47</v>
      </c>
      <c r="H126" s="8" t="s">
        <v>46</v>
      </c>
      <c r="I126" s="8" t="s">
        <v>46</v>
      </c>
      <c r="J126" s="8" t="s">
        <v>48</v>
      </c>
      <c r="K126" s="8" t="s">
        <v>45</v>
      </c>
      <c r="L126" s="8" t="s">
        <v>48</v>
      </c>
      <c r="M126" s="8" t="s">
        <v>46</v>
      </c>
      <c r="N126" s="8" t="s">
        <v>45</v>
      </c>
      <c r="O126" s="8" t="s">
        <v>45</v>
      </c>
      <c r="P126" s="8" t="s">
        <v>48</v>
      </c>
      <c r="Q126" s="8" t="s">
        <v>48</v>
      </c>
      <c r="R126" s="8" t="s">
        <v>48</v>
      </c>
      <c r="S126" s="8" t="s">
        <v>47</v>
      </c>
      <c r="T126" s="8" t="s">
        <v>45</v>
      </c>
      <c r="U126" s="8" t="s">
        <v>45</v>
      </c>
      <c r="V126" s="8" t="s">
        <v>46</v>
      </c>
      <c r="W126" s="8" t="s">
        <v>46</v>
      </c>
      <c r="X126" s="8" t="s">
        <v>46</v>
      </c>
      <c r="Y126" s="8" t="s">
        <v>47</v>
      </c>
      <c r="Z126" s="8" t="s">
        <v>46</v>
      </c>
      <c r="AA126" s="8" t="s">
        <v>48</v>
      </c>
      <c r="AB126" s="8" t="s">
        <v>48</v>
      </c>
      <c r="AC126" s="8" t="s">
        <v>47</v>
      </c>
      <c r="AD126" s="8" t="s">
        <v>46</v>
      </c>
      <c r="AE126" s="8" t="s">
        <v>46</v>
      </c>
    </row>
    <row r="127" customFormat="false" ht="17.9" hidden="false" customHeight="false" outlineLevel="0" collapsed="false">
      <c r="A127" s="7" t="s">
        <v>173</v>
      </c>
      <c r="B127" s="8" t="s">
        <v>47</v>
      </c>
      <c r="C127" s="8" t="s">
        <v>46</v>
      </c>
      <c r="D127" s="8" t="s">
        <v>48</v>
      </c>
      <c r="E127" s="8" t="s">
        <v>47</v>
      </c>
      <c r="F127" s="8" t="s">
        <v>48</v>
      </c>
      <c r="G127" s="8" t="s">
        <v>45</v>
      </c>
      <c r="H127" s="8" t="s">
        <v>46</v>
      </c>
      <c r="I127" s="8" t="s">
        <v>46</v>
      </c>
      <c r="J127" s="8" t="s">
        <v>48</v>
      </c>
      <c r="K127" s="8" t="s">
        <v>45</v>
      </c>
      <c r="L127" s="8" t="s">
        <v>46</v>
      </c>
      <c r="M127" s="8" t="s">
        <v>46</v>
      </c>
      <c r="N127" s="8" t="s">
        <v>47</v>
      </c>
      <c r="O127" s="8" t="s">
        <v>45</v>
      </c>
      <c r="P127" s="8" t="s">
        <v>46</v>
      </c>
      <c r="Q127" s="8" t="s">
        <v>48</v>
      </c>
      <c r="R127" s="8" t="s">
        <v>48</v>
      </c>
      <c r="S127" s="8" t="s">
        <v>46</v>
      </c>
      <c r="T127" s="8" t="s">
        <v>45</v>
      </c>
      <c r="U127" s="8" t="s">
        <v>45</v>
      </c>
      <c r="V127" s="8" t="s">
        <v>46</v>
      </c>
      <c r="W127" s="8" t="s">
        <v>46</v>
      </c>
      <c r="X127" s="8" t="s">
        <v>46</v>
      </c>
      <c r="Y127" s="8" t="s">
        <v>47</v>
      </c>
      <c r="Z127" s="8" t="s">
        <v>46</v>
      </c>
      <c r="AA127" s="8" t="s">
        <v>48</v>
      </c>
      <c r="AB127" s="8" t="s">
        <v>47</v>
      </c>
      <c r="AC127" s="8" t="s">
        <v>46</v>
      </c>
      <c r="AD127" s="8" t="s">
        <v>46</v>
      </c>
      <c r="AE127" s="8" t="s">
        <v>46</v>
      </c>
    </row>
    <row r="128" customFormat="false" ht="17.9" hidden="false" customHeight="false" outlineLevel="0" collapsed="false">
      <c r="A128" s="7" t="s">
        <v>174</v>
      </c>
      <c r="B128" s="8" t="s">
        <v>45</v>
      </c>
      <c r="C128" s="8" t="s">
        <v>46</v>
      </c>
      <c r="D128" s="8" t="s">
        <v>48</v>
      </c>
      <c r="E128" s="8" t="s">
        <v>47</v>
      </c>
      <c r="F128" s="8" t="s">
        <v>46</v>
      </c>
      <c r="G128" s="8" t="s">
        <v>47</v>
      </c>
      <c r="H128" s="8" t="s">
        <v>46</v>
      </c>
      <c r="I128" s="8" t="s">
        <v>46</v>
      </c>
      <c r="J128" s="8" t="s">
        <v>48</v>
      </c>
      <c r="K128" s="8" t="s">
        <v>45</v>
      </c>
      <c r="L128" s="8" t="s">
        <v>48</v>
      </c>
      <c r="M128" s="8" t="s">
        <v>46</v>
      </c>
      <c r="N128" s="8" t="s">
        <v>47</v>
      </c>
      <c r="O128" s="8" t="s">
        <v>45</v>
      </c>
      <c r="P128" s="8" t="s">
        <v>45</v>
      </c>
      <c r="Q128" s="8" t="s">
        <v>48</v>
      </c>
      <c r="R128" s="8" t="s">
        <v>48</v>
      </c>
      <c r="S128" s="8" t="s">
        <v>46</v>
      </c>
      <c r="T128" s="8" t="s">
        <v>45</v>
      </c>
      <c r="U128" s="8" t="s">
        <v>45</v>
      </c>
      <c r="V128" s="8" t="s">
        <v>46</v>
      </c>
      <c r="W128" s="8" t="s">
        <v>45</v>
      </c>
      <c r="X128" s="8" t="s">
        <v>46</v>
      </c>
      <c r="Y128" s="8" t="s">
        <v>47</v>
      </c>
      <c r="Z128" s="8" t="s">
        <v>46</v>
      </c>
      <c r="AA128" s="8" t="s">
        <v>48</v>
      </c>
      <c r="AB128" s="8" t="s">
        <v>46</v>
      </c>
      <c r="AC128" s="8" t="s">
        <v>47</v>
      </c>
      <c r="AD128" s="8" t="s">
        <v>46</v>
      </c>
      <c r="AE128" s="8" t="s">
        <v>46</v>
      </c>
    </row>
    <row r="129" customFormat="false" ht="17.9" hidden="false" customHeight="false" outlineLevel="0" collapsed="false">
      <c r="A129" s="7" t="s">
        <v>175</v>
      </c>
      <c r="B129" s="8" t="s">
        <v>46</v>
      </c>
      <c r="C129" s="8" t="s">
        <v>47</v>
      </c>
      <c r="D129" s="8" t="s">
        <v>48</v>
      </c>
      <c r="E129" s="8" t="s">
        <v>47</v>
      </c>
      <c r="F129" s="8" t="s">
        <v>47</v>
      </c>
      <c r="G129" s="8" t="s">
        <v>47</v>
      </c>
      <c r="H129" s="8" t="s">
        <v>46</v>
      </c>
      <c r="I129" s="8" t="s">
        <v>46</v>
      </c>
      <c r="J129" s="8" t="s">
        <v>48</v>
      </c>
      <c r="K129" s="8" t="s">
        <v>47</v>
      </c>
      <c r="L129" s="8" t="s">
        <v>48</v>
      </c>
      <c r="M129" s="8" t="s">
        <v>46</v>
      </c>
      <c r="N129" s="8" t="s">
        <v>48</v>
      </c>
      <c r="O129" s="8" t="s">
        <v>45</v>
      </c>
      <c r="P129" s="8" t="s">
        <v>46</v>
      </c>
      <c r="Q129" s="8" t="s">
        <v>48</v>
      </c>
      <c r="R129" s="8" t="s">
        <v>48</v>
      </c>
      <c r="S129" s="8" t="s">
        <v>46</v>
      </c>
      <c r="T129" s="8" t="s">
        <v>48</v>
      </c>
      <c r="U129" s="8" t="s">
        <v>48</v>
      </c>
      <c r="V129" s="8" t="s">
        <v>46</v>
      </c>
      <c r="W129" s="8" t="s">
        <v>46</v>
      </c>
      <c r="X129" s="8" t="s">
        <v>48</v>
      </c>
      <c r="Y129" s="8" t="s">
        <v>48</v>
      </c>
      <c r="Z129" s="8" t="s">
        <v>46</v>
      </c>
      <c r="AA129" s="8" t="s">
        <v>48</v>
      </c>
      <c r="AB129" s="8" t="s">
        <v>47</v>
      </c>
      <c r="AC129" s="8" t="s">
        <v>48</v>
      </c>
      <c r="AD129" s="8" t="s">
        <v>46</v>
      </c>
      <c r="AE129" s="8" t="s">
        <v>46</v>
      </c>
    </row>
    <row r="130" customFormat="false" ht="17.9" hidden="false" customHeight="false" outlineLevel="0" collapsed="false">
      <c r="A130" s="7" t="s">
        <v>176</v>
      </c>
      <c r="B130" s="8" t="s">
        <v>48</v>
      </c>
      <c r="C130" s="8" t="s">
        <v>46</v>
      </c>
      <c r="D130" s="8" t="s">
        <v>45</v>
      </c>
      <c r="E130" s="8" t="s">
        <v>47</v>
      </c>
      <c r="F130" s="8" t="s">
        <v>47</v>
      </c>
      <c r="G130" s="8" t="s">
        <v>47</v>
      </c>
      <c r="H130" s="8" t="s">
        <v>46</v>
      </c>
      <c r="I130" s="8" t="s">
        <v>46</v>
      </c>
      <c r="J130" s="8" t="s">
        <v>48</v>
      </c>
      <c r="K130" s="8" t="s">
        <v>45</v>
      </c>
      <c r="L130" s="8" t="s">
        <v>48</v>
      </c>
      <c r="M130" s="8" t="s">
        <v>46</v>
      </c>
      <c r="N130" s="8" t="s">
        <v>47</v>
      </c>
      <c r="O130" s="8" t="s">
        <v>45</v>
      </c>
      <c r="P130" s="8" t="s">
        <v>46</v>
      </c>
      <c r="Q130" s="8" t="s">
        <v>48</v>
      </c>
      <c r="R130" s="8" t="s">
        <v>48</v>
      </c>
      <c r="S130" s="8" t="s">
        <v>46</v>
      </c>
      <c r="T130" s="8" t="s">
        <v>45</v>
      </c>
      <c r="U130" s="8" t="s">
        <v>45</v>
      </c>
      <c r="V130" s="8" t="s">
        <v>46</v>
      </c>
      <c r="W130" s="8" t="s">
        <v>46</v>
      </c>
      <c r="X130" s="8" t="s">
        <v>46</v>
      </c>
      <c r="Y130" s="8" t="s">
        <v>47</v>
      </c>
      <c r="Z130" s="8" t="s">
        <v>46</v>
      </c>
      <c r="AA130" s="8" t="s">
        <v>47</v>
      </c>
      <c r="AB130" s="8" t="s">
        <v>47</v>
      </c>
      <c r="AC130" s="8" t="s">
        <v>47</v>
      </c>
      <c r="AD130" s="8" t="s">
        <v>46</v>
      </c>
      <c r="AE130" s="8" t="s">
        <v>46</v>
      </c>
    </row>
    <row r="131" customFormat="false" ht="17.9" hidden="false" customHeight="false" outlineLevel="0" collapsed="false">
      <c r="A131" s="7" t="s">
        <v>177</v>
      </c>
      <c r="B131" s="8" t="s">
        <v>46</v>
      </c>
      <c r="C131" s="8" t="s">
        <v>48</v>
      </c>
      <c r="D131" s="8" t="s">
        <v>47</v>
      </c>
      <c r="E131" s="8" t="s">
        <v>47</v>
      </c>
      <c r="F131" s="8" t="s">
        <v>47</v>
      </c>
      <c r="G131" s="8" t="s">
        <v>46</v>
      </c>
      <c r="H131" s="8" t="s">
        <v>47</v>
      </c>
      <c r="I131" s="8" t="s">
        <v>48</v>
      </c>
      <c r="J131" s="8" t="s">
        <v>48</v>
      </c>
      <c r="K131" s="8" t="s">
        <v>46</v>
      </c>
      <c r="L131" s="8" t="s">
        <v>48</v>
      </c>
      <c r="M131" s="8" t="s">
        <v>46</v>
      </c>
      <c r="N131" s="8" t="s">
        <v>48</v>
      </c>
      <c r="O131" s="8" t="s">
        <v>48</v>
      </c>
      <c r="P131" s="8" t="s">
        <v>46</v>
      </c>
      <c r="Q131" s="8" t="s">
        <v>48</v>
      </c>
      <c r="R131" s="8" t="s">
        <v>48</v>
      </c>
      <c r="S131" s="8" t="s">
        <v>45</v>
      </c>
      <c r="T131" s="8" t="s">
        <v>45</v>
      </c>
      <c r="U131" s="8" t="s">
        <v>47</v>
      </c>
      <c r="V131" s="8" t="s">
        <v>46</v>
      </c>
      <c r="W131" s="8" t="s">
        <v>48</v>
      </c>
      <c r="X131" s="8" t="s">
        <v>46</v>
      </c>
      <c r="Y131" s="8" t="s">
        <v>46</v>
      </c>
      <c r="Z131" s="8" t="s">
        <v>46</v>
      </c>
      <c r="AA131" s="8" t="s">
        <v>48</v>
      </c>
      <c r="AB131" s="8" t="s">
        <v>48</v>
      </c>
      <c r="AC131" s="8" t="s">
        <v>45</v>
      </c>
      <c r="AD131" s="8" t="s">
        <v>46</v>
      </c>
      <c r="AE131" s="8" t="s">
        <v>48</v>
      </c>
    </row>
    <row r="132" customFormat="false" ht="17.9" hidden="false" customHeight="false" outlineLevel="0" collapsed="false">
      <c r="A132" s="7" t="s">
        <v>178</v>
      </c>
      <c r="B132" s="8" t="s">
        <v>48</v>
      </c>
      <c r="C132" s="8" t="s">
        <v>45</v>
      </c>
      <c r="D132" s="8" t="s">
        <v>47</v>
      </c>
      <c r="E132" s="8" t="s">
        <v>47</v>
      </c>
      <c r="F132" s="8" t="s">
        <v>48</v>
      </c>
      <c r="G132" s="8" t="s">
        <v>47</v>
      </c>
      <c r="H132" s="8" t="s">
        <v>47</v>
      </c>
      <c r="I132" s="8" t="s">
        <v>48</v>
      </c>
      <c r="J132" s="8" t="s">
        <v>47</v>
      </c>
      <c r="K132" s="8" t="s">
        <v>45</v>
      </c>
      <c r="L132" s="8" t="s">
        <v>47</v>
      </c>
      <c r="M132" s="8" t="s">
        <v>46</v>
      </c>
      <c r="N132" s="8" t="s">
        <v>46</v>
      </c>
      <c r="O132" s="8" t="s">
        <v>48</v>
      </c>
      <c r="P132" s="8" t="s">
        <v>46</v>
      </c>
      <c r="Q132" s="8" t="s">
        <v>46</v>
      </c>
      <c r="R132" s="8" t="s">
        <v>48</v>
      </c>
      <c r="S132" s="8" t="s">
        <v>45</v>
      </c>
      <c r="T132" s="8" t="s">
        <v>46</v>
      </c>
      <c r="U132" s="8" t="s">
        <v>48</v>
      </c>
      <c r="V132" s="8" t="s">
        <v>45</v>
      </c>
      <c r="W132" s="8" t="s">
        <v>45</v>
      </c>
      <c r="X132" s="8" t="s">
        <v>47</v>
      </c>
      <c r="Y132" s="8" t="s">
        <v>48</v>
      </c>
      <c r="Z132" s="8" t="s">
        <v>45</v>
      </c>
      <c r="AA132" s="8" t="s">
        <v>46</v>
      </c>
      <c r="AB132" s="8" t="s">
        <v>47</v>
      </c>
      <c r="AC132" s="8" t="s">
        <v>47</v>
      </c>
      <c r="AD132" s="8" t="s">
        <v>47</v>
      </c>
      <c r="AE132" s="8" t="s">
        <v>47</v>
      </c>
    </row>
    <row r="133" customFormat="false" ht="17.9" hidden="false" customHeight="false" outlineLevel="0" collapsed="false">
      <c r="A133" s="7" t="s">
        <v>179</v>
      </c>
      <c r="B133" s="8" t="s">
        <v>46</v>
      </c>
      <c r="C133" s="8" t="s">
        <v>47</v>
      </c>
      <c r="D133" s="8" t="s">
        <v>46</v>
      </c>
      <c r="E133" s="8" t="s">
        <v>48</v>
      </c>
      <c r="F133" s="8" t="s">
        <v>48</v>
      </c>
      <c r="G133" s="8" t="s">
        <v>46</v>
      </c>
      <c r="H133" s="8" t="s">
        <v>47</v>
      </c>
      <c r="I133" s="8" t="s">
        <v>46</v>
      </c>
      <c r="J133" s="8" t="s">
        <v>48</v>
      </c>
      <c r="K133" s="8" t="s">
        <v>48</v>
      </c>
      <c r="L133" s="8" t="s">
        <v>48</v>
      </c>
      <c r="M133" s="8" t="s">
        <v>46</v>
      </c>
      <c r="N133" s="8" t="s">
        <v>46</v>
      </c>
      <c r="O133" s="8" t="s">
        <v>47</v>
      </c>
      <c r="P133" s="8" t="s">
        <v>45</v>
      </c>
      <c r="Q133" s="8" t="s">
        <v>45</v>
      </c>
      <c r="R133" s="8" t="s">
        <v>47</v>
      </c>
      <c r="S133" s="8" t="s">
        <v>45</v>
      </c>
      <c r="T133" s="8" t="s">
        <v>48</v>
      </c>
      <c r="U133" s="8" t="s">
        <v>46</v>
      </c>
      <c r="V133" s="8" t="s">
        <v>46</v>
      </c>
      <c r="W133" s="8" t="s">
        <v>45</v>
      </c>
      <c r="X133" s="8" t="s">
        <v>47</v>
      </c>
      <c r="Y133" s="8" t="s">
        <v>47</v>
      </c>
      <c r="Z133" s="8" t="s">
        <v>46</v>
      </c>
      <c r="AA133" s="8" t="s">
        <v>46</v>
      </c>
      <c r="AB133" s="8" t="s">
        <v>47</v>
      </c>
      <c r="AC133" s="8" t="s">
        <v>46</v>
      </c>
      <c r="AD133" s="8" t="s">
        <v>46</v>
      </c>
      <c r="AE133" s="8" t="s">
        <v>46</v>
      </c>
    </row>
    <row r="134" customFormat="false" ht="17.9" hidden="false" customHeight="false" outlineLevel="0" collapsed="false">
      <c r="A134" s="7" t="s">
        <v>180</v>
      </c>
      <c r="B134" s="8" t="s">
        <v>45</v>
      </c>
      <c r="C134" s="8" t="s">
        <v>48</v>
      </c>
      <c r="D134" s="8" t="s">
        <v>45</v>
      </c>
      <c r="E134" s="8" t="s">
        <v>46</v>
      </c>
      <c r="F134" s="8" t="s">
        <v>47</v>
      </c>
      <c r="G134" s="8" t="s">
        <v>47</v>
      </c>
      <c r="H134" s="8" t="s">
        <v>47</v>
      </c>
      <c r="I134" s="8" t="s">
        <v>46</v>
      </c>
      <c r="J134" s="8" t="s">
        <v>48</v>
      </c>
      <c r="K134" s="8" t="s">
        <v>45</v>
      </c>
      <c r="L134" s="8" t="s">
        <v>47</v>
      </c>
      <c r="M134" s="8" t="s">
        <v>46</v>
      </c>
      <c r="N134" s="8" t="s">
        <v>48</v>
      </c>
      <c r="O134" s="8" t="s">
        <v>45</v>
      </c>
      <c r="P134" s="8" t="s">
        <v>46</v>
      </c>
      <c r="Q134" s="8" t="s">
        <v>48</v>
      </c>
      <c r="R134" s="8" t="s">
        <v>48</v>
      </c>
      <c r="S134" s="8" t="s">
        <v>46</v>
      </c>
      <c r="T134" s="8" t="s">
        <v>45</v>
      </c>
      <c r="U134" s="8" t="s">
        <v>48</v>
      </c>
      <c r="V134" s="8" t="s">
        <v>46</v>
      </c>
      <c r="W134" s="8" t="s">
        <v>46</v>
      </c>
      <c r="X134" s="8" t="s">
        <v>47</v>
      </c>
      <c r="Y134" s="8" t="s">
        <v>45</v>
      </c>
      <c r="Z134" s="8" t="s">
        <v>47</v>
      </c>
      <c r="AA134" s="8" t="s">
        <v>46</v>
      </c>
      <c r="AB134" s="8" t="s">
        <v>47</v>
      </c>
      <c r="AC134" s="8" t="s">
        <v>48</v>
      </c>
      <c r="AD134" s="8" t="s">
        <v>48</v>
      </c>
      <c r="AE134" s="8" t="s">
        <v>45</v>
      </c>
    </row>
    <row r="135" customFormat="false" ht="17.9" hidden="false" customHeight="false" outlineLevel="0" collapsed="false">
      <c r="A135" s="7" t="s">
        <v>181</v>
      </c>
      <c r="B135" s="8" t="s">
        <v>45</v>
      </c>
      <c r="C135" s="8" t="s">
        <v>46</v>
      </c>
      <c r="D135" s="8" t="s">
        <v>46</v>
      </c>
      <c r="E135" s="8" t="s">
        <v>47</v>
      </c>
      <c r="F135" s="8" t="s">
        <v>47</v>
      </c>
      <c r="G135" s="8" t="s">
        <v>45</v>
      </c>
      <c r="H135" s="8" t="s">
        <v>46</v>
      </c>
      <c r="I135" s="8" t="s">
        <v>46</v>
      </c>
      <c r="J135" s="8" t="s">
        <v>48</v>
      </c>
      <c r="K135" s="8" t="s">
        <v>45</v>
      </c>
      <c r="L135" s="8" t="s">
        <v>48</v>
      </c>
      <c r="M135" s="8" t="s">
        <v>46</v>
      </c>
      <c r="N135" s="8" t="s">
        <v>48</v>
      </c>
      <c r="O135" s="8" t="s">
        <v>47</v>
      </c>
      <c r="P135" s="8" t="s">
        <v>48</v>
      </c>
      <c r="Q135" s="8" t="s">
        <v>48</v>
      </c>
      <c r="R135" s="8" t="s">
        <v>48</v>
      </c>
      <c r="S135" s="8" t="s">
        <v>45</v>
      </c>
      <c r="T135" s="8" t="s">
        <v>45</v>
      </c>
      <c r="U135" s="8" t="s">
        <v>45</v>
      </c>
      <c r="V135" s="8" t="s">
        <v>48</v>
      </c>
      <c r="W135" s="8" t="s">
        <v>48</v>
      </c>
      <c r="X135" s="8" t="s">
        <v>46</v>
      </c>
      <c r="Y135" s="8" t="s">
        <v>47</v>
      </c>
      <c r="Z135" s="8" t="s">
        <v>46</v>
      </c>
      <c r="AA135" s="8" t="s">
        <v>46</v>
      </c>
      <c r="AB135" s="8" t="s">
        <v>47</v>
      </c>
      <c r="AC135" s="8" t="s">
        <v>47</v>
      </c>
      <c r="AD135" s="8" t="s">
        <v>46</v>
      </c>
      <c r="AE135" s="8" t="s">
        <v>46</v>
      </c>
    </row>
    <row r="136" customFormat="false" ht="17.9" hidden="false" customHeight="false" outlineLevel="0" collapsed="false">
      <c r="A136" s="7" t="s">
        <v>182</v>
      </c>
      <c r="B136" s="8" t="s">
        <v>45</v>
      </c>
      <c r="C136" s="8" t="s">
        <v>47</v>
      </c>
      <c r="D136" s="8" t="s">
        <v>46</v>
      </c>
      <c r="E136" s="8" t="s">
        <v>45</v>
      </c>
      <c r="F136" s="8" t="s">
        <v>47</v>
      </c>
      <c r="G136" s="8" t="s">
        <v>47</v>
      </c>
      <c r="H136" s="8" t="s">
        <v>47</v>
      </c>
      <c r="I136" s="8" t="s">
        <v>47</v>
      </c>
      <c r="J136" s="8" t="s">
        <v>48</v>
      </c>
      <c r="K136" s="8" t="s">
        <v>45</v>
      </c>
      <c r="L136" s="8" t="s">
        <v>48</v>
      </c>
      <c r="M136" s="8" t="s">
        <v>46</v>
      </c>
      <c r="N136" s="8" t="s">
        <v>45</v>
      </c>
      <c r="O136" s="8" t="s">
        <v>46</v>
      </c>
      <c r="P136" s="8" t="s">
        <v>48</v>
      </c>
      <c r="Q136" s="8" t="s">
        <v>48</v>
      </c>
      <c r="R136" s="8" t="s">
        <v>47</v>
      </c>
      <c r="S136" s="8" t="s">
        <v>47</v>
      </c>
      <c r="T136" s="8" t="s">
        <v>48</v>
      </c>
      <c r="U136" s="8" t="s">
        <v>48</v>
      </c>
      <c r="V136" s="8" t="s">
        <v>47</v>
      </c>
      <c r="W136" s="8" t="s">
        <v>45</v>
      </c>
      <c r="X136" s="8" t="s">
        <v>47</v>
      </c>
      <c r="Y136" s="8" t="s">
        <v>46</v>
      </c>
      <c r="Z136" s="8" t="s">
        <v>46</v>
      </c>
      <c r="AA136" s="8" t="s">
        <v>46</v>
      </c>
      <c r="AB136" s="8" t="s">
        <v>47</v>
      </c>
      <c r="AC136" s="8" t="s">
        <v>47</v>
      </c>
      <c r="AD136" s="8" t="s">
        <v>46</v>
      </c>
      <c r="AE136" s="8" t="s">
        <v>46</v>
      </c>
    </row>
    <row r="137" customFormat="false" ht="17.9" hidden="false" customHeight="false" outlineLevel="0" collapsed="false">
      <c r="A137" s="7" t="s">
        <v>183</v>
      </c>
      <c r="B137" s="8" t="s">
        <v>47</v>
      </c>
      <c r="C137" s="8" t="s">
        <v>45</v>
      </c>
      <c r="D137" s="8" t="s">
        <v>47</v>
      </c>
      <c r="E137" s="8" t="s">
        <v>47</v>
      </c>
      <c r="F137" s="8" t="s">
        <v>46</v>
      </c>
      <c r="G137" s="8" t="s">
        <v>46</v>
      </c>
      <c r="H137" s="8" t="s">
        <v>46</v>
      </c>
      <c r="I137" s="8" t="s">
        <v>46</v>
      </c>
      <c r="J137" s="8" t="s">
        <v>45</v>
      </c>
      <c r="K137" s="8" t="s">
        <v>47</v>
      </c>
      <c r="L137" s="8" t="s">
        <v>46</v>
      </c>
      <c r="M137" s="8" t="s">
        <v>46</v>
      </c>
      <c r="N137" s="8" t="s">
        <v>46</v>
      </c>
      <c r="O137" s="8" t="s">
        <v>46</v>
      </c>
      <c r="P137" s="8" t="s">
        <v>48</v>
      </c>
      <c r="Q137" s="8" t="s">
        <v>45</v>
      </c>
      <c r="R137" s="8" t="s">
        <v>48</v>
      </c>
      <c r="S137" s="8" t="s">
        <v>48</v>
      </c>
      <c r="T137" s="8" t="s">
        <v>45</v>
      </c>
      <c r="U137" s="8" t="s">
        <v>47</v>
      </c>
      <c r="V137" s="8" t="s">
        <v>47</v>
      </c>
      <c r="W137" s="8" t="s">
        <v>45</v>
      </c>
      <c r="X137" s="8" t="s">
        <v>48</v>
      </c>
      <c r="Y137" s="8" t="s">
        <v>48</v>
      </c>
      <c r="Z137" s="8" t="s">
        <v>47</v>
      </c>
      <c r="AA137" s="8" t="s">
        <v>48</v>
      </c>
      <c r="AB137" s="8" t="s">
        <v>47</v>
      </c>
      <c r="AC137" s="8" t="s">
        <v>46</v>
      </c>
      <c r="AD137" s="8" t="s">
        <v>48</v>
      </c>
      <c r="AE137" s="8" t="s">
        <v>47</v>
      </c>
    </row>
    <row r="138" customFormat="false" ht="17.9" hidden="false" customHeight="false" outlineLevel="0" collapsed="false">
      <c r="A138" s="7" t="s">
        <v>184</v>
      </c>
      <c r="B138" s="8" t="s">
        <v>45</v>
      </c>
      <c r="C138" s="8" t="s">
        <v>46</v>
      </c>
      <c r="D138" s="8" t="s">
        <v>45</v>
      </c>
      <c r="E138" s="8" t="s">
        <v>47</v>
      </c>
      <c r="F138" s="8" t="s">
        <v>47</v>
      </c>
      <c r="G138" s="8" t="s">
        <v>47</v>
      </c>
      <c r="H138" s="8" t="s">
        <v>46</v>
      </c>
      <c r="I138" s="8" t="s">
        <v>46</v>
      </c>
      <c r="J138" s="8" t="s">
        <v>48</v>
      </c>
      <c r="K138" s="8" t="s">
        <v>45</v>
      </c>
      <c r="L138" s="8" t="s">
        <v>48</v>
      </c>
      <c r="M138" s="8" t="s">
        <v>46</v>
      </c>
      <c r="N138" s="8" t="s">
        <v>47</v>
      </c>
      <c r="O138" s="8" t="s">
        <v>45</v>
      </c>
      <c r="P138" s="8" t="s">
        <v>48</v>
      </c>
      <c r="Q138" s="8" t="s">
        <v>48</v>
      </c>
      <c r="R138" s="8" t="s">
        <v>48</v>
      </c>
      <c r="S138" s="8" t="s">
        <v>48</v>
      </c>
      <c r="T138" s="8" t="s">
        <v>45</v>
      </c>
      <c r="U138" s="8" t="s">
        <v>45</v>
      </c>
      <c r="V138" s="8" t="s">
        <v>46</v>
      </c>
      <c r="W138" s="8" t="s">
        <v>46</v>
      </c>
      <c r="X138" s="8" t="s">
        <v>46</v>
      </c>
      <c r="Y138" s="8" t="s">
        <v>47</v>
      </c>
      <c r="Z138" s="8" t="s">
        <v>46</v>
      </c>
      <c r="AA138" s="8" t="s">
        <v>47</v>
      </c>
      <c r="AB138" s="8" t="s">
        <v>47</v>
      </c>
      <c r="AC138" s="8" t="s">
        <v>47</v>
      </c>
      <c r="AD138" s="8" t="s">
        <v>46</v>
      </c>
      <c r="AE138" s="8" t="s">
        <v>46</v>
      </c>
    </row>
    <row r="139" customFormat="false" ht="17.9" hidden="false" customHeight="false" outlineLevel="0" collapsed="false">
      <c r="A139" s="7" t="s">
        <v>185</v>
      </c>
      <c r="B139" s="8" t="s">
        <v>46</v>
      </c>
      <c r="C139" s="8" t="s">
        <v>46</v>
      </c>
      <c r="D139" s="8" t="s">
        <v>45</v>
      </c>
      <c r="E139" s="8" t="s">
        <v>47</v>
      </c>
      <c r="F139" s="8" t="s">
        <v>46</v>
      </c>
      <c r="G139" s="8" t="s">
        <v>47</v>
      </c>
      <c r="H139" s="8" t="s">
        <v>46</v>
      </c>
      <c r="I139" s="8" t="s">
        <v>47</v>
      </c>
      <c r="J139" s="8" t="s">
        <v>48</v>
      </c>
      <c r="K139" s="8" t="s">
        <v>45</v>
      </c>
      <c r="L139" s="8" t="s">
        <v>48</v>
      </c>
      <c r="M139" s="8" t="s">
        <v>46</v>
      </c>
      <c r="N139" s="8" t="s">
        <v>47</v>
      </c>
      <c r="O139" s="8" t="s">
        <v>45</v>
      </c>
      <c r="P139" s="8" t="s">
        <v>46</v>
      </c>
      <c r="Q139" s="8" t="s">
        <v>48</v>
      </c>
      <c r="R139" s="8" t="s">
        <v>48</v>
      </c>
      <c r="S139" s="8" t="s">
        <v>48</v>
      </c>
      <c r="T139" s="8" t="s">
        <v>45</v>
      </c>
      <c r="U139" s="8" t="s">
        <v>45</v>
      </c>
      <c r="V139" s="8" t="s">
        <v>46</v>
      </c>
      <c r="W139" s="8" t="s">
        <v>46</v>
      </c>
      <c r="X139" s="8" t="s">
        <v>46</v>
      </c>
      <c r="Y139" s="8" t="s">
        <v>47</v>
      </c>
      <c r="Z139" s="8" t="s">
        <v>46</v>
      </c>
      <c r="AA139" s="8" t="s">
        <v>47</v>
      </c>
      <c r="AB139" s="8" t="s">
        <v>47</v>
      </c>
      <c r="AC139" s="8" t="s">
        <v>47</v>
      </c>
      <c r="AD139" s="8" t="s">
        <v>46</v>
      </c>
      <c r="AE139" s="8" t="s">
        <v>46</v>
      </c>
    </row>
    <row r="140" customFormat="false" ht="17.9" hidden="false" customHeight="false" outlineLevel="0" collapsed="false">
      <c r="A140" s="7" t="s">
        <v>186</v>
      </c>
      <c r="B140" s="8" t="s">
        <v>45</v>
      </c>
      <c r="C140" s="8" t="s">
        <v>46</v>
      </c>
      <c r="D140" s="8" t="s">
        <v>45</v>
      </c>
      <c r="E140" s="8" t="s">
        <v>47</v>
      </c>
      <c r="F140" s="8" t="s">
        <v>47</v>
      </c>
      <c r="G140" s="8" t="s">
        <v>47</v>
      </c>
      <c r="H140" s="8" t="s">
        <v>46</v>
      </c>
      <c r="I140" s="8" t="s">
        <v>46</v>
      </c>
      <c r="J140" s="8" t="s">
        <v>48</v>
      </c>
      <c r="K140" s="8" t="s">
        <v>45</v>
      </c>
      <c r="L140" s="8" t="s">
        <v>47</v>
      </c>
      <c r="M140" s="8" t="s">
        <v>46</v>
      </c>
      <c r="N140" s="8" t="s">
        <v>47</v>
      </c>
      <c r="O140" s="8" t="s">
        <v>45</v>
      </c>
      <c r="P140" s="8" t="s">
        <v>46</v>
      </c>
      <c r="Q140" s="8" t="s">
        <v>48</v>
      </c>
      <c r="R140" s="8" t="s">
        <v>48</v>
      </c>
      <c r="S140" s="8" t="s">
        <v>47</v>
      </c>
      <c r="T140" s="8" t="s">
        <v>45</v>
      </c>
      <c r="U140" s="8" t="s">
        <v>45</v>
      </c>
      <c r="V140" s="8" t="s">
        <v>46</v>
      </c>
      <c r="W140" s="8" t="s">
        <v>46</v>
      </c>
      <c r="X140" s="8" t="s">
        <v>46</v>
      </c>
      <c r="Y140" s="8" t="s">
        <v>47</v>
      </c>
      <c r="Z140" s="8" t="s">
        <v>46</v>
      </c>
      <c r="AA140" s="8" t="s">
        <v>47</v>
      </c>
      <c r="AB140" s="8" t="s">
        <v>48</v>
      </c>
      <c r="AC140" s="8" t="s">
        <v>47</v>
      </c>
      <c r="AD140" s="8" t="s">
        <v>46</v>
      </c>
      <c r="AE140" s="8" t="s">
        <v>46</v>
      </c>
    </row>
    <row r="141" customFormat="false" ht="17.9" hidden="false" customHeight="false" outlineLevel="0" collapsed="false">
      <c r="A141" s="7" t="s">
        <v>187</v>
      </c>
      <c r="B141" s="8" t="s">
        <v>47</v>
      </c>
      <c r="C141" s="8" t="s">
        <v>48</v>
      </c>
      <c r="D141" s="8" t="s">
        <v>45</v>
      </c>
      <c r="E141" s="8" t="s">
        <v>47</v>
      </c>
      <c r="F141" s="8" t="s">
        <v>48</v>
      </c>
      <c r="G141" s="8" t="s">
        <v>45</v>
      </c>
      <c r="H141" s="8" t="s">
        <v>47</v>
      </c>
      <c r="I141" s="8" t="s">
        <v>46</v>
      </c>
      <c r="J141" s="8" t="s">
        <v>46</v>
      </c>
      <c r="K141" s="8" t="s">
        <v>48</v>
      </c>
      <c r="L141" s="8" t="s">
        <v>48</v>
      </c>
      <c r="M141" s="8" t="s">
        <v>47</v>
      </c>
      <c r="N141" s="8" t="s">
        <v>46</v>
      </c>
      <c r="O141" s="8" t="s">
        <v>47</v>
      </c>
      <c r="P141" s="8" t="s">
        <v>47</v>
      </c>
      <c r="Q141" s="8" t="s">
        <v>46</v>
      </c>
      <c r="R141" s="8" t="s">
        <v>47</v>
      </c>
      <c r="S141" s="8" t="s">
        <v>46</v>
      </c>
      <c r="T141" s="8" t="s">
        <v>46</v>
      </c>
      <c r="U141" s="8" t="s">
        <v>47</v>
      </c>
      <c r="V141" s="8" t="s">
        <v>46</v>
      </c>
      <c r="W141" s="8" t="s">
        <v>48</v>
      </c>
      <c r="X141" s="8" t="s">
        <v>48</v>
      </c>
      <c r="Y141" s="8" t="s">
        <v>46</v>
      </c>
      <c r="Z141" s="8" t="s">
        <v>45</v>
      </c>
      <c r="AA141" s="8" t="s">
        <v>48</v>
      </c>
      <c r="AB141" s="8" t="s">
        <v>47</v>
      </c>
      <c r="AC141" s="8" t="s">
        <v>47</v>
      </c>
      <c r="AD141" s="8" t="s">
        <v>48</v>
      </c>
      <c r="AE141" s="8" t="s">
        <v>47</v>
      </c>
    </row>
    <row r="142" customFormat="false" ht="17.9" hidden="false" customHeight="false" outlineLevel="0" collapsed="false">
      <c r="A142" s="7" t="s">
        <v>188</v>
      </c>
      <c r="B142" s="8" t="s">
        <v>45</v>
      </c>
      <c r="C142" s="8" t="s">
        <v>45</v>
      </c>
      <c r="D142" s="8" t="s">
        <v>46</v>
      </c>
      <c r="E142" s="8" t="s">
        <v>45</v>
      </c>
      <c r="F142" s="8" t="s">
        <v>48</v>
      </c>
      <c r="G142" s="8" t="s">
        <v>45</v>
      </c>
      <c r="H142" s="8" t="s">
        <v>46</v>
      </c>
      <c r="I142" s="8" t="s">
        <v>46</v>
      </c>
      <c r="J142" s="8" t="s">
        <v>46</v>
      </c>
      <c r="K142" s="8" t="s">
        <v>48</v>
      </c>
      <c r="L142" s="8" t="s">
        <v>45</v>
      </c>
      <c r="M142" s="8" t="s">
        <v>46</v>
      </c>
      <c r="N142" s="8" t="s">
        <v>46</v>
      </c>
      <c r="O142" s="8" t="s">
        <v>45</v>
      </c>
      <c r="P142" s="8" t="s">
        <v>45</v>
      </c>
      <c r="Q142" s="8" t="s">
        <v>45</v>
      </c>
      <c r="R142" s="8" t="s">
        <v>47</v>
      </c>
      <c r="S142" s="8" t="s">
        <v>48</v>
      </c>
      <c r="T142" s="8" t="s">
        <v>48</v>
      </c>
      <c r="U142" s="8" t="s">
        <v>48</v>
      </c>
      <c r="V142" s="8" t="s">
        <v>47</v>
      </c>
      <c r="W142" s="8" t="s">
        <v>46</v>
      </c>
      <c r="X142" s="8" t="s">
        <v>46</v>
      </c>
      <c r="Y142" s="8" t="s">
        <v>47</v>
      </c>
      <c r="Z142" s="8" t="s">
        <v>45</v>
      </c>
      <c r="AA142" s="8" t="s">
        <v>46</v>
      </c>
      <c r="AB142" s="8" t="s">
        <v>48</v>
      </c>
      <c r="AC142" s="8" t="s">
        <v>46</v>
      </c>
      <c r="AD142" s="8" t="s">
        <v>47</v>
      </c>
      <c r="AE142" s="8" t="s">
        <v>47</v>
      </c>
    </row>
    <row r="143" customFormat="false" ht="17.9" hidden="false" customHeight="false" outlineLevel="0" collapsed="false">
      <c r="A143" s="7" t="s">
        <v>189</v>
      </c>
      <c r="B143" s="8" t="s">
        <v>45</v>
      </c>
      <c r="C143" s="8" t="s">
        <v>48</v>
      </c>
      <c r="D143" s="8" t="s">
        <v>45</v>
      </c>
      <c r="E143" s="8" t="s">
        <v>47</v>
      </c>
      <c r="F143" s="8" t="s">
        <v>47</v>
      </c>
      <c r="G143" s="8" t="s">
        <v>47</v>
      </c>
      <c r="H143" s="8" t="s">
        <v>46</v>
      </c>
      <c r="I143" s="8" t="s">
        <v>46</v>
      </c>
      <c r="J143" s="8" t="s">
        <v>48</v>
      </c>
      <c r="K143" s="8" t="s">
        <v>45</v>
      </c>
      <c r="L143" s="8" t="s">
        <v>48</v>
      </c>
      <c r="M143" s="8" t="s">
        <v>46</v>
      </c>
      <c r="N143" s="8" t="s">
        <v>47</v>
      </c>
      <c r="O143" s="8" t="s">
        <v>45</v>
      </c>
      <c r="P143" s="8" t="s">
        <v>48</v>
      </c>
      <c r="Q143" s="8" t="s">
        <v>48</v>
      </c>
      <c r="R143" s="8" t="s">
        <v>48</v>
      </c>
      <c r="S143" s="8" t="s">
        <v>45</v>
      </c>
      <c r="T143" s="8" t="s">
        <v>46</v>
      </c>
      <c r="U143" s="8" t="s">
        <v>45</v>
      </c>
      <c r="V143" s="8" t="s">
        <v>46</v>
      </c>
      <c r="W143" s="8" t="s">
        <v>46</v>
      </c>
      <c r="X143" s="8" t="s">
        <v>46</v>
      </c>
      <c r="Y143" s="8" t="s">
        <v>47</v>
      </c>
      <c r="Z143" s="8" t="s">
        <v>46</v>
      </c>
      <c r="AA143" s="8" t="s">
        <v>48</v>
      </c>
      <c r="AB143" s="8" t="s">
        <v>46</v>
      </c>
      <c r="AC143" s="8" t="s">
        <v>47</v>
      </c>
      <c r="AD143" s="8" t="s">
        <v>46</v>
      </c>
      <c r="AE143" s="8" t="s">
        <v>46</v>
      </c>
    </row>
    <row r="144" customFormat="false" ht="17.9" hidden="false" customHeight="false" outlineLevel="0" collapsed="false">
      <c r="A144" s="7" t="s">
        <v>190</v>
      </c>
      <c r="B144" s="8" t="s">
        <v>46</v>
      </c>
      <c r="C144" s="8" t="s">
        <v>48</v>
      </c>
      <c r="D144" s="8" t="s">
        <v>48</v>
      </c>
      <c r="E144" s="8" t="s">
        <v>45</v>
      </c>
      <c r="F144" s="8" t="s">
        <v>47</v>
      </c>
      <c r="G144" s="8" t="s">
        <v>46</v>
      </c>
      <c r="H144" s="8" t="s">
        <v>48</v>
      </c>
      <c r="I144" s="8" t="s">
        <v>47</v>
      </c>
      <c r="J144" s="8" t="s">
        <v>46</v>
      </c>
      <c r="K144" s="8" t="s">
        <v>46</v>
      </c>
      <c r="L144" s="8" t="s">
        <v>48</v>
      </c>
      <c r="M144" s="8" t="s">
        <v>46</v>
      </c>
      <c r="N144" s="8" t="s">
        <v>48</v>
      </c>
      <c r="O144" s="8" t="s">
        <v>46</v>
      </c>
      <c r="P144" s="8" t="s">
        <v>48</v>
      </c>
      <c r="Q144" s="8" t="s">
        <v>48</v>
      </c>
      <c r="R144" s="8" t="s">
        <v>48</v>
      </c>
      <c r="S144" s="8" t="s">
        <v>48</v>
      </c>
      <c r="T144" s="8" t="s">
        <v>46</v>
      </c>
      <c r="U144" s="8" t="s">
        <v>45</v>
      </c>
      <c r="V144" s="8" t="s">
        <v>48</v>
      </c>
      <c r="W144" s="8" t="s">
        <v>45</v>
      </c>
      <c r="X144" s="8" t="s">
        <v>46</v>
      </c>
      <c r="Y144" s="8" t="s">
        <v>45</v>
      </c>
      <c r="Z144" s="8" t="s">
        <v>48</v>
      </c>
      <c r="AA144" s="8" t="s">
        <v>48</v>
      </c>
      <c r="AB144" s="8" t="s">
        <v>45</v>
      </c>
      <c r="AC144" s="8" t="s">
        <v>46</v>
      </c>
      <c r="AD144" s="8" t="s">
        <v>46</v>
      </c>
      <c r="AE144" s="8" t="s">
        <v>45</v>
      </c>
    </row>
    <row r="145" customFormat="false" ht="17.9" hidden="false" customHeight="false" outlineLevel="0" collapsed="false">
      <c r="A145" s="7" t="s">
        <v>191</v>
      </c>
      <c r="B145" s="8" t="s">
        <v>48</v>
      </c>
      <c r="C145" s="8" t="s">
        <v>47</v>
      </c>
      <c r="D145" s="8" t="s">
        <v>46</v>
      </c>
      <c r="E145" s="8" t="s">
        <v>47</v>
      </c>
      <c r="F145" s="8" t="s">
        <v>48</v>
      </c>
      <c r="G145" s="8" t="s">
        <v>45</v>
      </c>
      <c r="H145" s="8" t="s">
        <v>46</v>
      </c>
      <c r="I145" s="8" t="s">
        <v>46</v>
      </c>
      <c r="J145" s="8" t="s">
        <v>48</v>
      </c>
      <c r="K145" s="8" t="s">
        <v>47</v>
      </c>
      <c r="L145" s="8" t="s">
        <v>48</v>
      </c>
      <c r="M145" s="8" t="s">
        <v>46</v>
      </c>
      <c r="N145" s="8" t="s">
        <v>47</v>
      </c>
      <c r="O145" s="8" t="s">
        <v>45</v>
      </c>
      <c r="P145" s="8" t="s">
        <v>46</v>
      </c>
      <c r="Q145" s="8" t="s">
        <v>48</v>
      </c>
      <c r="R145" s="8" t="s">
        <v>48</v>
      </c>
      <c r="S145" s="8" t="s">
        <v>48</v>
      </c>
      <c r="T145" s="8" t="s">
        <v>45</v>
      </c>
      <c r="U145" s="8" t="s">
        <v>45</v>
      </c>
      <c r="V145" s="8" t="s">
        <v>45</v>
      </c>
      <c r="W145" s="8" t="s">
        <v>47</v>
      </c>
      <c r="X145" s="8" t="s">
        <v>46</v>
      </c>
      <c r="Y145" s="8" t="s">
        <v>45</v>
      </c>
      <c r="Z145" s="8" t="s">
        <v>46</v>
      </c>
      <c r="AA145" s="8" t="s">
        <v>48</v>
      </c>
      <c r="AB145" s="8" t="s">
        <v>47</v>
      </c>
      <c r="AC145" s="8" t="s">
        <v>45</v>
      </c>
      <c r="AD145" s="8" t="s">
        <v>47</v>
      </c>
      <c r="AE145" s="8" t="s">
        <v>45</v>
      </c>
    </row>
    <row r="146" customFormat="false" ht="17.9" hidden="false" customHeight="false" outlineLevel="0" collapsed="false">
      <c r="A146" s="7" t="s">
        <v>192</v>
      </c>
      <c r="B146" s="8" t="s">
        <v>46</v>
      </c>
      <c r="C146" s="8" t="s">
        <v>46</v>
      </c>
      <c r="D146" s="8" t="s">
        <v>48</v>
      </c>
      <c r="E146" s="8" t="s">
        <v>47</v>
      </c>
      <c r="F146" s="8" t="s">
        <v>48</v>
      </c>
      <c r="G146" s="8" t="s">
        <v>47</v>
      </c>
      <c r="H146" s="8" t="s">
        <v>46</v>
      </c>
      <c r="I146" s="8" t="s">
        <v>46</v>
      </c>
      <c r="J146" s="8" t="s">
        <v>48</v>
      </c>
      <c r="K146" s="8" t="s">
        <v>45</v>
      </c>
      <c r="L146" s="8" t="s">
        <v>46</v>
      </c>
      <c r="M146" s="8" t="s">
        <v>46</v>
      </c>
      <c r="N146" s="8" t="s">
        <v>46</v>
      </c>
      <c r="O146" s="8" t="s">
        <v>45</v>
      </c>
      <c r="P146" s="8" t="s">
        <v>46</v>
      </c>
      <c r="Q146" s="8" t="s">
        <v>48</v>
      </c>
      <c r="R146" s="8" t="s">
        <v>48</v>
      </c>
      <c r="S146" s="8" t="s">
        <v>47</v>
      </c>
      <c r="T146" s="8" t="s">
        <v>48</v>
      </c>
      <c r="U146" s="8" t="s">
        <v>45</v>
      </c>
      <c r="V146" s="8" t="s">
        <v>48</v>
      </c>
      <c r="W146" s="8" t="s">
        <v>48</v>
      </c>
      <c r="X146" s="8" t="s">
        <v>46</v>
      </c>
      <c r="Y146" s="8" t="s">
        <v>47</v>
      </c>
      <c r="Z146" s="8" t="s">
        <v>46</v>
      </c>
      <c r="AA146" s="8" t="s">
        <v>47</v>
      </c>
      <c r="AB146" s="8" t="s">
        <v>48</v>
      </c>
      <c r="AC146" s="8" t="s">
        <v>45</v>
      </c>
      <c r="AD146" s="8" t="s">
        <v>46</v>
      </c>
      <c r="AE146" s="8" t="s">
        <v>46</v>
      </c>
    </row>
    <row r="147" customFormat="false" ht="17.9" hidden="false" customHeight="false" outlineLevel="0" collapsed="false">
      <c r="A147" s="7" t="s">
        <v>193</v>
      </c>
      <c r="B147" s="8" t="s">
        <v>46</v>
      </c>
      <c r="C147" s="8" t="s">
        <v>45</v>
      </c>
      <c r="D147" s="8" t="s">
        <v>45</v>
      </c>
      <c r="E147" s="8" t="s">
        <v>46</v>
      </c>
      <c r="F147" s="8" t="s">
        <v>47</v>
      </c>
      <c r="G147" s="8" t="s">
        <v>47</v>
      </c>
      <c r="H147" s="8" t="s">
        <v>46</v>
      </c>
      <c r="I147" s="8" t="s">
        <v>46</v>
      </c>
      <c r="J147" s="8" t="s">
        <v>48</v>
      </c>
      <c r="K147" s="8" t="s">
        <v>46</v>
      </c>
      <c r="L147" s="8" t="s">
        <v>45</v>
      </c>
      <c r="M147" s="8" t="s">
        <v>45</v>
      </c>
      <c r="N147" s="8" t="s">
        <v>48</v>
      </c>
      <c r="O147" s="8" t="s">
        <v>46</v>
      </c>
      <c r="P147" s="8" t="s">
        <v>45</v>
      </c>
      <c r="Q147" s="8" t="s">
        <v>48</v>
      </c>
      <c r="R147" s="8" t="s">
        <v>48</v>
      </c>
      <c r="S147" s="8" t="s">
        <v>46</v>
      </c>
      <c r="T147" s="8" t="s">
        <v>45</v>
      </c>
      <c r="U147" s="8" t="s">
        <v>46</v>
      </c>
      <c r="V147" s="8" t="s">
        <v>45</v>
      </c>
      <c r="W147" s="8" t="s">
        <v>48</v>
      </c>
      <c r="X147" s="8" t="s">
        <v>46</v>
      </c>
      <c r="Y147" s="8" t="s">
        <v>46</v>
      </c>
      <c r="Z147" s="8" t="s">
        <v>48</v>
      </c>
      <c r="AA147" s="8" t="s">
        <v>48</v>
      </c>
      <c r="AB147" s="8" t="s">
        <v>48</v>
      </c>
      <c r="AC147" s="8" t="s">
        <v>48</v>
      </c>
      <c r="AD147" s="8" t="s">
        <v>45</v>
      </c>
      <c r="AE147" s="8" t="s">
        <v>47</v>
      </c>
    </row>
    <row r="148" customFormat="false" ht="17.9" hidden="false" customHeight="false" outlineLevel="0" collapsed="false">
      <c r="A148" s="7" t="s">
        <v>194</v>
      </c>
      <c r="B148" s="8" t="s">
        <v>45</v>
      </c>
      <c r="C148" s="8" t="s">
        <v>46</v>
      </c>
      <c r="D148" s="8" t="s">
        <v>45</v>
      </c>
      <c r="E148" s="8" t="s">
        <v>47</v>
      </c>
      <c r="F148" s="8" t="s">
        <v>47</v>
      </c>
      <c r="G148" s="8" t="s">
        <v>47</v>
      </c>
      <c r="H148" s="8" t="s">
        <v>46</v>
      </c>
      <c r="I148" s="8" t="s">
        <v>46</v>
      </c>
      <c r="J148" s="8" t="s">
        <v>48</v>
      </c>
      <c r="K148" s="8" t="s">
        <v>45</v>
      </c>
      <c r="L148" s="8" t="s">
        <v>48</v>
      </c>
      <c r="M148" s="8" t="s">
        <v>46</v>
      </c>
      <c r="N148" s="8" t="s">
        <v>47</v>
      </c>
      <c r="O148" s="8" t="s">
        <v>45</v>
      </c>
      <c r="P148" s="8" t="s">
        <v>48</v>
      </c>
      <c r="Q148" s="8" t="s">
        <v>48</v>
      </c>
      <c r="R148" s="8" t="s">
        <v>48</v>
      </c>
      <c r="S148" s="8" t="s">
        <v>48</v>
      </c>
      <c r="T148" s="8" t="s">
        <v>45</v>
      </c>
      <c r="U148" s="8" t="s">
        <v>45</v>
      </c>
      <c r="V148" s="8" t="s">
        <v>46</v>
      </c>
      <c r="W148" s="8" t="s">
        <v>46</v>
      </c>
      <c r="X148" s="8" t="s">
        <v>46</v>
      </c>
      <c r="Y148" s="8" t="s">
        <v>47</v>
      </c>
      <c r="Z148" s="8" t="s">
        <v>46</v>
      </c>
      <c r="AA148" s="8" t="s">
        <v>47</v>
      </c>
      <c r="AB148" s="8" t="s">
        <v>46</v>
      </c>
      <c r="AC148" s="8" t="s">
        <v>47</v>
      </c>
      <c r="AD148" s="8" t="s">
        <v>46</v>
      </c>
      <c r="AE148" s="8" t="s">
        <v>46</v>
      </c>
    </row>
    <row r="149" customFormat="false" ht="17.9" hidden="false" customHeight="false" outlineLevel="0" collapsed="false">
      <c r="A149" s="7" t="s">
        <v>195</v>
      </c>
      <c r="B149" s="8" t="s">
        <v>45</v>
      </c>
      <c r="C149" s="8" t="s">
        <v>46</v>
      </c>
      <c r="D149" s="8" t="s">
        <v>45</v>
      </c>
      <c r="E149" s="8" t="s">
        <v>47</v>
      </c>
      <c r="F149" s="8" t="s">
        <v>47</v>
      </c>
      <c r="G149" s="8" t="s">
        <v>47</v>
      </c>
      <c r="H149" s="8" t="s">
        <v>46</v>
      </c>
      <c r="I149" s="8" t="s">
        <v>46</v>
      </c>
      <c r="J149" s="8" t="s">
        <v>48</v>
      </c>
      <c r="K149" s="8" t="s">
        <v>45</v>
      </c>
      <c r="L149" s="8" t="s">
        <v>48</v>
      </c>
      <c r="M149" s="8" t="s">
        <v>46</v>
      </c>
      <c r="N149" s="8" t="s">
        <v>47</v>
      </c>
      <c r="O149" s="8" t="s">
        <v>45</v>
      </c>
      <c r="P149" s="8" t="s">
        <v>48</v>
      </c>
      <c r="Q149" s="8" t="s">
        <v>48</v>
      </c>
      <c r="R149" s="8" t="s">
        <v>48</v>
      </c>
      <c r="S149" s="8" t="s">
        <v>45</v>
      </c>
      <c r="T149" s="8" t="s">
        <v>45</v>
      </c>
      <c r="U149" s="8" t="s">
        <v>45</v>
      </c>
      <c r="V149" s="8" t="s">
        <v>46</v>
      </c>
      <c r="W149" s="8" t="s">
        <v>46</v>
      </c>
      <c r="X149" s="8" t="s">
        <v>46</v>
      </c>
      <c r="Y149" s="8" t="s">
        <v>47</v>
      </c>
      <c r="Z149" s="8" t="s">
        <v>46</v>
      </c>
      <c r="AA149" s="8" t="s">
        <v>47</v>
      </c>
      <c r="AB149" s="8" t="s">
        <v>46</v>
      </c>
      <c r="AC149" s="8" t="s">
        <v>47</v>
      </c>
      <c r="AD149" s="8" t="s">
        <v>46</v>
      </c>
      <c r="AE149" s="8" t="s">
        <v>46</v>
      </c>
    </row>
    <row r="150" customFormat="false" ht="17.9" hidden="false" customHeight="false" outlineLevel="0" collapsed="false">
      <c r="A150" s="7" t="s">
        <v>196</v>
      </c>
      <c r="B150" s="8" t="s">
        <v>47</v>
      </c>
      <c r="C150" s="8" t="s">
        <v>46</v>
      </c>
      <c r="D150" s="8" t="s">
        <v>47</v>
      </c>
      <c r="E150" s="8" t="s">
        <v>47</v>
      </c>
      <c r="F150" s="8" t="s">
        <v>48</v>
      </c>
      <c r="G150" s="8" t="s">
        <v>47</v>
      </c>
      <c r="H150" s="8" t="s">
        <v>46</v>
      </c>
      <c r="I150" s="8" t="s">
        <v>46</v>
      </c>
      <c r="J150" s="8" t="s">
        <v>48</v>
      </c>
      <c r="K150" s="8" t="s">
        <v>45</v>
      </c>
      <c r="L150" s="8" t="s">
        <v>48</v>
      </c>
      <c r="M150" s="8" t="s">
        <v>46</v>
      </c>
      <c r="N150" s="8" t="s">
        <v>47</v>
      </c>
      <c r="O150" s="8" t="s">
        <v>45</v>
      </c>
      <c r="P150" s="8" t="s">
        <v>46</v>
      </c>
      <c r="Q150" s="8" t="s">
        <v>48</v>
      </c>
      <c r="R150" s="8" t="s">
        <v>48</v>
      </c>
      <c r="S150" s="8" t="s">
        <v>45</v>
      </c>
      <c r="T150" s="8" t="s">
        <v>45</v>
      </c>
      <c r="U150" s="8" t="s">
        <v>48</v>
      </c>
      <c r="V150" s="8" t="s">
        <v>46</v>
      </c>
      <c r="W150" s="8" t="s">
        <v>46</v>
      </c>
      <c r="X150" s="8" t="s">
        <v>47</v>
      </c>
      <c r="Y150" s="8" t="s">
        <v>47</v>
      </c>
      <c r="Z150" s="8" t="s">
        <v>47</v>
      </c>
      <c r="AA150" s="8" t="s">
        <v>46</v>
      </c>
      <c r="AB150" s="8" t="s">
        <v>46</v>
      </c>
      <c r="AC150" s="8" t="s">
        <v>47</v>
      </c>
      <c r="AD150" s="8" t="s">
        <v>47</v>
      </c>
      <c r="AE150" s="8" t="s">
        <v>46</v>
      </c>
    </row>
    <row r="151" customFormat="false" ht="17.9" hidden="false" customHeight="false" outlineLevel="0" collapsed="false">
      <c r="A151" s="7" t="s">
        <v>197</v>
      </c>
      <c r="B151" s="8" t="s">
        <v>47</v>
      </c>
      <c r="C151" s="8" t="s">
        <v>46</v>
      </c>
      <c r="D151" s="8" t="s">
        <v>46</v>
      </c>
      <c r="E151" s="8" t="s">
        <v>47</v>
      </c>
      <c r="F151" s="8" t="s">
        <v>48</v>
      </c>
      <c r="G151" s="8" t="s">
        <v>47</v>
      </c>
      <c r="H151" s="8" t="s">
        <v>46</v>
      </c>
      <c r="I151" s="8" t="s">
        <v>47</v>
      </c>
      <c r="J151" s="8" t="s">
        <v>48</v>
      </c>
      <c r="K151" s="8" t="s">
        <v>47</v>
      </c>
      <c r="L151" s="8" t="s">
        <v>48</v>
      </c>
      <c r="M151" s="8" t="s">
        <v>46</v>
      </c>
      <c r="N151" s="8" t="s">
        <v>45</v>
      </c>
      <c r="O151" s="8" t="s">
        <v>48</v>
      </c>
      <c r="P151" s="8" t="s">
        <v>46</v>
      </c>
      <c r="Q151" s="8" t="s">
        <v>48</v>
      </c>
      <c r="R151" s="8" t="s">
        <v>48</v>
      </c>
      <c r="S151" s="8" t="s">
        <v>48</v>
      </c>
      <c r="T151" s="8" t="s">
        <v>46</v>
      </c>
      <c r="U151" s="8" t="s">
        <v>45</v>
      </c>
      <c r="V151" s="8" t="s">
        <v>48</v>
      </c>
      <c r="W151" s="8" t="s">
        <v>46</v>
      </c>
      <c r="X151" s="8" t="s">
        <v>47</v>
      </c>
      <c r="Y151" s="8" t="s">
        <v>47</v>
      </c>
      <c r="Z151" s="8" t="s">
        <v>46</v>
      </c>
      <c r="AA151" s="8" t="s">
        <v>48</v>
      </c>
      <c r="AB151" s="8" t="s">
        <v>47</v>
      </c>
      <c r="AC151" s="8" t="s">
        <v>47</v>
      </c>
      <c r="AD151" s="8" t="s">
        <v>46</v>
      </c>
      <c r="AE151" s="8" t="s">
        <v>46</v>
      </c>
    </row>
    <row r="152" customFormat="false" ht="17.9" hidden="false" customHeight="false" outlineLevel="0" collapsed="false">
      <c r="A152" s="7" t="s">
        <v>198</v>
      </c>
      <c r="B152" s="8" t="s">
        <v>45</v>
      </c>
      <c r="C152" s="8" t="s">
        <v>47</v>
      </c>
      <c r="D152" s="8" t="s">
        <v>47</v>
      </c>
      <c r="E152" s="8" t="s">
        <v>47</v>
      </c>
      <c r="F152" s="8" t="s">
        <v>47</v>
      </c>
      <c r="G152" s="8" t="s">
        <v>48</v>
      </c>
      <c r="H152" s="8" t="s">
        <v>47</v>
      </c>
      <c r="I152" s="8" t="s">
        <v>46</v>
      </c>
      <c r="J152" s="8" t="s">
        <v>48</v>
      </c>
      <c r="K152" s="8" t="s">
        <v>45</v>
      </c>
      <c r="L152" s="8" t="s">
        <v>48</v>
      </c>
      <c r="M152" s="8" t="s">
        <v>46</v>
      </c>
      <c r="N152" s="8" t="s">
        <v>47</v>
      </c>
      <c r="O152" s="8" t="s">
        <v>45</v>
      </c>
      <c r="P152" s="8" t="s">
        <v>46</v>
      </c>
      <c r="Q152" s="8" t="s">
        <v>48</v>
      </c>
      <c r="R152" s="8" t="s">
        <v>48</v>
      </c>
      <c r="S152" s="8" t="s">
        <v>46</v>
      </c>
      <c r="T152" s="8" t="s">
        <v>46</v>
      </c>
      <c r="U152" s="8" t="s">
        <v>45</v>
      </c>
      <c r="V152" s="8" t="s">
        <v>46</v>
      </c>
      <c r="W152" s="8" t="s">
        <v>48</v>
      </c>
      <c r="X152" s="8" t="s">
        <v>47</v>
      </c>
      <c r="Y152" s="8" t="s">
        <v>48</v>
      </c>
      <c r="Z152" s="8" t="s">
        <v>46</v>
      </c>
      <c r="AA152" s="8" t="s">
        <v>45</v>
      </c>
      <c r="AB152" s="8" t="s">
        <v>48</v>
      </c>
      <c r="AC152" s="8" t="s">
        <v>47</v>
      </c>
      <c r="AD152" s="8" t="s">
        <v>46</v>
      </c>
      <c r="AE152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34.3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199</v>
      </c>
    </row>
    <row r="2" customFormat="false" ht="15" hidden="false" customHeight="false" outlineLevel="0" collapsed="false">
      <c r="A2" s="5" t="s">
        <v>200</v>
      </c>
      <c r="B2" s="9" t="n">
        <v>1</v>
      </c>
      <c r="C2" s="9" t="n">
        <v>1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f aca="false">SUM(B2:AE2)</f>
        <v>30</v>
      </c>
    </row>
    <row r="3" customFormat="false" ht="15" hidden="false" customHeight="false" outlineLevel="0" collapsed="false">
      <c r="A3" s="0" t="str">
        <f aca="false">الإجابات!A3</f>
        <v>S001</v>
      </c>
      <c r="B3" s="9" t="n">
        <f aca="false">IF(الإجابات!B3=الإجابات!B$2,1,0)</f>
        <v>0</v>
      </c>
      <c r="C3" s="9" t="n">
        <f aca="false">IF(الإجابات!C3=الإجابات!C$2,1,0)</f>
        <v>0</v>
      </c>
      <c r="D3" s="9" t="n">
        <f aca="false">IF(الإجابات!D3=الإجابات!D$2,1,0)</f>
        <v>0</v>
      </c>
      <c r="E3" s="9" t="n">
        <f aca="false">IF(الإجابات!E3=الإجابات!E$2,1,0)</f>
        <v>0</v>
      </c>
      <c r="F3" s="9" t="n">
        <f aca="false">IF(الإجابات!F3=الإجابات!F$2,1,0)</f>
        <v>0</v>
      </c>
      <c r="G3" s="9" t="n">
        <f aca="false">IF(الإجابات!G3=الإجابات!G$2,1,0)</f>
        <v>1</v>
      </c>
      <c r="H3" s="9" t="n">
        <f aca="false">IF(الإجابات!H3=الإجابات!H$2,1,0)</f>
        <v>1</v>
      </c>
      <c r="I3" s="9" t="n">
        <f aca="false">IF(الإجابات!I3=الإجابات!I$2,1,0)</f>
        <v>0</v>
      </c>
      <c r="J3" s="9" t="n">
        <f aca="false">IF(الإجابات!J3=الإجابات!J$2,1,0)</f>
        <v>0</v>
      </c>
      <c r="K3" s="9" t="n">
        <f aca="false">IF(الإجابات!K3=الإجابات!K$2,1,0)</f>
        <v>1</v>
      </c>
      <c r="L3" s="9" t="n">
        <f aca="false">IF(الإجابات!L3=الإجابات!L$2,1,0)</f>
        <v>1</v>
      </c>
      <c r="M3" s="9" t="n">
        <f aca="false">IF(الإجابات!M3=الإجابات!M$2,1,0)</f>
        <v>1</v>
      </c>
      <c r="N3" s="9" t="n">
        <f aca="false">IF(الإجابات!N3=الإجابات!N$2,1,0)</f>
        <v>0</v>
      </c>
      <c r="O3" s="9" t="n">
        <f aca="false">IF(الإجابات!O3=الإجابات!O$2,1,0)</f>
        <v>0</v>
      </c>
      <c r="P3" s="9" t="n">
        <f aca="false">IF(الإجابات!P3=الإجابات!P$2,1,0)</f>
        <v>0</v>
      </c>
      <c r="Q3" s="9" t="n">
        <f aca="false">IF(الإجابات!Q3=الإجابات!Q$2,1,0)</f>
        <v>0</v>
      </c>
      <c r="R3" s="9" t="n">
        <f aca="false">IF(الإجابات!R3=الإجابات!R$2,1,0)</f>
        <v>1</v>
      </c>
      <c r="S3" s="9" t="n">
        <f aca="false">IF(الإجابات!S3=الإجابات!S$2,1,0)</f>
        <v>0</v>
      </c>
      <c r="T3" s="9" t="n">
        <f aca="false">IF(الإجابات!T3=الإجابات!T$2,1,0)</f>
        <v>1</v>
      </c>
      <c r="U3" s="9" t="n">
        <f aca="false">IF(الإجابات!U3=الإجابات!U$2,1,0)</f>
        <v>0</v>
      </c>
      <c r="V3" s="9" t="n">
        <f aca="false">IF(الإجابات!V3=الإجابات!V$2,1,0)</f>
        <v>0</v>
      </c>
      <c r="W3" s="9" t="n">
        <f aca="false">IF(الإجابات!W3=الإجابات!W$2,1,0)</f>
        <v>0</v>
      </c>
      <c r="X3" s="9" t="n">
        <f aca="false">IF(الإجابات!X3=الإجابات!X$2,1,0)</f>
        <v>0</v>
      </c>
      <c r="Y3" s="9" t="n">
        <f aca="false">IF(الإجابات!Y3=الإجابات!Y$2,1,0)</f>
        <v>0</v>
      </c>
      <c r="Z3" s="9" t="n">
        <f aca="false">IF(الإجابات!Z3=الإجابات!Z$2,1,0)</f>
        <v>0</v>
      </c>
      <c r="AA3" s="9" t="n">
        <f aca="false">IF(الإجابات!AA3=الإجابات!AA$2,1,0)</f>
        <v>0</v>
      </c>
      <c r="AB3" s="9" t="n">
        <f aca="false">IF(الإجابات!AB3=الإجابات!AB$2,1,0)</f>
        <v>0</v>
      </c>
      <c r="AC3" s="9" t="n">
        <f aca="false">IF(الإجابات!AC3=الإجابات!AC$2,1,0)</f>
        <v>1</v>
      </c>
      <c r="AD3" s="9" t="n">
        <f aca="false">IF(الإجابات!AD3=الإجابات!AD$2,1,0)</f>
        <v>0</v>
      </c>
      <c r="AE3" s="9" t="n">
        <f aca="false">IF(الإجابات!AE3=الإجابات!AE$2,1,0)</f>
        <v>1</v>
      </c>
      <c r="AF3" s="9" t="n">
        <f aca="false">SUM(B3:AE3)</f>
        <v>9</v>
      </c>
    </row>
    <row r="4" customFormat="false" ht="15" hidden="false" customHeight="false" outlineLevel="0" collapsed="false">
      <c r="A4" s="0" t="str">
        <f aca="false">الإجابات!A4</f>
        <v>S002</v>
      </c>
      <c r="B4" s="9" t="n">
        <f aca="false">IF(الإجابات!B4=الإجابات!B$2,1,0)</f>
        <v>1</v>
      </c>
      <c r="C4" s="9" t="n">
        <f aca="false">IF(الإجابات!C4=الإجابات!C$2,1,0)</f>
        <v>1</v>
      </c>
      <c r="D4" s="9" t="n">
        <f aca="false">IF(الإجابات!D4=الإجابات!D$2,1,0)</f>
        <v>1</v>
      </c>
      <c r="E4" s="9" t="n">
        <f aca="false">IF(الإجابات!E4=الإجابات!E$2,1,0)</f>
        <v>0</v>
      </c>
      <c r="F4" s="9" t="n">
        <f aca="false">IF(الإجابات!F4=الإجابات!F$2,1,0)</f>
        <v>0</v>
      </c>
      <c r="G4" s="9" t="n">
        <f aca="false">IF(الإجابات!G4=الإجابات!G$2,1,0)</f>
        <v>0</v>
      </c>
      <c r="H4" s="9" t="n">
        <f aca="false">IF(الإجابات!H4=الإجابات!H$2,1,0)</f>
        <v>0</v>
      </c>
      <c r="I4" s="9" t="n">
        <f aca="false">IF(الإجابات!I4=الإجابات!I$2,1,0)</f>
        <v>1</v>
      </c>
      <c r="J4" s="9" t="n">
        <f aca="false">IF(الإجابات!J4=الإجابات!J$2,1,0)</f>
        <v>1</v>
      </c>
      <c r="K4" s="9" t="n">
        <f aca="false">IF(الإجابات!K4=الإجابات!K$2,1,0)</f>
        <v>1</v>
      </c>
      <c r="L4" s="9" t="n">
        <f aca="false">IF(الإجابات!L4=الإجابات!L$2,1,0)</f>
        <v>1</v>
      </c>
      <c r="M4" s="9" t="n">
        <f aca="false">IF(الإجابات!M4=الإجابات!M$2,1,0)</f>
        <v>1</v>
      </c>
      <c r="N4" s="9" t="n">
        <f aca="false">IF(الإجابات!N4=الإجابات!N$2,1,0)</f>
        <v>0</v>
      </c>
      <c r="O4" s="9" t="n">
        <f aca="false">IF(الإجابات!O4=الإجابات!O$2,1,0)</f>
        <v>0</v>
      </c>
      <c r="P4" s="9" t="n">
        <f aca="false">IF(الإجابات!P4=الإجابات!P$2,1,0)</f>
        <v>0</v>
      </c>
      <c r="Q4" s="9" t="n">
        <f aca="false">IF(الإجابات!Q4=الإجابات!Q$2,1,0)</f>
        <v>1</v>
      </c>
      <c r="R4" s="9" t="n">
        <f aca="false">IF(الإجابات!R4=الإجابات!R$2,1,0)</f>
        <v>1</v>
      </c>
      <c r="S4" s="9" t="n">
        <f aca="false">IF(الإجابات!S4=الإجابات!S$2,1,0)</f>
        <v>1</v>
      </c>
      <c r="T4" s="9" t="n">
        <f aca="false">IF(الإجابات!T4=الإجابات!T$2,1,0)</f>
        <v>0</v>
      </c>
      <c r="U4" s="9" t="n">
        <f aca="false">IF(الإجابات!U4=الإجابات!U$2,1,0)</f>
        <v>1</v>
      </c>
      <c r="V4" s="9" t="n">
        <f aca="false">IF(الإجابات!V4=الإجابات!V$2,1,0)</f>
        <v>1</v>
      </c>
      <c r="W4" s="9" t="n">
        <f aca="false">IF(الإجابات!W4=الإجابات!W$2,1,0)</f>
        <v>1</v>
      </c>
      <c r="X4" s="9" t="n">
        <f aca="false">IF(الإجابات!X4=الإجابات!X$2,1,0)</f>
        <v>1</v>
      </c>
      <c r="Y4" s="9" t="n">
        <f aca="false">IF(الإجابات!Y4=الإجابات!Y$2,1,0)</f>
        <v>0</v>
      </c>
      <c r="Z4" s="9" t="n">
        <f aca="false">IF(الإجابات!Z4=الإجابات!Z$2,1,0)</f>
        <v>0</v>
      </c>
      <c r="AA4" s="9" t="n">
        <f aca="false">IF(الإجابات!AA4=الإجابات!AA$2,1,0)</f>
        <v>0</v>
      </c>
      <c r="AB4" s="9" t="n">
        <f aca="false">IF(الإجابات!AB4=الإجابات!AB$2,1,0)</f>
        <v>1</v>
      </c>
      <c r="AC4" s="9" t="n">
        <f aca="false">IF(الإجابات!AC4=الإجابات!AC$2,1,0)</f>
        <v>1</v>
      </c>
      <c r="AD4" s="9" t="n">
        <f aca="false">IF(الإجابات!AD4=الإجابات!AD$2,1,0)</f>
        <v>1</v>
      </c>
      <c r="AE4" s="9" t="n">
        <f aca="false">IF(الإجابات!AE4=الإجابات!AE$2,1,0)</f>
        <v>0</v>
      </c>
      <c r="AF4" s="9" t="n">
        <f aca="false">SUM(B4:AE4)</f>
        <v>18</v>
      </c>
    </row>
    <row r="5" customFormat="false" ht="15" hidden="false" customHeight="false" outlineLevel="0" collapsed="false">
      <c r="A5" s="0" t="str">
        <f aca="false">الإجابات!A5</f>
        <v>S003</v>
      </c>
      <c r="B5" s="9" t="n">
        <f aca="false">IF(الإجابات!B5=الإجابات!B$2,1,0)</f>
        <v>0</v>
      </c>
      <c r="C5" s="9" t="n">
        <f aca="false">IF(الإجابات!C5=الإجابات!C$2,1,0)</f>
        <v>0</v>
      </c>
      <c r="D5" s="9" t="n">
        <f aca="false">IF(الإجابات!D5=الإجابات!D$2,1,0)</f>
        <v>0</v>
      </c>
      <c r="E5" s="9" t="n">
        <f aca="false">IF(الإجابات!E5=الإجابات!E$2,1,0)</f>
        <v>1</v>
      </c>
      <c r="F5" s="9" t="n">
        <f aca="false">IF(الإجابات!F5=الإجابات!F$2,1,0)</f>
        <v>0</v>
      </c>
      <c r="G5" s="9" t="n">
        <f aca="false">IF(الإجابات!G5=الإجابات!G$2,1,0)</f>
        <v>0</v>
      </c>
      <c r="H5" s="9" t="n">
        <f aca="false">IF(الإجابات!H5=الإجابات!H$2,1,0)</f>
        <v>1</v>
      </c>
      <c r="I5" s="9" t="n">
        <f aca="false">IF(الإجابات!I5=الإجابات!I$2,1,0)</f>
        <v>0</v>
      </c>
      <c r="J5" s="9" t="n">
        <f aca="false">IF(الإجابات!J5=الإجابات!J$2,1,0)</f>
        <v>1</v>
      </c>
      <c r="K5" s="9" t="n">
        <f aca="false">IF(الإجابات!K5=الإجابات!K$2,1,0)</f>
        <v>1</v>
      </c>
      <c r="L5" s="9" t="n">
        <f aca="false">IF(الإجابات!L5=الإجابات!L$2,1,0)</f>
        <v>1</v>
      </c>
      <c r="M5" s="9" t="n">
        <f aca="false">IF(الإجابات!M5=الإجابات!M$2,1,0)</f>
        <v>1</v>
      </c>
      <c r="N5" s="9" t="n">
        <f aca="false">IF(الإجابات!N5=الإجابات!N$2,1,0)</f>
        <v>0</v>
      </c>
      <c r="O5" s="9" t="n">
        <f aca="false">IF(الإجابات!O5=الإجابات!O$2,1,0)</f>
        <v>1</v>
      </c>
      <c r="P5" s="9" t="n">
        <f aca="false">IF(الإجابات!P5=الإجابات!P$2,1,0)</f>
        <v>0</v>
      </c>
      <c r="Q5" s="9" t="n">
        <f aca="false">IF(الإجابات!Q5=الإجابات!Q$2,1,0)</f>
        <v>1</v>
      </c>
      <c r="R5" s="9" t="n">
        <f aca="false">IF(الإجابات!R5=الإجابات!R$2,1,0)</f>
        <v>0</v>
      </c>
      <c r="S5" s="9" t="n">
        <f aca="false">IF(الإجابات!S5=الإجابات!S$2,1,0)</f>
        <v>0</v>
      </c>
      <c r="T5" s="9" t="n">
        <f aca="false">IF(الإجابات!T5=الإجابات!T$2,1,0)</f>
        <v>0</v>
      </c>
      <c r="U5" s="9" t="n">
        <f aca="false">IF(الإجابات!U5=الإجابات!U$2,1,0)</f>
        <v>0</v>
      </c>
      <c r="V5" s="9" t="n">
        <f aca="false">IF(الإجابات!V5=الإجابات!V$2,1,0)</f>
        <v>0</v>
      </c>
      <c r="W5" s="9" t="n">
        <f aca="false">IF(الإجابات!W5=الإجابات!W$2,1,0)</f>
        <v>0</v>
      </c>
      <c r="X5" s="9" t="n">
        <f aca="false">IF(الإجابات!X5=الإجابات!X$2,1,0)</f>
        <v>0</v>
      </c>
      <c r="Y5" s="9" t="n">
        <f aca="false">IF(الإجابات!Y5=الإجابات!Y$2,1,0)</f>
        <v>0</v>
      </c>
      <c r="Z5" s="9" t="n">
        <f aca="false">IF(الإجابات!Z5=الإجابات!Z$2,1,0)</f>
        <v>1</v>
      </c>
      <c r="AA5" s="9" t="n">
        <f aca="false">IF(الإجابات!AA5=الإجابات!AA$2,1,0)</f>
        <v>0</v>
      </c>
      <c r="AB5" s="9" t="n">
        <f aca="false">IF(الإجابات!AB5=الإجابات!AB$2,1,0)</f>
        <v>0</v>
      </c>
      <c r="AC5" s="9" t="n">
        <f aca="false">IF(الإجابات!AC5=الإجابات!AC$2,1,0)</f>
        <v>0</v>
      </c>
      <c r="AD5" s="9" t="n">
        <f aca="false">IF(الإجابات!AD5=الإجابات!AD$2,1,0)</f>
        <v>0</v>
      </c>
      <c r="AE5" s="9" t="n">
        <f aca="false">IF(الإجابات!AE5=الإجابات!AE$2,1,0)</f>
        <v>1</v>
      </c>
      <c r="AF5" s="9" t="n">
        <f aca="false">SUM(B5:AE5)</f>
        <v>10</v>
      </c>
    </row>
    <row r="6" customFormat="false" ht="15" hidden="false" customHeight="false" outlineLevel="0" collapsed="false">
      <c r="A6" s="0" t="str">
        <f aca="false">الإجابات!A6</f>
        <v>S004</v>
      </c>
      <c r="B6" s="9" t="n">
        <f aca="false">IF(الإجابات!B6=الإجابات!B$2,1,0)</f>
        <v>1</v>
      </c>
      <c r="C6" s="9" t="n">
        <f aca="false">IF(الإجابات!C6=الإجابات!C$2,1,0)</f>
        <v>1</v>
      </c>
      <c r="D6" s="9" t="n">
        <f aca="false">IF(الإجابات!D6=الإجابات!D$2,1,0)</f>
        <v>0</v>
      </c>
      <c r="E6" s="9" t="n">
        <f aca="false">IF(الإجابات!E6=الإجابات!E$2,1,0)</f>
        <v>1</v>
      </c>
      <c r="F6" s="9" t="n">
        <f aca="false">IF(الإجابات!F6=الإجابات!F$2,1,0)</f>
        <v>1</v>
      </c>
      <c r="G6" s="9" t="n">
        <f aca="false">IF(الإجابات!G6=الإجابات!G$2,1,0)</f>
        <v>1</v>
      </c>
      <c r="H6" s="9" t="n">
        <f aca="false">IF(الإجابات!H6=الإجابات!H$2,1,0)</f>
        <v>0</v>
      </c>
      <c r="I6" s="9" t="n">
        <f aca="false">IF(الإجابات!I6=الإجابات!I$2,1,0)</f>
        <v>1</v>
      </c>
      <c r="J6" s="9" t="n">
        <f aca="false">IF(الإجابات!J6=الإجابات!J$2,1,0)</f>
        <v>1</v>
      </c>
      <c r="K6" s="9" t="n">
        <f aca="false">IF(الإجابات!K6=الإجابات!K$2,1,0)</f>
        <v>1</v>
      </c>
      <c r="L6" s="9" t="n">
        <f aca="false">IF(الإجابات!L6=الإجابات!L$2,1,0)</f>
        <v>1</v>
      </c>
      <c r="M6" s="9" t="n">
        <f aca="false">IF(الإجابات!M6=الإجابات!M$2,1,0)</f>
        <v>1</v>
      </c>
      <c r="N6" s="9" t="n">
        <f aca="false">IF(الإجابات!N6=الإجابات!N$2,1,0)</f>
        <v>1</v>
      </c>
      <c r="O6" s="9" t="n">
        <f aca="false">IF(الإجابات!O6=الإجابات!O$2,1,0)</f>
        <v>1</v>
      </c>
      <c r="P6" s="9" t="n">
        <f aca="false">IF(الإجابات!P6=الإجابات!P$2,1,0)</f>
        <v>0</v>
      </c>
      <c r="Q6" s="9" t="n">
        <f aca="false">IF(الإجابات!Q6=الإجابات!Q$2,1,0)</f>
        <v>1</v>
      </c>
      <c r="R6" s="9" t="n">
        <f aca="false">IF(الإجابات!R6=الإجابات!R$2,1,0)</f>
        <v>1</v>
      </c>
      <c r="S6" s="9" t="n">
        <f aca="false">IF(الإجابات!S6=الإجابات!S$2,1,0)</f>
        <v>1</v>
      </c>
      <c r="T6" s="9" t="n">
        <f aca="false">IF(الإجابات!T6=الإجابات!T$2,1,0)</f>
        <v>1</v>
      </c>
      <c r="U6" s="9" t="n">
        <f aca="false">IF(الإجابات!U6=الإجابات!U$2,1,0)</f>
        <v>1</v>
      </c>
      <c r="V6" s="9" t="n">
        <f aca="false">IF(الإجابات!V6=الإجابات!V$2,1,0)</f>
        <v>1</v>
      </c>
      <c r="W6" s="9" t="n">
        <f aca="false">IF(الإجابات!W6=الإجابات!W$2,1,0)</f>
        <v>1</v>
      </c>
      <c r="X6" s="9" t="n">
        <f aca="false">IF(الإجابات!X6=الإجابات!X$2,1,0)</f>
        <v>1</v>
      </c>
      <c r="Y6" s="9" t="n">
        <f aca="false">IF(الإجابات!Y6=الإجابات!Y$2,1,0)</f>
        <v>1</v>
      </c>
      <c r="Z6" s="9" t="n">
        <f aca="false">IF(الإجابات!Z6=الإجابات!Z$2,1,0)</f>
        <v>1</v>
      </c>
      <c r="AA6" s="9" t="n">
        <f aca="false">IF(الإجابات!AA6=الإجابات!AA$2,1,0)</f>
        <v>0</v>
      </c>
      <c r="AB6" s="9" t="n">
        <f aca="false">IF(الإجابات!AB6=الإجابات!AB$2,1,0)</f>
        <v>0</v>
      </c>
      <c r="AC6" s="9" t="n">
        <f aca="false">IF(الإجابات!AC6=الإجابات!AC$2,1,0)</f>
        <v>1</v>
      </c>
      <c r="AD6" s="9" t="n">
        <f aca="false">IF(الإجابات!AD6=الإجابات!AD$2,1,0)</f>
        <v>1</v>
      </c>
      <c r="AE6" s="9" t="n">
        <f aca="false">IF(الإجابات!AE6=الإجابات!AE$2,1,0)</f>
        <v>1</v>
      </c>
      <c r="AF6" s="9" t="n">
        <f aca="false">SUM(B6:AE6)</f>
        <v>25</v>
      </c>
    </row>
    <row r="7" customFormat="false" ht="15" hidden="false" customHeight="false" outlineLevel="0" collapsed="false">
      <c r="A7" s="0" t="str">
        <f aca="false">الإجابات!A7</f>
        <v>S005</v>
      </c>
      <c r="B7" s="9" t="n">
        <f aca="false">IF(الإجابات!B7=الإجابات!B$2,1,0)</f>
        <v>0</v>
      </c>
      <c r="C7" s="9" t="n">
        <f aca="false">IF(الإجابات!C7=الإجابات!C$2,1,0)</f>
        <v>0</v>
      </c>
      <c r="D7" s="9" t="n">
        <f aca="false">IF(الإجابات!D7=الإجابات!D$2,1,0)</f>
        <v>0</v>
      </c>
      <c r="E7" s="9" t="n">
        <f aca="false">IF(الإجابات!E7=الإجابات!E$2,1,0)</f>
        <v>1</v>
      </c>
      <c r="F7" s="9" t="n">
        <f aca="false">IF(الإجابات!F7=الإجابات!F$2,1,0)</f>
        <v>1</v>
      </c>
      <c r="G7" s="9" t="n">
        <f aca="false">IF(الإجابات!G7=الإجابات!G$2,1,0)</f>
        <v>1</v>
      </c>
      <c r="H7" s="9" t="n">
        <f aca="false">IF(الإجابات!H7=الإجابات!H$2,1,0)</f>
        <v>0</v>
      </c>
      <c r="I7" s="9" t="n">
        <f aca="false">IF(الإجابات!I7=الإجابات!I$2,1,0)</f>
        <v>1</v>
      </c>
      <c r="J7" s="9" t="n">
        <f aca="false">IF(الإجابات!J7=الإجابات!J$2,1,0)</f>
        <v>1</v>
      </c>
      <c r="K7" s="9" t="n">
        <f aca="false">IF(الإجابات!K7=الإجابات!K$2,1,0)</f>
        <v>0</v>
      </c>
      <c r="L7" s="9" t="n">
        <f aca="false">IF(الإجابات!L7=الإجابات!L$2,1,0)</f>
        <v>1</v>
      </c>
      <c r="M7" s="9" t="n">
        <f aca="false">IF(الإجابات!M7=الإجابات!M$2,1,0)</f>
        <v>1</v>
      </c>
      <c r="N7" s="9" t="n">
        <f aca="false">IF(الإجابات!N7=الإجابات!N$2,1,0)</f>
        <v>1</v>
      </c>
      <c r="O7" s="9" t="n">
        <f aca="false">IF(الإجابات!O7=الإجابات!O$2,1,0)</f>
        <v>0</v>
      </c>
      <c r="P7" s="9" t="n">
        <f aca="false">IF(الإجابات!P7=الإجابات!P$2,1,0)</f>
        <v>0</v>
      </c>
      <c r="Q7" s="9" t="n">
        <f aca="false">IF(الإجابات!Q7=الإجابات!Q$2,1,0)</f>
        <v>1</v>
      </c>
      <c r="R7" s="9" t="n">
        <f aca="false">IF(الإجابات!R7=الإجابات!R$2,1,0)</f>
        <v>1</v>
      </c>
      <c r="S7" s="9" t="n">
        <f aca="false">IF(الإجابات!S7=الإجابات!S$2,1,0)</f>
        <v>0</v>
      </c>
      <c r="T7" s="9" t="n">
        <f aca="false">IF(الإجابات!T7=الإجابات!T$2,1,0)</f>
        <v>1</v>
      </c>
      <c r="U7" s="9" t="n">
        <f aca="false">IF(الإجابات!U7=الإجابات!U$2,1,0)</f>
        <v>1</v>
      </c>
      <c r="V7" s="9" t="n">
        <f aca="false">IF(الإجابات!V7=الإجابات!V$2,1,0)</f>
        <v>1</v>
      </c>
      <c r="W7" s="9" t="n">
        <f aca="false">IF(الإجابات!W7=الإجابات!W$2,1,0)</f>
        <v>1</v>
      </c>
      <c r="X7" s="9" t="n">
        <f aca="false">IF(الإجابات!X7=الإجابات!X$2,1,0)</f>
        <v>1</v>
      </c>
      <c r="Y7" s="9" t="n">
        <f aca="false">IF(الإجابات!Y7=الإجابات!Y$2,1,0)</f>
        <v>1</v>
      </c>
      <c r="Z7" s="9" t="n">
        <f aca="false">IF(الإجابات!Z7=الإجابات!Z$2,1,0)</f>
        <v>1</v>
      </c>
      <c r="AA7" s="9" t="n">
        <f aca="false">IF(الإجابات!AA7=الإجابات!AA$2,1,0)</f>
        <v>0</v>
      </c>
      <c r="AB7" s="9" t="n">
        <f aca="false">IF(الإجابات!AB7=الإجابات!AB$2,1,0)</f>
        <v>1</v>
      </c>
      <c r="AC7" s="9" t="n">
        <f aca="false">IF(الإجابات!AC7=الإجابات!AC$2,1,0)</f>
        <v>1</v>
      </c>
      <c r="AD7" s="9" t="n">
        <f aca="false">IF(الإجابات!AD7=الإجابات!AD$2,1,0)</f>
        <v>0</v>
      </c>
      <c r="AE7" s="9" t="n">
        <f aca="false">IF(الإجابات!AE7=الإجابات!AE$2,1,0)</f>
        <v>1</v>
      </c>
      <c r="AF7" s="9" t="n">
        <f aca="false">SUM(B7:AE7)</f>
        <v>20</v>
      </c>
    </row>
    <row r="8" customFormat="false" ht="15" hidden="false" customHeight="false" outlineLevel="0" collapsed="false">
      <c r="A8" s="0" t="str">
        <f aca="false">الإجابات!A8</f>
        <v>S006</v>
      </c>
      <c r="B8" s="9" t="n">
        <f aca="false">IF(الإجابات!B8=الإجابات!B$2,1,0)</f>
        <v>0</v>
      </c>
      <c r="C8" s="9" t="n">
        <f aca="false">IF(الإجابات!C8=الإجابات!C$2,1,0)</f>
        <v>0</v>
      </c>
      <c r="D8" s="9" t="n">
        <f aca="false">IF(الإجابات!D8=الإجابات!D$2,1,0)</f>
        <v>0</v>
      </c>
      <c r="E8" s="9" t="n">
        <f aca="false">IF(الإجابات!E8=الإجابات!E$2,1,0)</f>
        <v>1</v>
      </c>
      <c r="F8" s="9" t="n">
        <f aca="false">IF(الإجابات!F8=الإجابات!F$2,1,0)</f>
        <v>0</v>
      </c>
      <c r="G8" s="9" t="n">
        <f aca="false">IF(الإجابات!G8=الإجابات!G$2,1,0)</f>
        <v>0</v>
      </c>
      <c r="H8" s="9" t="n">
        <f aca="false">IF(الإجابات!H8=الإجابات!H$2,1,0)</f>
        <v>0</v>
      </c>
      <c r="I8" s="9" t="n">
        <f aca="false">IF(الإجابات!I8=الإجابات!I$2,1,0)</f>
        <v>0</v>
      </c>
      <c r="J8" s="9" t="n">
        <f aca="false">IF(الإجابات!J8=الإجابات!J$2,1,0)</f>
        <v>1</v>
      </c>
      <c r="K8" s="9" t="n">
        <f aca="false">IF(الإجابات!K8=الإجابات!K$2,1,0)</f>
        <v>0</v>
      </c>
      <c r="L8" s="9" t="n">
        <f aca="false">IF(الإجابات!L8=الإجابات!L$2,1,0)</f>
        <v>0</v>
      </c>
      <c r="M8" s="9" t="n">
        <f aca="false">IF(الإجابات!M8=الإجابات!M$2,1,0)</f>
        <v>1</v>
      </c>
      <c r="N8" s="9" t="n">
        <f aca="false">IF(الإجابات!N8=الإجابات!N$2,1,0)</f>
        <v>0</v>
      </c>
      <c r="O8" s="9" t="n">
        <f aca="false">IF(الإجابات!O8=الإجابات!O$2,1,0)</f>
        <v>1</v>
      </c>
      <c r="P8" s="9" t="n">
        <f aca="false">IF(الإجابات!P8=الإجابات!P$2,1,0)</f>
        <v>0</v>
      </c>
      <c r="Q8" s="9" t="n">
        <f aca="false">IF(الإجابات!Q8=الإجابات!Q$2,1,0)</f>
        <v>0</v>
      </c>
      <c r="R8" s="9" t="n">
        <f aca="false">IF(الإجابات!R8=الإجابات!R$2,1,0)</f>
        <v>1</v>
      </c>
      <c r="S8" s="9" t="n">
        <f aca="false">IF(الإجابات!S8=الإجابات!S$2,1,0)</f>
        <v>0</v>
      </c>
      <c r="T8" s="9" t="n">
        <f aca="false">IF(الإجابات!T8=الإجابات!T$2,1,0)</f>
        <v>0</v>
      </c>
      <c r="U8" s="9" t="n">
        <f aca="false">IF(الإجابات!U8=الإجابات!U$2,1,0)</f>
        <v>0</v>
      </c>
      <c r="V8" s="9" t="n">
        <f aca="false">IF(الإجابات!V8=الإجابات!V$2,1,0)</f>
        <v>1</v>
      </c>
      <c r="W8" s="9" t="n">
        <f aca="false">IF(الإجابات!W8=الإجابات!W$2,1,0)</f>
        <v>0</v>
      </c>
      <c r="X8" s="9" t="n">
        <f aca="false">IF(الإجابات!X8=الإجابات!X$2,1,0)</f>
        <v>1</v>
      </c>
      <c r="Y8" s="9" t="n">
        <f aca="false">IF(الإجابات!Y8=الإجابات!Y$2,1,0)</f>
        <v>0</v>
      </c>
      <c r="Z8" s="9" t="n">
        <f aca="false">IF(الإجابات!Z8=الإجابات!Z$2,1,0)</f>
        <v>1</v>
      </c>
      <c r="AA8" s="9" t="n">
        <f aca="false">IF(الإجابات!AA8=الإجابات!AA$2,1,0)</f>
        <v>0</v>
      </c>
      <c r="AB8" s="9" t="n">
        <f aca="false">IF(الإجابات!AB8=الإجابات!AB$2,1,0)</f>
        <v>0</v>
      </c>
      <c r="AC8" s="9" t="n">
        <f aca="false">IF(الإجابات!AC8=الإجابات!AC$2,1,0)</f>
        <v>0</v>
      </c>
      <c r="AD8" s="9" t="n">
        <f aca="false">IF(الإجابات!AD8=الإجابات!AD$2,1,0)</f>
        <v>1</v>
      </c>
      <c r="AE8" s="9" t="n">
        <f aca="false">IF(الإجابات!AE8=الإجابات!AE$2,1,0)</f>
        <v>1</v>
      </c>
      <c r="AF8" s="9" t="n">
        <f aca="false">SUM(B8:AE8)</f>
        <v>10</v>
      </c>
    </row>
    <row r="9" customFormat="false" ht="15" hidden="false" customHeight="false" outlineLevel="0" collapsed="false">
      <c r="A9" s="0" t="str">
        <f aca="false">الإجابات!A9</f>
        <v>S007</v>
      </c>
      <c r="B9" s="9" t="n">
        <f aca="false">IF(الإجابات!B9=الإجابات!B$2,1,0)</f>
        <v>0</v>
      </c>
      <c r="C9" s="9" t="n">
        <f aca="false">IF(الإجابات!C9=الإجابات!C$2,1,0)</f>
        <v>0</v>
      </c>
      <c r="D9" s="9" t="n">
        <f aca="false">IF(الإجابات!D9=الإجابات!D$2,1,0)</f>
        <v>0</v>
      </c>
      <c r="E9" s="9" t="n">
        <f aca="false">IF(الإجابات!E9=الإجابات!E$2,1,0)</f>
        <v>1</v>
      </c>
      <c r="F9" s="9" t="n">
        <f aca="false">IF(الإجابات!F9=الإجابات!F$2,1,0)</f>
        <v>0</v>
      </c>
      <c r="G9" s="9" t="n">
        <f aca="false">IF(الإجابات!G9=الإجابات!G$2,1,0)</f>
        <v>0</v>
      </c>
      <c r="H9" s="9" t="n">
        <f aca="false">IF(الإجابات!H9=الإجابات!H$2,1,0)</f>
        <v>1</v>
      </c>
      <c r="I9" s="9" t="n">
        <f aca="false">IF(الإجابات!I9=الإجابات!I$2,1,0)</f>
        <v>1</v>
      </c>
      <c r="J9" s="9" t="n">
        <f aca="false">IF(الإجابات!J9=الإجابات!J$2,1,0)</f>
        <v>1</v>
      </c>
      <c r="K9" s="9" t="n">
        <f aca="false">IF(الإجابات!K9=الإجابات!K$2,1,0)</f>
        <v>0</v>
      </c>
      <c r="L9" s="9" t="n">
        <f aca="false">IF(الإجابات!L9=الإجابات!L$2,1,0)</f>
        <v>1</v>
      </c>
      <c r="M9" s="9" t="n">
        <f aca="false">IF(الإجابات!M9=الإجابات!M$2,1,0)</f>
        <v>1</v>
      </c>
      <c r="N9" s="9" t="n">
        <f aca="false">IF(الإجابات!N9=الإجابات!N$2,1,0)</f>
        <v>1</v>
      </c>
      <c r="O9" s="9" t="n">
        <f aca="false">IF(الإجابات!O9=الإجابات!O$2,1,0)</f>
        <v>1</v>
      </c>
      <c r="P9" s="9" t="n">
        <f aca="false">IF(الإجابات!P9=الإجابات!P$2,1,0)</f>
        <v>1</v>
      </c>
      <c r="Q9" s="9" t="n">
        <f aca="false">IF(الإجابات!Q9=الإجابات!Q$2,1,0)</f>
        <v>1</v>
      </c>
      <c r="R9" s="9" t="n">
        <f aca="false">IF(الإجابات!R9=الإجابات!R$2,1,0)</f>
        <v>1</v>
      </c>
      <c r="S9" s="9" t="n">
        <f aca="false">IF(الإجابات!S9=الإجابات!S$2,1,0)</f>
        <v>0</v>
      </c>
      <c r="T9" s="9" t="n">
        <f aca="false">IF(الإجابات!T9=الإجابات!T$2,1,0)</f>
        <v>0</v>
      </c>
      <c r="U9" s="9" t="n">
        <f aca="false">IF(الإجابات!U9=الإجابات!U$2,1,0)</f>
        <v>0</v>
      </c>
      <c r="V9" s="9" t="n">
        <f aca="false">IF(الإجابات!V9=الإجابات!V$2,1,0)</f>
        <v>0</v>
      </c>
      <c r="W9" s="9" t="n">
        <f aca="false">IF(الإجابات!W9=الإجابات!W$2,1,0)</f>
        <v>0</v>
      </c>
      <c r="X9" s="9" t="n">
        <f aca="false">IF(الإجابات!X9=الإجابات!X$2,1,0)</f>
        <v>1</v>
      </c>
      <c r="Y9" s="9" t="n">
        <f aca="false">IF(الإجابات!Y9=الإجابات!Y$2,1,0)</f>
        <v>0</v>
      </c>
      <c r="Z9" s="9" t="n">
        <f aca="false">IF(الإجابات!Z9=الإجابات!Z$2,1,0)</f>
        <v>0</v>
      </c>
      <c r="AA9" s="9" t="n">
        <f aca="false">IF(الإجابات!AA9=الإجابات!AA$2,1,0)</f>
        <v>1</v>
      </c>
      <c r="AB9" s="9" t="n">
        <f aca="false">IF(الإجابات!AB9=الإجابات!AB$2,1,0)</f>
        <v>1</v>
      </c>
      <c r="AC9" s="9" t="n">
        <f aca="false">IF(الإجابات!AC9=الإجابات!AC$2,1,0)</f>
        <v>1</v>
      </c>
      <c r="AD9" s="9" t="n">
        <f aca="false">IF(الإجابات!AD9=الإجابات!AD$2,1,0)</f>
        <v>0</v>
      </c>
      <c r="AE9" s="9" t="n">
        <f aca="false">IF(الإجابات!AE9=الإجابات!AE$2,1,0)</f>
        <v>1</v>
      </c>
      <c r="AF9" s="9" t="n">
        <f aca="false">SUM(B9:AE9)</f>
        <v>16</v>
      </c>
    </row>
    <row r="10" customFormat="false" ht="15" hidden="false" customHeight="false" outlineLevel="0" collapsed="false">
      <c r="A10" s="0" t="str">
        <f aca="false">الإجابات!A10</f>
        <v>S008</v>
      </c>
      <c r="B10" s="9" t="n">
        <f aca="false">IF(الإجابات!B10=الإجابات!B$2,1,0)</f>
        <v>0</v>
      </c>
      <c r="C10" s="9" t="n">
        <f aca="false">IF(الإجابات!C10=الإجابات!C$2,1,0)</f>
        <v>1</v>
      </c>
      <c r="D10" s="9" t="n">
        <f aca="false">IF(الإجابات!D10=الإجابات!D$2,1,0)</f>
        <v>1</v>
      </c>
      <c r="E10" s="9" t="n">
        <f aca="false">IF(الإجابات!E10=الإجابات!E$2,1,0)</f>
        <v>1</v>
      </c>
      <c r="F10" s="9" t="n">
        <f aca="false">IF(الإجابات!F10=الإجابات!F$2,1,0)</f>
        <v>0</v>
      </c>
      <c r="G10" s="9" t="n">
        <f aca="false">IF(الإجابات!G10=الإجابات!G$2,1,0)</f>
        <v>0</v>
      </c>
      <c r="H10" s="9" t="n">
        <f aca="false">IF(الإجابات!H10=الإجابات!H$2,1,0)</f>
        <v>0</v>
      </c>
      <c r="I10" s="9" t="n">
        <f aca="false">IF(الإجابات!I10=الإجابات!I$2,1,0)</f>
        <v>1</v>
      </c>
      <c r="J10" s="9" t="n">
        <f aca="false">IF(الإجابات!J10=الإجابات!J$2,1,0)</f>
        <v>1</v>
      </c>
      <c r="K10" s="9" t="n">
        <f aca="false">IF(الإجابات!K10=الإجابات!K$2,1,0)</f>
        <v>0</v>
      </c>
      <c r="L10" s="9" t="n">
        <f aca="false">IF(الإجابات!L10=الإجابات!L$2,1,0)</f>
        <v>0</v>
      </c>
      <c r="M10" s="9" t="n">
        <f aca="false">IF(الإجابات!M10=الإجابات!M$2,1,0)</f>
        <v>1</v>
      </c>
      <c r="N10" s="9" t="n">
        <f aca="false">IF(الإجابات!N10=الإجابات!N$2,1,0)</f>
        <v>0</v>
      </c>
      <c r="O10" s="9" t="n">
        <f aca="false">IF(الإجابات!O10=الإجابات!O$2,1,0)</f>
        <v>1</v>
      </c>
      <c r="P10" s="9" t="n">
        <f aca="false">IF(الإجابات!P10=الإجابات!P$2,1,0)</f>
        <v>1</v>
      </c>
      <c r="Q10" s="9" t="n">
        <f aca="false">IF(الإجابات!Q10=الإجابات!Q$2,1,0)</f>
        <v>1</v>
      </c>
      <c r="R10" s="9" t="n">
        <f aca="false">IF(الإجابات!R10=الإجابات!R$2,1,0)</f>
        <v>0</v>
      </c>
      <c r="S10" s="9" t="n">
        <f aca="false">IF(الإجابات!S10=الإجابات!S$2,1,0)</f>
        <v>0</v>
      </c>
      <c r="T10" s="9" t="n">
        <f aca="false">IF(الإجابات!T10=الإجابات!T$2,1,0)</f>
        <v>0</v>
      </c>
      <c r="U10" s="9" t="n">
        <f aca="false">IF(الإجابات!U10=الإجابات!U$2,1,0)</f>
        <v>1</v>
      </c>
      <c r="V10" s="9" t="n">
        <f aca="false">IF(الإجابات!V10=الإجابات!V$2,1,0)</f>
        <v>1</v>
      </c>
      <c r="W10" s="9" t="n">
        <f aca="false">IF(الإجابات!W10=الإجابات!W$2,1,0)</f>
        <v>1</v>
      </c>
      <c r="X10" s="9" t="n">
        <f aca="false">IF(الإجابات!X10=الإجابات!X$2,1,0)</f>
        <v>1</v>
      </c>
      <c r="Y10" s="9" t="n">
        <f aca="false">IF(الإجابات!Y10=الإجابات!Y$2,1,0)</f>
        <v>0</v>
      </c>
      <c r="Z10" s="9" t="n">
        <f aca="false">IF(الإجابات!Z10=الإجابات!Z$2,1,0)</f>
        <v>1</v>
      </c>
      <c r="AA10" s="9" t="n">
        <f aca="false">IF(الإجابات!AA10=الإجابات!AA$2,1,0)</f>
        <v>1</v>
      </c>
      <c r="AB10" s="9" t="n">
        <f aca="false">IF(الإجابات!AB10=الإجابات!AB$2,1,0)</f>
        <v>0</v>
      </c>
      <c r="AC10" s="9" t="n">
        <f aca="false">IF(الإجابات!AC10=الإجابات!AC$2,1,0)</f>
        <v>1</v>
      </c>
      <c r="AD10" s="9" t="n">
        <f aca="false">IF(الإجابات!AD10=الإجابات!AD$2,1,0)</f>
        <v>0</v>
      </c>
      <c r="AE10" s="9" t="n">
        <f aca="false">IF(الإجابات!AE10=الإجابات!AE$2,1,0)</f>
        <v>1</v>
      </c>
      <c r="AF10" s="9" t="n">
        <f aca="false">SUM(B10:AE10)</f>
        <v>17</v>
      </c>
    </row>
    <row r="11" customFormat="false" ht="15" hidden="false" customHeight="false" outlineLevel="0" collapsed="false">
      <c r="A11" s="0" t="str">
        <f aca="false">الإجابات!A11</f>
        <v>S009</v>
      </c>
      <c r="B11" s="9" t="n">
        <f aca="false">IF(الإجابات!B11=الإجابات!B$2,1,0)</f>
        <v>1</v>
      </c>
      <c r="C11" s="9" t="n">
        <f aca="false">IF(الإجابات!C11=الإجابات!C$2,1,0)</f>
        <v>0</v>
      </c>
      <c r="D11" s="9" t="n">
        <f aca="false">IF(الإجابات!D11=الإجابات!D$2,1,0)</f>
        <v>0</v>
      </c>
      <c r="E11" s="9" t="n">
        <f aca="false">IF(الإجابات!E11=الإجابات!E$2,1,0)</f>
        <v>1</v>
      </c>
      <c r="F11" s="9" t="n">
        <f aca="false">IF(الإجابات!F11=الإجابات!F$2,1,0)</f>
        <v>0</v>
      </c>
      <c r="G11" s="9" t="n">
        <f aca="false">IF(الإجابات!G11=الإجابات!G$2,1,0)</f>
        <v>0</v>
      </c>
      <c r="H11" s="9" t="n">
        <f aca="false">IF(الإجابات!H11=الإجابات!H$2,1,0)</f>
        <v>0</v>
      </c>
      <c r="I11" s="9" t="n">
        <f aca="false">IF(الإجابات!I11=الإجابات!I$2,1,0)</f>
        <v>0</v>
      </c>
      <c r="J11" s="9" t="n">
        <f aca="false">IF(الإجابات!J11=الإجابات!J$2,1,0)</f>
        <v>1</v>
      </c>
      <c r="K11" s="9" t="n">
        <f aca="false">IF(الإجابات!K11=الإجابات!K$2,1,0)</f>
        <v>0</v>
      </c>
      <c r="L11" s="9" t="n">
        <f aca="false">IF(الإجابات!L11=الإجابات!L$2,1,0)</f>
        <v>0</v>
      </c>
      <c r="M11" s="9" t="n">
        <f aca="false">IF(الإجابات!M11=الإجابات!M$2,1,0)</f>
        <v>1</v>
      </c>
      <c r="N11" s="9" t="n">
        <f aca="false">IF(الإجابات!N11=الإجابات!N$2,1,0)</f>
        <v>0</v>
      </c>
      <c r="O11" s="9" t="n">
        <f aca="false">IF(الإجابات!O11=الإجابات!O$2,1,0)</f>
        <v>0</v>
      </c>
      <c r="P11" s="9" t="n">
        <f aca="false">IF(الإجابات!P11=الإجابات!P$2,1,0)</f>
        <v>0</v>
      </c>
      <c r="Q11" s="9" t="n">
        <f aca="false">IF(الإجابات!Q11=الإجابات!Q$2,1,0)</f>
        <v>1</v>
      </c>
      <c r="R11" s="9" t="n">
        <f aca="false">IF(الإجابات!R11=الإجابات!R$2,1,0)</f>
        <v>1</v>
      </c>
      <c r="S11" s="9" t="n">
        <f aca="false">IF(الإجابات!S11=الإجابات!S$2,1,0)</f>
        <v>0</v>
      </c>
      <c r="T11" s="9" t="n">
        <f aca="false">IF(الإجابات!T11=الإجابات!T$2,1,0)</f>
        <v>0</v>
      </c>
      <c r="U11" s="9" t="n">
        <f aca="false">IF(الإجابات!U11=الإجابات!U$2,1,0)</f>
        <v>0</v>
      </c>
      <c r="V11" s="9" t="n">
        <f aca="false">IF(الإجابات!V11=الإجابات!V$2,1,0)</f>
        <v>1</v>
      </c>
      <c r="W11" s="9" t="n">
        <f aca="false">IF(الإجابات!W11=الإجابات!W$2,1,0)</f>
        <v>0</v>
      </c>
      <c r="X11" s="9" t="n">
        <f aca="false">IF(الإجابات!X11=الإجابات!X$2,1,0)</f>
        <v>1</v>
      </c>
      <c r="Y11" s="9" t="n">
        <f aca="false">IF(الإجابات!Y11=الإجابات!Y$2,1,0)</f>
        <v>0</v>
      </c>
      <c r="Z11" s="9" t="n">
        <f aca="false">IF(الإجابات!Z11=الإجابات!Z$2,1,0)</f>
        <v>0</v>
      </c>
      <c r="AA11" s="9" t="n">
        <f aca="false">IF(الإجابات!AA11=الإجابات!AA$2,1,0)</f>
        <v>0</v>
      </c>
      <c r="AB11" s="9" t="n">
        <f aca="false">IF(الإجابات!AB11=الإجابات!AB$2,1,0)</f>
        <v>1</v>
      </c>
      <c r="AC11" s="9" t="n">
        <f aca="false">IF(الإجابات!AC11=الإجابات!AC$2,1,0)</f>
        <v>0</v>
      </c>
      <c r="AD11" s="9" t="n">
        <f aca="false">IF(الإجابات!AD11=الإجابات!AD$2,1,0)</f>
        <v>0</v>
      </c>
      <c r="AE11" s="9" t="n">
        <f aca="false">IF(الإجابات!AE11=الإجابات!AE$2,1,0)</f>
        <v>0</v>
      </c>
      <c r="AF11" s="9" t="n">
        <f aca="false">SUM(B11:AE11)</f>
        <v>9</v>
      </c>
    </row>
    <row r="12" customFormat="false" ht="15" hidden="false" customHeight="false" outlineLevel="0" collapsed="false">
      <c r="A12" s="0" t="str">
        <f aca="false">الإجابات!A12</f>
        <v>S010</v>
      </c>
      <c r="B12" s="9" t="n">
        <f aca="false">IF(الإجابات!B12=الإجابات!B$2,1,0)</f>
        <v>0</v>
      </c>
      <c r="C12" s="9" t="n">
        <f aca="false">IF(الإجابات!C12=الإجابات!C$2,1,0)</f>
        <v>1</v>
      </c>
      <c r="D12" s="9" t="n">
        <f aca="false">IF(الإجابات!D12=الإجابات!D$2,1,0)</f>
        <v>0</v>
      </c>
      <c r="E12" s="9" t="n">
        <f aca="false">IF(الإجابات!E12=الإجابات!E$2,1,0)</f>
        <v>1</v>
      </c>
      <c r="F12" s="9" t="n">
        <f aca="false">IF(الإجابات!F12=الإجابات!F$2,1,0)</f>
        <v>1</v>
      </c>
      <c r="G12" s="9" t="n">
        <f aca="false">IF(الإجابات!G12=الإجابات!G$2,1,0)</f>
        <v>0</v>
      </c>
      <c r="H12" s="9" t="n">
        <f aca="false">IF(الإجابات!H12=الإجابات!H$2,1,0)</f>
        <v>0</v>
      </c>
      <c r="I12" s="9" t="n">
        <f aca="false">IF(الإجابات!I12=الإجابات!I$2,1,0)</f>
        <v>0</v>
      </c>
      <c r="J12" s="9" t="n">
        <f aca="false">IF(الإجابات!J12=الإجابات!J$2,1,0)</f>
        <v>1</v>
      </c>
      <c r="K12" s="9" t="n">
        <f aca="false">IF(الإجابات!K12=الإجابات!K$2,1,0)</f>
        <v>1</v>
      </c>
      <c r="L12" s="9" t="n">
        <f aca="false">IF(الإجابات!L12=الإجابات!L$2,1,0)</f>
        <v>0</v>
      </c>
      <c r="M12" s="9" t="n">
        <f aca="false">IF(الإجابات!M12=الإجابات!M$2,1,0)</f>
        <v>1</v>
      </c>
      <c r="N12" s="9" t="n">
        <f aca="false">IF(الإجابات!N12=الإجابات!N$2,1,0)</f>
        <v>0</v>
      </c>
      <c r="O12" s="9" t="n">
        <f aca="false">IF(الإجابات!O12=الإجابات!O$2,1,0)</f>
        <v>1</v>
      </c>
      <c r="P12" s="9" t="n">
        <f aca="false">IF(الإجابات!P12=الإجابات!P$2,1,0)</f>
        <v>0</v>
      </c>
      <c r="Q12" s="9" t="n">
        <f aca="false">IF(الإجابات!Q12=الإجابات!Q$2,1,0)</f>
        <v>1</v>
      </c>
      <c r="R12" s="9" t="n">
        <f aca="false">IF(الإجابات!R12=الإجابات!R$2,1,0)</f>
        <v>1</v>
      </c>
      <c r="S12" s="9" t="n">
        <f aca="false">IF(الإجابات!S12=الإجابات!S$2,1,0)</f>
        <v>1</v>
      </c>
      <c r="T12" s="9" t="n">
        <f aca="false">IF(الإجابات!T12=الإجابات!T$2,1,0)</f>
        <v>1</v>
      </c>
      <c r="U12" s="9" t="n">
        <f aca="false">IF(الإجابات!U12=الإجابات!U$2,1,0)</f>
        <v>0</v>
      </c>
      <c r="V12" s="9" t="n">
        <f aca="false">IF(الإجابات!V12=الإجابات!V$2,1,0)</f>
        <v>1</v>
      </c>
      <c r="W12" s="9" t="n">
        <f aca="false">IF(الإجابات!W12=الإجابات!W$2,1,0)</f>
        <v>0</v>
      </c>
      <c r="X12" s="9" t="n">
        <f aca="false">IF(الإجابات!X12=الإجابات!X$2,1,0)</f>
        <v>0</v>
      </c>
      <c r="Y12" s="9" t="n">
        <f aca="false">IF(الإجابات!Y12=الإجابات!Y$2,1,0)</f>
        <v>0</v>
      </c>
      <c r="Z12" s="9" t="n">
        <f aca="false">IF(الإجابات!Z12=الإجابات!Z$2,1,0)</f>
        <v>1</v>
      </c>
      <c r="AA12" s="9" t="n">
        <f aca="false">IF(الإجابات!AA12=الإجابات!AA$2,1,0)</f>
        <v>1</v>
      </c>
      <c r="AB12" s="9" t="n">
        <f aca="false">IF(الإجابات!AB12=الإجابات!AB$2,1,0)</f>
        <v>1</v>
      </c>
      <c r="AC12" s="9" t="n">
        <f aca="false">IF(الإجابات!AC12=الإجابات!AC$2,1,0)</f>
        <v>0</v>
      </c>
      <c r="AD12" s="9" t="n">
        <f aca="false">IF(الإجابات!AD12=الإجابات!AD$2,1,0)</f>
        <v>0</v>
      </c>
      <c r="AE12" s="9" t="n">
        <f aca="false">IF(الإجابات!AE12=الإجابات!AE$2,1,0)</f>
        <v>0</v>
      </c>
      <c r="AF12" s="9" t="n">
        <f aca="false">SUM(B12:AE12)</f>
        <v>15</v>
      </c>
    </row>
    <row r="13" customFormat="false" ht="15" hidden="false" customHeight="false" outlineLevel="0" collapsed="false">
      <c r="A13" s="0" t="str">
        <f aca="false">الإجابات!A13</f>
        <v>S011</v>
      </c>
      <c r="B13" s="9" t="n">
        <f aca="false">IF(الإجابات!B13=الإجابات!B$2,1,0)</f>
        <v>0</v>
      </c>
      <c r="C13" s="9" t="n">
        <f aca="false">IF(الإجابات!C13=الإجابات!C$2,1,0)</f>
        <v>0</v>
      </c>
      <c r="D13" s="9" t="n">
        <f aca="false">IF(الإجابات!D13=الإجابات!D$2,1,0)</f>
        <v>1</v>
      </c>
      <c r="E13" s="9" t="n">
        <f aca="false">IF(الإجابات!E13=الإجابات!E$2,1,0)</f>
        <v>1</v>
      </c>
      <c r="F13" s="9" t="n">
        <f aca="false">IF(الإجابات!F13=الإجابات!F$2,1,0)</f>
        <v>1</v>
      </c>
      <c r="G13" s="9" t="n">
        <f aca="false">IF(الإجابات!G13=الإجابات!G$2,1,0)</f>
        <v>1</v>
      </c>
      <c r="H13" s="9" t="n">
        <f aca="false">IF(الإجابات!H13=الإجابات!H$2,1,0)</f>
        <v>0</v>
      </c>
      <c r="I13" s="9" t="n">
        <f aca="false">IF(الإجابات!I13=الإجابات!I$2,1,0)</f>
        <v>1</v>
      </c>
      <c r="J13" s="9" t="n">
        <f aca="false">IF(الإجابات!J13=الإجابات!J$2,1,0)</f>
        <v>1</v>
      </c>
      <c r="K13" s="9" t="n">
        <f aca="false">IF(الإجابات!K13=الإجابات!K$2,1,0)</f>
        <v>0</v>
      </c>
      <c r="L13" s="9" t="n">
        <f aca="false">IF(الإجابات!L13=الإجابات!L$2,1,0)</f>
        <v>1</v>
      </c>
      <c r="M13" s="9" t="n">
        <f aca="false">IF(الإجابات!M13=الإجابات!M$2,1,0)</f>
        <v>1</v>
      </c>
      <c r="N13" s="9" t="n">
        <f aca="false">IF(الإجابات!N13=الإجابات!N$2,1,0)</f>
        <v>0</v>
      </c>
      <c r="O13" s="9" t="n">
        <f aca="false">IF(الإجابات!O13=الإجابات!O$2,1,0)</f>
        <v>1</v>
      </c>
      <c r="P13" s="9" t="n">
        <f aca="false">IF(الإجابات!P13=الإجابات!P$2,1,0)</f>
        <v>1</v>
      </c>
      <c r="Q13" s="9" t="n">
        <f aca="false">IF(الإجابات!Q13=الإجابات!Q$2,1,0)</f>
        <v>1</v>
      </c>
      <c r="R13" s="9" t="n">
        <f aca="false">IF(الإجابات!R13=الإجابات!R$2,1,0)</f>
        <v>1</v>
      </c>
      <c r="S13" s="9" t="n">
        <f aca="false">IF(الإجابات!S13=الإجابات!S$2,1,0)</f>
        <v>0</v>
      </c>
      <c r="T13" s="9" t="n">
        <f aca="false">IF(الإجابات!T13=الإجابات!T$2,1,0)</f>
        <v>1</v>
      </c>
      <c r="U13" s="9" t="n">
        <f aca="false">IF(الإجابات!U13=الإجابات!U$2,1,0)</f>
        <v>1</v>
      </c>
      <c r="V13" s="9" t="n">
        <f aca="false">IF(الإجابات!V13=الإجابات!V$2,1,0)</f>
        <v>1</v>
      </c>
      <c r="W13" s="9" t="n">
        <f aca="false">IF(الإجابات!W13=الإجابات!W$2,1,0)</f>
        <v>1</v>
      </c>
      <c r="X13" s="9" t="n">
        <f aca="false">IF(الإجابات!X13=الإجابات!X$2,1,0)</f>
        <v>1</v>
      </c>
      <c r="Y13" s="9" t="n">
        <f aca="false">IF(الإجابات!Y13=الإجابات!Y$2,1,0)</f>
        <v>1</v>
      </c>
      <c r="Z13" s="9" t="n">
        <f aca="false">IF(الإجابات!Z13=الإجابات!Z$2,1,0)</f>
        <v>0</v>
      </c>
      <c r="AA13" s="9" t="n">
        <f aca="false">IF(الإجابات!AA13=الإجابات!AA$2,1,0)</f>
        <v>1</v>
      </c>
      <c r="AB13" s="9" t="n">
        <f aca="false">IF(الإجابات!AB13=الإجابات!AB$2,1,0)</f>
        <v>1</v>
      </c>
      <c r="AC13" s="9" t="n">
        <f aca="false">IF(الإجابات!AC13=الإجابات!AC$2,1,0)</f>
        <v>0</v>
      </c>
      <c r="AD13" s="9" t="n">
        <f aca="false">IF(الإجابات!AD13=الإجابات!AD$2,1,0)</f>
        <v>0</v>
      </c>
      <c r="AE13" s="9" t="n">
        <f aca="false">IF(الإجابات!AE13=الإجابات!AE$2,1,0)</f>
        <v>1</v>
      </c>
      <c r="AF13" s="9" t="n">
        <f aca="false">SUM(B13:AE13)</f>
        <v>21</v>
      </c>
    </row>
    <row r="14" customFormat="false" ht="15" hidden="false" customHeight="false" outlineLevel="0" collapsed="false">
      <c r="A14" s="0" t="str">
        <f aca="false">الإجابات!A14</f>
        <v>S012</v>
      </c>
      <c r="B14" s="9" t="n">
        <f aca="false">IF(الإجابات!B14=الإجابات!B$2,1,0)</f>
        <v>1</v>
      </c>
      <c r="C14" s="9" t="n">
        <f aca="false">IF(الإجابات!C14=الإجابات!C$2,1,0)</f>
        <v>1</v>
      </c>
      <c r="D14" s="9" t="n">
        <f aca="false">IF(الإجابات!D14=الإجابات!D$2,1,0)</f>
        <v>0</v>
      </c>
      <c r="E14" s="9" t="n">
        <f aca="false">IF(الإجابات!E14=الإجابات!E$2,1,0)</f>
        <v>1</v>
      </c>
      <c r="F14" s="9" t="n">
        <f aca="false">IF(الإجابات!F14=الإجابات!F$2,1,0)</f>
        <v>0</v>
      </c>
      <c r="G14" s="9" t="n">
        <f aca="false">IF(الإجابات!G14=الإجابات!G$2,1,0)</f>
        <v>1</v>
      </c>
      <c r="H14" s="9" t="n">
        <f aca="false">IF(الإجابات!H14=الإجابات!H$2,1,0)</f>
        <v>0</v>
      </c>
      <c r="I14" s="9" t="n">
        <f aca="false">IF(الإجابات!I14=الإجابات!I$2,1,0)</f>
        <v>1</v>
      </c>
      <c r="J14" s="9" t="n">
        <f aca="false">IF(الإجابات!J14=الإجابات!J$2,1,0)</f>
        <v>1</v>
      </c>
      <c r="K14" s="9" t="n">
        <f aca="false">IF(الإجابات!K14=الإجابات!K$2,1,0)</f>
        <v>1</v>
      </c>
      <c r="L14" s="9" t="n">
        <f aca="false">IF(الإجابات!L14=الإجابات!L$2,1,0)</f>
        <v>1</v>
      </c>
      <c r="M14" s="9" t="n">
        <f aca="false">IF(الإجابات!M14=الإجابات!M$2,1,0)</f>
        <v>1</v>
      </c>
      <c r="N14" s="9" t="n">
        <f aca="false">IF(الإجابات!N14=الإجابات!N$2,1,0)</f>
        <v>1</v>
      </c>
      <c r="O14" s="9" t="n">
        <f aca="false">IF(الإجابات!O14=الإجابات!O$2,1,0)</f>
        <v>1</v>
      </c>
      <c r="P14" s="9" t="n">
        <f aca="false">IF(الإجابات!P14=الإجابات!P$2,1,0)</f>
        <v>0</v>
      </c>
      <c r="Q14" s="9" t="n">
        <f aca="false">IF(الإجابات!Q14=الإجابات!Q$2,1,0)</f>
        <v>1</v>
      </c>
      <c r="R14" s="9" t="n">
        <f aca="false">IF(الإجابات!R14=الإجابات!R$2,1,0)</f>
        <v>1</v>
      </c>
      <c r="S14" s="9" t="n">
        <f aca="false">IF(الإجابات!S14=الإجابات!S$2,1,0)</f>
        <v>0</v>
      </c>
      <c r="T14" s="9" t="n">
        <f aca="false">IF(الإجابات!T14=الإجابات!T$2,1,0)</f>
        <v>1</v>
      </c>
      <c r="U14" s="9" t="n">
        <f aca="false">IF(الإجابات!U14=الإجابات!U$2,1,0)</f>
        <v>1</v>
      </c>
      <c r="V14" s="9" t="n">
        <f aca="false">IF(الإجابات!V14=الإجابات!V$2,1,0)</f>
        <v>0</v>
      </c>
      <c r="W14" s="9" t="n">
        <f aca="false">IF(الإجابات!W14=الإجابات!W$2,1,0)</f>
        <v>1</v>
      </c>
      <c r="X14" s="9" t="n">
        <f aca="false">IF(الإجابات!X14=الإجابات!X$2,1,0)</f>
        <v>1</v>
      </c>
      <c r="Y14" s="9" t="n">
        <f aca="false">IF(الإجابات!Y14=الإجابات!Y$2,1,0)</f>
        <v>1</v>
      </c>
      <c r="Z14" s="9" t="n">
        <f aca="false">IF(الإجابات!Z14=الإجابات!Z$2,1,0)</f>
        <v>1</v>
      </c>
      <c r="AA14" s="9" t="n">
        <f aca="false">IF(الإجابات!AA14=الإجابات!AA$2,1,0)</f>
        <v>1</v>
      </c>
      <c r="AB14" s="9" t="n">
        <f aca="false">IF(الإجابات!AB14=الإجابات!AB$2,1,0)</f>
        <v>1</v>
      </c>
      <c r="AC14" s="9" t="n">
        <f aca="false">IF(الإجابات!AC14=الإجابات!AC$2,1,0)</f>
        <v>1</v>
      </c>
      <c r="AD14" s="9" t="n">
        <f aca="false">IF(الإجابات!AD14=الإجابات!AD$2,1,0)</f>
        <v>0</v>
      </c>
      <c r="AE14" s="9" t="n">
        <f aca="false">IF(الإجابات!AE14=الإجابات!AE$2,1,0)</f>
        <v>1</v>
      </c>
      <c r="AF14" s="9" t="n">
        <f aca="false">SUM(B14:AE14)</f>
        <v>23</v>
      </c>
    </row>
    <row r="15" customFormat="false" ht="15" hidden="false" customHeight="false" outlineLevel="0" collapsed="false">
      <c r="A15" s="0" t="str">
        <f aca="false">الإجابات!A15</f>
        <v>S013</v>
      </c>
      <c r="B15" s="9" t="n">
        <f aca="false">IF(الإجابات!B15=الإجابات!B$2,1,0)</f>
        <v>1</v>
      </c>
      <c r="C15" s="9" t="n">
        <f aca="false">IF(الإجابات!C15=الإجابات!C$2,1,0)</f>
        <v>1</v>
      </c>
      <c r="D15" s="9" t="n">
        <f aca="false">IF(الإجابات!D15=الإجابات!D$2,1,0)</f>
        <v>0</v>
      </c>
      <c r="E15" s="9" t="n">
        <f aca="false">IF(الإجابات!E15=الإجابات!E$2,1,0)</f>
        <v>0</v>
      </c>
      <c r="F15" s="9" t="n">
        <f aca="false">IF(الإجابات!F15=الإجابات!F$2,1,0)</f>
        <v>1</v>
      </c>
      <c r="G15" s="9" t="n">
        <f aca="false">IF(الإجابات!G15=الإجابات!G$2,1,0)</f>
        <v>1</v>
      </c>
      <c r="H15" s="9" t="n">
        <f aca="false">IF(الإجابات!H15=الإجابات!H$2,1,0)</f>
        <v>0</v>
      </c>
      <c r="I15" s="9" t="n">
        <f aca="false">IF(الإجابات!I15=الإجابات!I$2,1,0)</f>
        <v>1</v>
      </c>
      <c r="J15" s="9" t="n">
        <f aca="false">IF(الإجابات!J15=الإجابات!J$2,1,0)</f>
        <v>1</v>
      </c>
      <c r="K15" s="9" t="n">
        <f aca="false">IF(الإجابات!K15=الإجابات!K$2,1,0)</f>
        <v>0</v>
      </c>
      <c r="L15" s="9" t="n">
        <f aca="false">IF(الإجابات!L15=الإجابات!L$2,1,0)</f>
        <v>1</v>
      </c>
      <c r="M15" s="9" t="n">
        <f aca="false">IF(الإجابات!M15=الإجابات!M$2,1,0)</f>
        <v>1</v>
      </c>
      <c r="N15" s="9" t="n">
        <f aca="false">IF(الإجابات!N15=الإجابات!N$2,1,0)</f>
        <v>0</v>
      </c>
      <c r="O15" s="9" t="n">
        <f aca="false">IF(الإجابات!O15=الإجابات!O$2,1,0)</f>
        <v>0</v>
      </c>
      <c r="P15" s="9" t="n">
        <f aca="false">IF(الإجابات!P15=الإجابات!P$2,1,0)</f>
        <v>0</v>
      </c>
      <c r="Q15" s="9" t="n">
        <f aca="false">IF(الإجابات!Q15=الإجابات!Q$2,1,0)</f>
        <v>1</v>
      </c>
      <c r="R15" s="9" t="n">
        <f aca="false">IF(الإجابات!R15=الإجابات!R$2,1,0)</f>
        <v>1</v>
      </c>
      <c r="S15" s="9" t="n">
        <f aca="false">IF(الإجابات!S15=الإجابات!S$2,1,0)</f>
        <v>0</v>
      </c>
      <c r="T15" s="9" t="n">
        <f aca="false">IF(الإجابات!T15=الإجابات!T$2,1,0)</f>
        <v>0</v>
      </c>
      <c r="U15" s="9" t="n">
        <f aca="false">IF(الإجابات!U15=الإجابات!U$2,1,0)</f>
        <v>0</v>
      </c>
      <c r="V15" s="9" t="n">
        <f aca="false">IF(الإجابات!V15=الإجابات!V$2,1,0)</f>
        <v>1</v>
      </c>
      <c r="W15" s="9" t="n">
        <f aca="false">IF(الإجابات!W15=الإجابات!W$2,1,0)</f>
        <v>1</v>
      </c>
      <c r="X15" s="9" t="n">
        <f aca="false">IF(الإجابات!X15=الإجابات!X$2,1,0)</f>
        <v>0</v>
      </c>
      <c r="Y15" s="9" t="n">
        <f aca="false">IF(الإجابات!Y15=الإجابات!Y$2,1,0)</f>
        <v>0</v>
      </c>
      <c r="Z15" s="9" t="n">
        <f aca="false">IF(الإجابات!Z15=الإجابات!Z$2,1,0)</f>
        <v>1</v>
      </c>
      <c r="AA15" s="9" t="n">
        <f aca="false">IF(الإجابات!AA15=الإجابات!AA$2,1,0)</f>
        <v>0</v>
      </c>
      <c r="AB15" s="9" t="n">
        <f aca="false">IF(الإجابات!AB15=الإجابات!AB$2,1,0)</f>
        <v>1</v>
      </c>
      <c r="AC15" s="9" t="n">
        <f aca="false">IF(الإجابات!AC15=الإجابات!AC$2,1,0)</f>
        <v>1</v>
      </c>
      <c r="AD15" s="9" t="n">
        <f aca="false">IF(الإجابات!AD15=الإجابات!AD$2,1,0)</f>
        <v>0</v>
      </c>
      <c r="AE15" s="9" t="n">
        <f aca="false">IF(الإجابات!AE15=الإجابات!AE$2,1,0)</f>
        <v>1</v>
      </c>
      <c r="AF15" s="9" t="n">
        <f aca="false">SUM(B15:AE15)</f>
        <v>16</v>
      </c>
    </row>
    <row r="16" customFormat="false" ht="15" hidden="false" customHeight="false" outlineLevel="0" collapsed="false">
      <c r="A16" s="0" t="str">
        <f aca="false">الإجابات!A16</f>
        <v>S014</v>
      </c>
      <c r="B16" s="9" t="n">
        <f aca="false">IF(الإجابات!B16=الإجابات!B$2,1,0)</f>
        <v>0</v>
      </c>
      <c r="C16" s="9" t="n">
        <f aca="false">IF(الإجابات!C16=الإجابات!C$2,1,0)</f>
        <v>0</v>
      </c>
      <c r="D16" s="9" t="n">
        <f aca="false">IF(الإجابات!D16=الإجابات!D$2,1,0)</f>
        <v>0</v>
      </c>
      <c r="E16" s="9" t="n">
        <f aca="false">IF(الإجابات!E16=الإجابات!E$2,1,0)</f>
        <v>1</v>
      </c>
      <c r="F16" s="9" t="n">
        <f aca="false">IF(الإجابات!F16=الإجابات!F$2,1,0)</f>
        <v>0</v>
      </c>
      <c r="G16" s="9" t="n">
        <f aca="false">IF(الإجابات!G16=الإجابات!G$2,1,0)</f>
        <v>0</v>
      </c>
      <c r="H16" s="9" t="n">
        <f aca="false">IF(الإجابات!H16=الإجابات!H$2,1,0)</f>
        <v>0</v>
      </c>
      <c r="I16" s="9" t="n">
        <f aca="false">IF(الإجابات!I16=الإجابات!I$2,1,0)</f>
        <v>0</v>
      </c>
      <c r="J16" s="9" t="n">
        <f aca="false">IF(الإجابات!J16=الإجابات!J$2,1,0)</f>
        <v>1</v>
      </c>
      <c r="K16" s="9" t="n">
        <f aca="false">IF(الإجابات!K16=الإجابات!K$2,1,0)</f>
        <v>0</v>
      </c>
      <c r="L16" s="9" t="n">
        <f aca="false">IF(الإجابات!L16=الإجابات!L$2,1,0)</f>
        <v>1</v>
      </c>
      <c r="M16" s="9" t="n">
        <f aca="false">IF(الإجابات!M16=الإجابات!M$2,1,0)</f>
        <v>1</v>
      </c>
      <c r="N16" s="9" t="n">
        <f aca="false">IF(الإجابات!N16=الإجابات!N$2,1,0)</f>
        <v>1</v>
      </c>
      <c r="O16" s="9" t="n">
        <f aca="false">IF(الإجابات!O16=الإجابات!O$2,1,0)</f>
        <v>0</v>
      </c>
      <c r="P16" s="9" t="n">
        <f aca="false">IF(الإجابات!P16=الإجابات!P$2,1,0)</f>
        <v>1</v>
      </c>
      <c r="Q16" s="9" t="n">
        <f aca="false">IF(الإجابات!Q16=الإجابات!Q$2,1,0)</f>
        <v>1</v>
      </c>
      <c r="R16" s="9" t="n">
        <f aca="false">IF(الإجابات!R16=الإجابات!R$2,1,0)</f>
        <v>1</v>
      </c>
      <c r="S16" s="9" t="n">
        <f aca="false">IF(الإجابات!S16=الإجابات!S$2,1,0)</f>
        <v>0</v>
      </c>
      <c r="T16" s="9" t="n">
        <f aca="false">IF(الإجابات!T16=الإجابات!T$2,1,0)</f>
        <v>1</v>
      </c>
      <c r="U16" s="9" t="n">
        <f aca="false">IF(الإجابات!U16=الإجابات!U$2,1,0)</f>
        <v>1</v>
      </c>
      <c r="V16" s="9" t="n">
        <f aca="false">IF(الإجابات!V16=الإجابات!V$2,1,0)</f>
        <v>0</v>
      </c>
      <c r="W16" s="9" t="n">
        <f aca="false">IF(الإجابات!W16=الإجابات!W$2,1,0)</f>
        <v>0</v>
      </c>
      <c r="X16" s="9" t="n">
        <f aca="false">IF(الإجابات!X16=الإجابات!X$2,1,0)</f>
        <v>0</v>
      </c>
      <c r="Y16" s="9" t="n">
        <f aca="false">IF(الإجابات!Y16=الإجابات!Y$2,1,0)</f>
        <v>1</v>
      </c>
      <c r="Z16" s="9" t="n">
        <f aca="false">IF(الإجابات!Z16=الإجابات!Z$2,1,0)</f>
        <v>0</v>
      </c>
      <c r="AA16" s="9" t="n">
        <f aca="false">IF(الإجابات!AA16=الإجابات!AA$2,1,0)</f>
        <v>0</v>
      </c>
      <c r="AB16" s="9" t="n">
        <f aca="false">IF(الإجابات!AB16=الإجابات!AB$2,1,0)</f>
        <v>0</v>
      </c>
      <c r="AC16" s="9" t="n">
        <f aca="false">IF(الإجابات!AC16=الإجابات!AC$2,1,0)</f>
        <v>0</v>
      </c>
      <c r="AD16" s="9" t="n">
        <f aca="false">IF(الإجابات!AD16=الإجابات!AD$2,1,0)</f>
        <v>1</v>
      </c>
      <c r="AE16" s="9" t="n">
        <f aca="false">IF(الإجابات!AE16=الإجابات!AE$2,1,0)</f>
        <v>0</v>
      </c>
      <c r="AF16" s="9" t="n">
        <f aca="false">SUM(B16:AE16)</f>
        <v>12</v>
      </c>
    </row>
    <row r="17" customFormat="false" ht="15" hidden="false" customHeight="false" outlineLevel="0" collapsed="false">
      <c r="A17" s="0" t="str">
        <f aca="false">الإجابات!A17</f>
        <v>S015</v>
      </c>
      <c r="B17" s="9" t="n">
        <f aca="false">IF(الإجابات!B17=الإجابات!B$2,1,0)</f>
        <v>0</v>
      </c>
      <c r="C17" s="9" t="n">
        <f aca="false">IF(الإجابات!C17=الإجابات!C$2,1,0)</f>
        <v>0</v>
      </c>
      <c r="D17" s="9" t="n">
        <f aca="false">IF(الإجابات!D17=الإجابات!D$2,1,0)</f>
        <v>0</v>
      </c>
      <c r="E17" s="9" t="n">
        <f aca="false">IF(الإجابات!E17=الإجابات!E$2,1,0)</f>
        <v>1</v>
      </c>
      <c r="F17" s="9" t="n">
        <f aca="false">IF(الإجابات!F17=الإجابات!F$2,1,0)</f>
        <v>1</v>
      </c>
      <c r="G17" s="9" t="n">
        <f aca="false">IF(الإجابات!G17=الإجابات!G$2,1,0)</f>
        <v>0</v>
      </c>
      <c r="H17" s="9" t="n">
        <f aca="false">IF(الإجابات!H17=الإجابات!H$2,1,0)</f>
        <v>0</v>
      </c>
      <c r="I17" s="9" t="n">
        <f aca="false">IF(الإجابات!I17=الإجابات!I$2,1,0)</f>
        <v>1</v>
      </c>
      <c r="J17" s="9" t="n">
        <f aca="false">IF(الإجابات!J17=الإجابات!J$2,1,0)</f>
        <v>1</v>
      </c>
      <c r="K17" s="9" t="n">
        <f aca="false">IF(الإجابات!K17=الإجابات!K$2,1,0)</f>
        <v>1</v>
      </c>
      <c r="L17" s="9" t="n">
        <f aca="false">IF(الإجابات!L17=الإجابات!L$2,1,0)</f>
        <v>1</v>
      </c>
      <c r="M17" s="9" t="n">
        <f aca="false">IF(الإجابات!M17=الإجابات!M$2,1,0)</f>
        <v>1</v>
      </c>
      <c r="N17" s="9" t="n">
        <f aca="false">IF(الإجابات!N17=الإجابات!N$2,1,0)</f>
        <v>1</v>
      </c>
      <c r="O17" s="9" t="n">
        <f aca="false">IF(الإجابات!O17=الإجابات!O$2,1,0)</f>
        <v>0</v>
      </c>
      <c r="P17" s="9" t="n">
        <f aca="false">IF(الإجابات!P17=الإجابات!P$2,1,0)</f>
        <v>1</v>
      </c>
      <c r="Q17" s="9" t="n">
        <f aca="false">IF(الإجابات!Q17=الإجابات!Q$2,1,0)</f>
        <v>1</v>
      </c>
      <c r="R17" s="9" t="n">
        <f aca="false">IF(الإجابات!R17=الإجابات!R$2,1,0)</f>
        <v>1</v>
      </c>
      <c r="S17" s="9" t="n">
        <f aca="false">IF(الإجابات!S17=الإجابات!S$2,1,0)</f>
        <v>1</v>
      </c>
      <c r="T17" s="9" t="n">
        <f aca="false">IF(الإجابات!T17=الإجابات!T$2,1,0)</f>
        <v>0</v>
      </c>
      <c r="U17" s="9" t="n">
        <f aca="false">IF(الإجابات!U17=الإجابات!U$2,1,0)</f>
        <v>0</v>
      </c>
      <c r="V17" s="9" t="n">
        <f aca="false">IF(الإجابات!V17=الإجابات!V$2,1,0)</f>
        <v>0</v>
      </c>
      <c r="W17" s="9" t="n">
        <f aca="false">IF(الإجابات!W17=الإجابات!W$2,1,0)</f>
        <v>1</v>
      </c>
      <c r="X17" s="9" t="n">
        <f aca="false">IF(الإجابات!X17=الإجابات!X$2,1,0)</f>
        <v>1</v>
      </c>
      <c r="Y17" s="9" t="n">
        <f aca="false">IF(الإجابات!Y17=الإجابات!Y$2,1,0)</f>
        <v>0</v>
      </c>
      <c r="Z17" s="9" t="n">
        <f aca="false">IF(الإجابات!Z17=الإجابات!Z$2,1,0)</f>
        <v>1</v>
      </c>
      <c r="AA17" s="9" t="n">
        <f aca="false">IF(الإجابات!AA17=الإجابات!AA$2,1,0)</f>
        <v>0</v>
      </c>
      <c r="AB17" s="9" t="n">
        <f aca="false">IF(الإجابات!AB17=الإجابات!AB$2,1,0)</f>
        <v>0</v>
      </c>
      <c r="AC17" s="9" t="n">
        <f aca="false">IF(الإجابات!AC17=الإجابات!AC$2,1,0)</f>
        <v>1</v>
      </c>
      <c r="AD17" s="9" t="n">
        <f aca="false">IF(الإجابات!AD17=الإجابات!AD$2,1,0)</f>
        <v>1</v>
      </c>
      <c r="AE17" s="9" t="n">
        <f aca="false">IF(الإجابات!AE17=الإجابات!AE$2,1,0)</f>
        <v>1</v>
      </c>
      <c r="AF17" s="9" t="n">
        <f aca="false">SUM(B17:AE17)</f>
        <v>18</v>
      </c>
    </row>
    <row r="18" customFormat="false" ht="15" hidden="false" customHeight="false" outlineLevel="0" collapsed="false">
      <c r="A18" s="0" t="str">
        <f aca="false">الإجابات!A18</f>
        <v>S016</v>
      </c>
      <c r="B18" s="9" t="n">
        <f aca="false">IF(الإجابات!B18=الإجابات!B$2,1,0)</f>
        <v>0</v>
      </c>
      <c r="C18" s="9" t="n">
        <f aca="false">IF(الإجابات!C18=الإجابات!C$2,1,0)</f>
        <v>0</v>
      </c>
      <c r="D18" s="9" t="n">
        <f aca="false">IF(الإجابات!D18=الإجابات!D$2,1,0)</f>
        <v>0</v>
      </c>
      <c r="E18" s="9" t="n">
        <f aca="false">IF(الإجابات!E18=الإجابات!E$2,1,0)</f>
        <v>0</v>
      </c>
      <c r="F18" s="9" t="n">
        <f aca="false">IF(الإجابات!F18=الإجابات!F$2,1,0)</f>
        <v>0</v>
      </c>
      <c r="G18" s="9" t="n">
        <f aca="false">IF(الإجابات!G18=الإجابات!G$2,1,0)</f>
        <v>0</v>
      </c>
      <c r="H18" s="9" t="n">
        <f aca="false">IF(الإجابات!H18=الإجابات!H$2,1,0)</f>
        <v>0</v>
      </c>
      <c r="I18" s="9" t="n">
        <f aca="false">IF(الإجابات!I18=الإجابات!I$2,1,0)</f>
        <v>0</v>
      </c>
      <c r="J18" s="9" t="n">
        <f aca="false">IF(الإجابات!J18=الإجابات!J$2,1,0)</f>
        <v>1</v>
      </c>
      <c r="K18" s="9" t="n">
        <f aca="false">IF(الإجابات!K18=الإجابات!K$2,1,0)</f>
        <v>0</v>
      </c>
      <c r="L18" s="9" t="n">
        <f aca="false">IF(الإجابات!L18=الإجابات!L$2,1,0)</f>
        <v>0</v>
      </c>
      <c r="M18" s="9" t="n">
        <f aca="false">IF(الإجابات!M18=الإجابات!M$2,1,0)</f>
        <v>1</v>
      </c>
      <c r="N18" s="9" t="n">
        <f aca="false">IF(الإجابات!N18=الإجابات!N$2,1,0)</f>
        <v>0</v>
      </c>
      <c r="O18" s="9" t="n">
        <f aca="false">IF(الإجابات!O18=الإجابات!O$2,1,0)</f>
        <v>1</v>
      </c>
      <c r="P18" s="9" t="n">
        <f aca="false">IF(الإجابات!P18=الإجابات!P$2,1,0)</f>
        <v>0</v>
      </c>
      <c r="Q18" s="9" t="n">
        <f aca="false">IF(الإجابات!Q18=الإجابات!Q$2,1,0)</f>
        <v>1</v>
      </c>
      <c r="R18" s="9" t="n">
        <f aca="false">IF(الإجابات!R18=الإجابات!R$2,1,0)</f>
        <v>1</v>
      </c>
      <c r="S18" s="9" t="n">
        <f aca="false">IF(الإجابات!S18=الإجابات!S$2,1,0)</f>
        <v>0</v>
      </c>
      <c r="T18" s="9" t="n">
        <f aca="false">IF(الإجابات!T18=الإجابات!T$2,1,0)</f>
        <v>0</v>
      </c>
      <c r="U18" s="9" t="n">
        <f aca="false">IF(الإجابات!U18=الإجابات!U$2,1,0)</f>
        <v>0</v>
      </c>
      <c r="V18" s="9" t="n">
        <f aca="false">IF(الإجابات!V18=الإجابات!V$2,1,0)</f>
        <v>1</v>
      </c>
      <c r="W18" s="9" t="n">
        <f aca="false">IF(الإجابات!W18=الإجابات!W$2,1,0)</f>
        <v>1</v>
      </c>
      <c r="X18" s="9" t="n">
        <f aca="false">IF(الإجابات!X18=الإجابات!X$2,1,0)</f>
        <v>0</v>
      </c>
      <c r="Y18" s="9" t="n">
        <f aca="false">IF(الإجابات!Y18=الإجابات!Y$2,1,0)</f>
        <v>0</v>
      </c>
      <c r="Z18" s="9" t="n">
        <f aca="false">IF(الإجابات!Z18=الإجابات!Z$2,1,0)</f>
        <v>0</v>
      </c>
      <c r="AA18" s="9" t="n">
        <f aca="false">IF(الإجابات!AA18=الإجابات!AA$2,1,0)</f>
        <v>0</v>
      </c>
      <c r="AB18" s="9" t="n">
        <f aca="false">IF(الإجابات!AB18=الإجابات!AB$2,1,0)</f>
        <v>1</v>
      </c>
      <c r="AC18" s="9" t="n">
        <f aca="false">IF(الإجابات!AC18=الإجابات!AC$2,1,0)</f>
        <v>1</v>
      </c>
      <c r="AD18" s="9" t="n">
        <f aca="false">IF(الإجابات!AD18=الإجابات!AD$2,1,0)</f>
        <v>0</v>
      </c>
      <c r="AE18" s="9" t="n">
        <f aca="false">IF(الإجابات!AE18=الإجابات!AE$2,1,0)</f>
        <v>0</v>
      </c>
      <c r="AF18" s="9" t="n">
        <f aca="false">SUM(B18:AE18)</f>
        <v>9</v>
      </c>
    </row>
    <row r="19" customFormat="false" ht="15" hidden="false" customHeight="false" outlineLevel="0" collapsed="false">
      <c r="A19" s="0" t="str">
        <f aca="false">الإجابات!A19</f>
        <v>S017</v>
      </c>
      <c r="B19" s="9" t="n">
        <f aca="false">IF(الإجابات!B19=الإجابات!B$2,1,0)</f>
        <v>0</v>
      </c>
      <c r="C19" s="9" t="n">
        <f aca="false">IF(الإجابات!C19=الإجابات!C$2,1,0)</f>
        <v>0</v>
      </c>
      <c r="D19" s="9" t="n">
        <f aca="false">IF(الإجابات!D19=الإجابات!D$2,1,0)</f>
        <v>0</v>
      </c>
      <c r="E19" s="9" t="n">
        <f aca="false">IF(الإجابات!E19=الإجابات!E$2,1,0)</f>
        <v>1</v>
      </c>
      <c r="F19" s="9" t="n">
        <f aca="false">IF(الإجابات!F19=الإجابات!F$2,1,0)</f>
        <v>0</v>
      </c>
      <c r="G19" s="9" t="n">
        <f aca="false">IF(الإجابات!G19=الإجابات!G$2,1,0)</f>
        <v>0</v>
      </c>
      <c r="H19" s="9" t="n">
        <f aca="false">IF(الإجابات!H19=الإجابات!H$2,1,0)</f>
        <v>1</v>
      </c>
      <c r="I19" s="9" t="n">
        <f aca="false">IF(الإجابات!I19=الإجابات!I$2,1,0)</f>
        <v>1</v>
      </c>
      <c r="J19" s="9" t="n">
        <f aca="false">IF(الإجابات!J19=الإجابات!J$2,1,0)</f>
        <v>1</v>
      </c>
      <c r="K19" s="9" t="n">
        <f aca="false">IF(الإجابات!K19=الإجابات!K$2,1,0)</f>
        <v>0</v>
      </c>
      <c r="L19" s="9" t="n">
        <f aca="false">IF(الإجابات!L19=الإجابات!L$2,1,0)</f>
        <v>0</v>
      </c>
      <c r="M19" s="9" t="n">
        <f aca="false">IF(الإجابات!M19=الإجابات!M$2,1,0)</f>
        <v>1</v>
      </c>
      <c r="N19" s="9" t="n">
        <f aca="false">IF(الإجابات!N19=الإجابات!N$2,1,0)</f>
        <v>0</v>
      </c>
      <c r="O19" s="9" t="n">
        <f aca="false">IF(الإجابات!O19=الإجابات!O$2,1,0)</f>
        <v>0</v>
      </c>
      <c r="P19" s="9" t="n">
        <f aca="false">IF(الإجابات!P19=الإجابات!P$2,1,0)</f>
        <v>0</v>
      </c>
      <c r="Q19" s="9" t="n">
        <f aca="false">IF(الإجابات!Q19=الإجابات!Q$2,1,0)</f>
        <v>1</v>
      </c>
      <c r="R19" s="9" t="n">
        <f aca="false">IF(الإجابات!R19=الإجابات!R$2,1,0)</f>
        <v>1</v>
      </c>
      <c r="S19" s="9" t="n">
        <f aca="false">IF(الإجابات!S19=الإجابات!S$2,1,0)</f>
        <v>0</v>
      </c>
      <c r="T19" s="9" t="n">
        <f aca="false">IF(الإجابات!T19=الإجابات!T$2,1,0)</f>
        <v>1</v>
      </c>
      <c r="U19" s="9" t="n">
        <f aca="false">IF(الإجابات!U19=الإجابات!U$2,1,0)</f>
        <v>0</v>
      </c>
      <c r="V19" s="9" t="n">
        <f aca="false">IF(الإجابات!V19=الإجابات!V$2,1,0)</f>
        <v>0</v>
      </c>
      <c r="W19" s="9" t="n">
        <f aca="false">IF(الإجابات!W19=الإجابات!W$2,1,0)</f>
        <v>0</v>
      </c>
      <c r="X19" s="9" t="n">
        <f aca="false">IF(الإجابات!X19=الإجابات!X$2,1,0)</f>
        <v>0</v>
      </c>
      <c r="Y19" s="9" t="n">
        <f aca="false">IF(الإجابات!Y19=الإجابات!Y$2,1,0)</f>
        <v>0</v>
      </c>
      <c r="Z19" s="9" t="n">
        <f aca="false">IF(الإجابات!Z19=الإجابات!Z$2,1,0)</f>
        <v>1</v>
      </c>
      <c r="AA19" s="9" t="n">
        <f aca="false">IF(الإجابات!AA19=الإجابات!AA$2,1,0)</f>
        <v>1</v>
      </c>
      <c r="AB19" s="9" t="n">
        <f aca="false">IF(الإجابات!AB19=الإجابات!AB$2,1,0)</f>
        <v>1</v>
      </c>
      <c r="AC19" s="9" t="n">
        <f aca="false">IF(الإجابات!AC19=الإجابات!AC$2,1,0)</f>
        <v>1</v>
      </c>
      <c r="AD19" s="9" t="n">
        <f aca="false">IF(الإجابات!AD19=الإجابات!AD$2,1,0)</f>
        <v>0</v>
      </c>
      <c r="AE19" s="9" t="n">
        <f aca="false">IF(الإجابات!AE19=الإجابات!AE$2,1,0)</f>
        <v>1</v>
      </c>
      <c r="AF19" s="9" t="n">
        <f aca="false">SUM(B19:AE19)</f>
        <v>13</v>
      </c>
    </row>
    <row r="20" customFormat="false" ht="15" hidden="false" customHeight="false" outlineLevel="0" collapsed="false">
      <c r="A20" s="0" t="str">
        <f aca="false">الإجابات!A20</f>
        <v>S018</v>
      </c>
      <c r="B20" s="9" t="n">
        <f aca="false">IF(الإجابات!B20=الإجابات!B$2,1,0)</f>
        <v>0</v>
      </c>
      <c r="C20" s="9" t="n">
        <f aca="false">IF(الإجابات!C20=الإجابات!C$2,1,0)</f>
        <v>1</v>
      </c>
      <c r="D20" s="9" t="n">
        <f aca="false">IF(الإجابات!D20=الإجابات!D$2,1,0)</f>
        <v>1</v>
      </c>
      <c r="E20" s="9" t="n">
        <f aca="false">IF(الإجابات!E20=الإجابات!E$2,1,0)</f>
        <v>1</v>
      </c>
      <c r="F20" s="9" t="n">
        <f aca="false">IF(الإجابات!F20=الإجابات!F$2,1,0)</f>
        <v>1</v>
      </c>
      <c r="G20" s="9" t="n">
        <f aca="false">IF(الإجابات!G20=الإجابات!G$2,1,0)</f>
        <v>0</v>
      </c>
      <c r="H20" s="9" t="n">
        <f aca="false">IF(الإجابات!H20=الإجابات!H$2,1,0)</f>
        <v>0</v>
      </c>
      <c r="I20" s="9" t="n">
        <f aca="false">IF(الإجابات!I20=الإجابات!I$2,1,0)</f>
        <v>1</v>
      </c>
      <c r="J20" s="9" t="n">
        <f aca="false">IF(الإجابات!J20=الإجابات!J$2,1,0)</f>
        <v>1</v>
      </c>
      <c r="K20" s="9" t="n">
        <f aca="false">IF(الإجابات!K20=الإجابات!K$2,1,0)</f>
        <v>0</v>
      </c>
      <c r="L20" s="9" t="n">
        <f aca="false">IF(الإجابات!L20=الإجابات!L$2,1,0)</f>
        <v>1</v>
      </c>
      <c r="M20" s="9" t="n">
        <f aca="false">IF(الإجابات!M20=الإجابات!M$2,1,0)</f>
        <v>1</v>
      </c>
      <c r="N20" s="9" t="n">
        <f aca="false">IF(الإجابات!N20=الإجابات!N$2,1,0)</f>
        <v>1</v>
      </c>
      <c r="O20" s="9" t="n">
        <f aca="false">IF(الإجابات!O20=الإجابات!O$2,1,0)</f>
        <v>1</v>
      </c>
      <c r="P20" s="9" t="n">
        <f aca="false">IF(الإجابات!P20=الإجابات!P$2,1,0)</f>
        <v>0</v>
      </c>
      <c r="Q20" s="9" t="n">
        <f aca="false">IF(الإجابات!Q20=الإجابات!Q$2,1,0)</f>
        <v>1</v>
      </c>
      <c r="R20" s="9" t="n">
        <f aca="false">IF(الإجابات!R20=الإجابات!R$2,1,0)</f>
        <v>1</v>
      </c>
      <c r="S20" s="9" t="n">
        <f aca="false">IF(الإجابات!S20=الإجابات!S$2,1,0)</f>
        <v>0</v>
      </c>
      <c r="T20" s="9" t="n">
        <f aca="false">IF(الإجابات!T20=الإجابات!T$2,1,0)</f>
        <v>1</v>
      </c>
      <c r="U20" s="9" t="n">
        <f aca="false">IF(الإجابات!U20=الإجابات!U$2,1,0)</f>
        <v>1</v>
      </c>
      <c r="V20" s="9" t="n">
        <f aca="false">IF(الإجابات!V20=الإجابات!V$2,1,0)</f>
        <v>1</v>
      </c>
      <c r="W20" s="9" t="n">
        <f aca="false">IF(الإجابات!W20=الإجابات!W$2,1,0)</f>
        <v>0</v>
      </c>
      <c r="X20" s="9" t="n">
        <f aca="false">IF(الإجابات!X20=الإجابات!X$2,1,0)</f>
        <v>1</v>
      </c>
      <c r="Y20" s="9" t="n">
        <f aca="false">IF(الإجابات!Y20=الإجابات!Y$2,1,0)</f>
        <v>1</v>
      </c>
      <c r="Z20" s="9" t="n">
        <f aca="false">IF(الإجابات!Z20=الإجابات!Z$2,1,0)</f>
        <v>1</v>
      </c>
      <c r="AA20" s="9" t="n">
        <f aca="false">IF(الإجابات!AA20=الإجابات!AA$2,1,0)</f>
        <v>1</v>
      </c>
      <c r="AB20" s="9" t="n">
        <f aca="false">IF(الإجابات!AB20=الإجابات!AB$2,1,0)</f>
        <v>1</v>
      </c>
      <c r="AC20" s="9" t="n">
        <f aca="false">IF(الإجابات!AC20=الإجابات!AC$2,1,0)</f>
        <v>0</v>
      </c>
      <c r="AD20" s="9" t="n">
        <f aca="false">IF(الإجابات!AD20=الإجابات!AD$2,1,0)</f>
        <v>1</v>
      </c>
      <c r="AE20" s="9" t="n">
        <f aca="false">IF(الإجابات!AE20=الإجابات!AE$2,1,0)</f>
        <v>1</v>
      </c>
      <c r="AF20" s="9" t="n">
        <f aca="false">SUM(B20:AE20)</f>
        <v>22</v>
      </c>
    </row>
    <row r="21" customFormat="false" ht="15" hidden="false" customHeight="false" outlineLevel="0" collapsed="false">
      <c r="A21" s="0" t="str">
        <f aca="false">الإجابات!A21</f>
        <v>S019</v>
      </c>
      <c r="B21" s="9" t="n">
        <f aca="false">IF(الإجابات!B21=الإجابات!B$2,1,0)</f>
        <v>0</v>
      </c>
      <c r="C21" s="9" t="n">
        <f aca="false">IF(الإجابات!C21=الإجابات!C$2,1,0)</f>
        <v>0</v>
      </c>
      <c r="D21" s="9" t="n">
        <f aca="false">IF(الإجابات!D21=الإجابات!D$2,1,0)</f>
        <v>1</v>
      </c>
      <c r="E21" s="9" t="n">
        <f aca="false">IF(الإجابات!E21=الإجابات!E$2,1,0)</f>
        <v>1</v>
      </c>
      <c r="F21" s="9" t="n">
        <f aca="false">IF(الإجابات!F21=الإجابات!F$2,1,0)</f>
        <v>0</v>
      </c>
      <c r="G21" s="9" t="n">
        <f aca="false">IF(الإجابات!G21=الإجابات!G$2,1,0)</f>
        <v>0</v>
      </c>
      <c r="H21" s="9" t="n">
        <f aca="false">IF(الإجابات!H21=الإجابات!H$2,1,0)</f>
        <v>0</v>
      </c>
      <c r="I21" s="9" t="n">
        <f aca="false">IF(الإجابات!I21=الإجابات!I$2,1,0)</f>
        <v>1</v>
      </c>
      <c r="J21" s="9" t="n">
        <f aca="false">IF(الإجابات!J21=الإجابات!J$2,1,0)</f>
        <v>1</v>
      </c>
      <c r="K21" s="9" t="n">
        <f aca="false">IF(الإجابات!K21=الإجابات!K$2,1,0)</f>
        <v>0</v>
      </c>
      <c r="L21" s="9" t="n">
        <f aca="false">IF(الإجابات!L21=الإجابات!L$2,1,0)</f>
        <v>0</v>
      </c>
      <c r="M21" s="9" t="n">
        <f aca="false">IF(الإجابات!M21=الإجابات!M$2,1,0)</f>
        <v>1</v>
      </c>
      <c r="N21" s="9" t="n">
        <f aca="false">IF(الإجابات!N21=الإجابات!N$2,1,0)</f>
        <v>0</v>
      </c>
      <c r="O21" s="9" t="n">
        <f aca="false">IF(الإجابات!O21=الإجابات!O$2,1,0)</f>
        <v>0</v>
      </c>
      <c r="P21" s="9" t="n">
        <f aca="false">IF(الإجابات!P21=الإجابات!P$2,1,0)</f>
        <v>0</v>
      </c>
      <c r="Q21" s="9" t="n">
        <f aca="false">IF(الإجابات!Q21=الإجابات!Q$2,1,0)</f>
        <v>1</v>
      </c>
      <c r="R21" s="9" t="n">
        <f aca="false">IF(الإجابات!R21=الإجابات!R$2,1,0)</f>
        <v>1</v>
      </c>
      <c r="S21" s="9" t="n">
        <f aca="false">IF(الإجابات!S21=الإجابات!S$2,1,0)</f>
        <v>1</v>
      </c>
      <c r="T21" s="9" t="n">
        <f aca="false">IF(الإجابات!T21=الإجابات!T$2,1,0)</f>
        <v>1</v>
      </c>
      <c r="U21" s="9" t="n">
        <f aca="false">IF(الإجابات!U21=الإجابات!U$2,1,0)</f>
        <v>0</v>
      </c>
      <c r="V21" s="9" t="n">
        <f aca="false">IF(الإجابات!V21=الإجابات!V$2,1,0)</f>
        <v>1</v>
      </c>
      <c r="W21" s="9" t="n">
        <f aca="false">IF(الإجابات!W21=الإجابات!W$2,1,0)</f>
        <v>0</v>
      </c>
      <c r="X21" s="9" t="n">
        <f aca="false">IF(الإجابات!X21=الإجابات!X$2,1,0)</f>
        <v>0</v>
      </c>
      <c r="Y21" s="9" t="n">
        <f aca="false">IF(الإجابات!Y21=الإجابات!Y$2,1,0)</f>
        <v>0</v>
      </c>
      <c r="Z21" s="9" t="n">
        <f aca="false">IF(الإجابات!Z21=الإجابات!Z$2,1,0)</f>
        <v>1</v>
      </c>
      <c r="AA21" s="9" t="n">
        <f aca="false">IF(الإجابات!AA21=الإجابات!AA$2,1,0)</f>
        <v>0</v>
      </c>
      <c r="AB21" s="9" t="n">
        <f aca="false">IF(الإجابات!AB21=الإجابات!AB$2,1,0)</f>
        <v>0</v>
      </c>
      <c r="AC21" s="9" t="n">
        <f aca="false">IF(الإجابات!AC21=الإجابات!AC$2,1,0)</f>
        <v>0</v>
      </c>
      <c r="AD21" s="9" t="n">
        <f aca="false">IF(الإجابات!AD21=الإجابات!AD$2,1,0)</f>
        <v>0</v>
      </c>
      <c r="AE21" s="9" t="n">
        <f aca="false">IF(الإجابات!AE21=الإجابات!AE$2,1,0)</f>
        <v>0</v>
      </c>
      <c r="AF21" s="9" t="n">
        <f aca="false">SUM(B21:AE21)</f>
        <v>11</v>
      </c>
    </row>
    <row r="22" customFormat="false" ht="15" hidden="false" customHeight="false" outlineLevel="0" collapsed="false">
      <c r="A22" s="0" t="str">
        <f aca="false">الإجابات!A22</f>
        <v>S020</v>
      </c>
      <c r="B22" s="9" t="n">
        <f aca="false">IF(الإجابات!B22=الإجابات!B$2,1,0)</f>
        <v>1</v>
      </c>
      <c r="C22" s="9" t="n">
        <f aca="false">IF(الإجابات!C22=الإجابات!C$2,1,0)</f>
        <v>1</v>
      </c>
      <c r="D22" s="9" t="n">
        <f aca="false">IF(الإجابات!D22=الإجابات!D$2,1,0)</f>
        <v>1</v>
      </c>
      <c r="E22" s="9" t="n">
        <f aca="false">IF(الإجابات!E22=الإجابات!E$2,1,0)</f>
        <v>0</v>
      </c>
      <c r="F22" s="9" t="n">
        <f aca="false">IF(الإجابات!F22=الإجابات!F$2,1,0)</f>
        <v>0</v>
      </c>
      <c r="G22" s="9" t="n">
        <f aca="false">IF(الإجابات!G22=الإجابات!G$2,1,0)</f>
        <v>0</v>
      </c>
      <c r="H22" s="9" t="n">
        <f aca="false">IF(الإجابات!H22=الإجابات!H$2,1,0)</f>
        <v>1</v>
      </c>
      <c r="I22" s="9" t="n">
        <f aca="false">IF(الإجابات!I22=الإجابات!I$2,1,0)</f>
        <v>0</v>
      </c>
      <c r="J22" s="9" t="n">
        <f aca="false">IF(الإجابات!J22=الإجابات!J$2,1,0)</f>
        <v>1</v>
      </c>
      <c r="K22" s="9" t="n">
        <f aca="false">IF(الإجابات!K22=الإجابات!K$2,1,0)</f>
        <v>0</v>
      </c>
      <c r="L22" s="9" t="n">
        <f aca="false">IF(الإجابات!L22=الإجابات!L$2,1,0)</f>
        <v>0</v>
      </c>
      <c r="M22" s="9" t="n">
        <f aca="false">IF(الإجابات!M22=الإجابات!M$2,1,0)</f>
        <v>1</v>
      </c>
      <c r="N22" s="9" t="n">
        <f aca="false">IF(الإجابات!N22=الإجابات!N$2,1,0)</f>
        <v>0</v>
      </c>
      <c r="O22" s="9" t="n">
        <f aca="false">IF(الإجابات!O22=الإجابات!O$2,1,0)</f>
        <v>0</v>
      </c>
      <c r="P22" s="9" t="n">
        <f aca="false">IF(الإجابات!P22=الإجابات!P$2,1,0)</f>
        <v>1</v>
      </c>
      <c r="Q22" s="9" t="n">
        <f aca="false">IF(الإجابات!Q22=الإجابات!Q$2,1,0)</f>
        <v>1</v>
      </c>
      <c r="R22" s="9" t="n">
        <f aca="false">IF(الإجابات!R22=الإجابات!R$2,1,0)</f>
        <v>1</v>
      </c>
      <c r="S22" s="9" t="n">
        <f aca="false">IF(الإجابات!S22=الإجابات!S$2,1,0)</f>
        <v>0</v>
      </c>
      <c r="T22" s="9" t="n">
        <f aca="false">IF(الإجابات!T22=الإجابات!T$2,1,0)</f>
        <v>1</v>
      </c>
      <c r="U22" s="9" t="n">
        <f aca="false">IF(الإجابات!U22=الإجابات!U$2,1,0)</f>
        <v>1</v>
      </c>
      <c r="V22" s="9" t="n">
        <f aca="false">IF(الإجابات!V22=الإجابات!V$2,1,0)</f>
        <v>0</v>
      </c>
      <c r="W22" s="9" t="n">
        <f aca="false">IF(الإجابات!W22=الإجابات!W$2,1,0)</f>
        <v>0</v>
      </c>
      <c r="X22" s="9" t="n">
        <f aca="false">IF(الإجابات!X22=الإجابات!X$2,1,0)</f>
        <v>0</v>
      </c>
      <c r="Y22" s="9" t="n">
        <f aca="false">IF(الإجابات!Y22=الإجابات!Y$2,1,0)</f>
        <v>0</v>
      </c>
      <c r="Z22" s="9" t="n">
        <f aca="false">IF(الإجابات!Z22=الإجابات!Z$2,1,0)</f>
        <v>0</v>
      </c>
      <c r="AA22" s="9" t="n">
        <f aca="false">IF(الإجابات!AA22=الإجابات!AA$2,1,0)</f>
        <v>0</v>
      </c>
      <c r="AB22" s="9" t="n">
        <f aca="false">IF(الإجابات!AB22=الإجابات!AB$2,1,0)</f>
        <v>0</v>
      </c>
      <c r="AC22" s="9" t="n">
        <f aca="false">IF(الإجابات!AC22=الإجابات!AC$2,1,0)</f>
        <v>0</v>
      </c>
      <c r="AD22" s="9" t="n">
        <f aca="false">IF(الإجابات!AD22=الإجابات!AD$2,1,0)</f>
        <v>0</v>
      </c>
      <c r="AE22" s="9" t="n">
        <f aca="false">IF(الإجابات!AE22=الإجابات!AE$2,1,0)</f>
        <v>0</v>
      </c>
      <c r="AF22" s="9" t="n">
        <f aca="false">SUM(B22:AE22)</f>
        <v>11</v>
      </c>
    </row>
    <row r="23" customFormat="false" ht="15" hidden="false" customHeight="false" outlineLevel="0" collapsed="false">
      <c r="A23" s="0" t="str">
        <f aca="false">الإجابات!A23</f>
        <v>S021</v>
      </c>
      <c r="B23" s="9" t="n">
        <f aca="false">IF(الإجابات!B23=الإجابات!B$2,1,0)</f>
        <v>0</v>
      </c>
      <c r="C23" s="9" t="n">
        <f aca="false">IF(الإجابات!C23=الإجابات!C$2,1,0)</f>
        <v>1</v>
      </c>
      <c r="D23" s="9" t="n">
        <f aca="false">IF(الإجابات!D23=الإجابات!D$2,1,0)</f>
        <v>0</v>
      </c>
      <c r="E23" s="9" t="n">
        <f aca="false">IF(الإجابات!E23=الإجابات!E$2,1,0)</f>
        <v>0</v>
      </c>
      <c r="F23" s="9" t="n">
        <f aca="false">IF(الإجابات!F23=الإجابات!F$2,1,0)</f>
        <v>1</v>
      </c>
      <c r="G23" s="9" t="n">
        <f aca="false">IF(الإجابات!G23=الإجابات!G$2,1,0)</f>
        <v>0</v>
      </c>
      <c r="H23" s="9" t="n">
        <f aca="false">IF(الإجابات!H23=الإجابات!H$2,1,0)</f>
        <v>1</v>
      </c>
      <c r="I23" s="9" t="n">
        <f aca="false">IF(الإجابات!I23=الإجابات!I$2,1,0)</f>
        <v>1</v>
      </c>
      <c r="J23" s="9" t="n">
        <f aca="false">IF(الإجابات!J23=الإجابات!J$2,1,0)</f>
        <v>1</v>
      </c>
      <c r="K23" s="9" t="n">
        <f aca="false">IF(الإجابات!K23=الإجابات!K$2,1,0)</f>
        <v>0</v>
      </c>
      <c r="L23" s="9" t="n">
        <f aca="false">IF(الإجابات!L23=الإجابات!L$2,1,0)</f>
        <v>0</v>
      </c>
      <c r="M23" s="9" t="n">
        <f aca="false">IF(الإجابات!M23=الإجابات!M$2,1,0)</f>
        <v>1</v>
      </c>
      <c r="N23" s="9" t="n">
        <f aca="false">IF(الإجابات!N23=الإجابات!N$2,1,0)</f>
        <v>1</v>
      </c>
      <c r="O23" s="9" t="n">
        <f aca="false">IF(الإجابات!O23=الإجابات!O$2,1,0)</f>
        <v>0</v>
      </c>
      <c r="P23" s="9" t="n">
        <f aca="false">IF(الإجابات!P23=الإجابات!P$2,1,0)</f>
        <v>0</v>
      </c>
      <c r="Q23" s="9" t="n">
        <f aca="false">IF(الإجابات!Q23=الإجابات!Q$2,1,0)</f>
        <v>0</v>
      </c>
      <c r="R23" s="9" t="n">
        <f aca="false">IF(الإجابات!R23=الإجابات!R$2,1,0)</f>
        <v>1</v>
      </c>
      <c r="S23" s="9" t="n">
        <f aca="false">IF(الإجابات!S23=الإجابات!S$2,1,0)</f>
        <v>0</v>
      </c>
      <c r="T23" s="9" t="n">
        <f aca="false">IF(الإجابات!T23=الإجابات!T$2,1,0)</f>
        <v>0</v>
      </c>
      <c r="U23" s="9" t="n">
        <f aca="false">IF(الإجابات!U23=الإجابات!U$2,1,0)</f>
        <v>0</v>
      </c>
      <c r="V23" s="9" t="n">
        <f aca="false">IF(الإجابات!V23=الإجابات!V$2,1,0)</f>
        <v>1</v>
      </c>
      <c r="W23" s="9" t="n">
        <f aca="false">IF(الإجابات!W23=الإجابات!W$2,1,0)</f>
        <v>0</v>
      </c>
      <c r="X23" s="9" t="n">
        <f aca="false">IF(الإجابات!X23=الإجابات!X$2,1,0)</f>
        <v>0</v>
      </c>
      <c r="Y23" s="9" t="n">
        <f aca="false">IF(الإجابات!Y23=الإجابات!Y$2,1,0)</f>
        <v>0</v>
      </c>
      <c r="Z23" s="9" t="n">
        <f aca="false">IF(الإجابات!Z23=الإجابات!Z$2,1,0)</f>
        <v>0</v>
      </c>
      <c r="AA23" s="9" t="n">
        <f aca="false">IF(الإجابات!AA23=الإجابات!AA$2,1,0)</f>
        <v>0</v>
      </c>
      <c r="AB23" s="9" t="n">
        <f aca="false">IF(الإجابات!AB23=الإجابات!AB$2,1,0)</f>
        <v>0</v>
      </c>
      <c r="AC23" s="9" t="n">
        <f aca="false">IF(الإجابات!AC23=الإجابات!AC$2,1,0)</f>
        <v>0</v>
      </c>
      <c r="AD23" s="9" t="n">
        <f aca="false">IF(الإجابات!AD23=الإجابات!AD$2,1,0)</f>
        <v>0</v>
      </c>
      <c r="AE23" s="9" t="n">
        <f aca="false">IF(الإجابات!AE23=الإجابات!AE$2,1,0)</f>
        <v>0</v>
      </c>
      <c r="AF23" s="9" t="n">
        <f aca="false">SUM(B23:AE23)</f>
        <v>9</v>
      </c>
    </row>
    <row r="24" customFormat="false" ht="15" hidden="false" customHeight="false" outlineLevel="0" collapsed="false">
      <c r="A24" s="0" t="str">
        <f aca="false">الإجابات!A24</f>
        <v>S022</v>
      </c>
      <c r="B24" s="9" t="n">
        <f aca="false">IF(الإجابات!B24=الإجابات!B$2,1,0)</f>
        <v>0</v>
      </c>
      <c r="C24" s="9" t="n">
        <f aca="false">IF(الإجابات!C24=الإجابات!C$2,1,0)</f>
        <v>0</v>
      </c>
      <c r="D24" s="9" t="n">
        <f aca="false">IF(الإجابات!D24=الإجابات!D$2,1,0)</f>
        <v>0</v>
      </c>
      <c r="E24" s="9" t="n">
        <f aca="false">IF(الإجابات!E24=الإجابات!E$2,1,0)</f>
        <v>1</v>
      </c>
      <c r="F24" s="9" t="n">
        <f aca="false">IF(الإجابات!F24=الإجابات!F$2,1,0)</f>
        <v>1</v>
      </c>
      <c r="G24" s="9" t="n">
        <f aca="false">IF(الإجابات!G24=الإجابات!G$2,1,0)</f>
        <v>0</v>
      </c>
      <c r="H24" s="9" t="n">
        <f aca="false">IF(الإجابات!H24=الإجابات!H$2,1,0)</f>
        <v>0</v>
      </c>
      <c r="I24" s="9" t="n">
        <f aca="false">IF(الإجابات!I24=الإجابات!I$2,1,0)</f>
        <v>1</v>
      </c>
      <c r="J24" s="9" t="n">
        <f aca="false">IF(الإجابات!J24=الإجابات!J$2,1,0)</f>
        <v>1</v>
      </c>
      <c r="K24" s="9" t="n">
        <f aca="false">IF(الإجابات!K24=الإجابات!K$2,1,0)</f>
        <v>1</v>
      </c>
      <c r="L24" s="9" t="n">
        <f aca="false">IF(الإجابات!L24=الإجابات!L$2,1,0)</f>
        <v>1</v>
      </c>
      <c r="M24" s="9" t="n">
        <f aca="false">IF(الإجابات!M24=الإجابات!M$2,1,0)</f>
        <v>1</v>
      </c>
      <c r="N24" s="9" t="n">
        <f aca="false">IF(الإجابات!N24=الإجابات!N$2,1,0)</f>
        <v>1</v>
      </c>
      <c r="O24" s="9" t="n">
        <f aca="false">IF(الإجابات!O24=الإجابات!O$2,1,0)</f>
        <v>1</v>
      </c>
      <c r="P24" s="9" t="n">
        <f aca="false">IF(الإجابات!P24=الإجابات!P$2,1,0)</f>
        <v>1</v>
      </c>
      <c r="Q24" s="9" t="n">
        <f aca="false">IF(الإجابات!Q24=الإجابات!Q$2,1,0)</f>
        <v>1</v>
      </c>
      <c r="R24" s="9" t="n">
        <f aca="false">IF(الإجابات!R24=الإجابات!R$2,1,0)</f>
        <v>1</v>
      </c>
      <c r="S24" s="9" t="n">
        <f aca="false">IF(الإجابات!S24=الإجابات!S$2,1,0)</f>
        <v>0</v>
      </c>
      <c r="T24" s="9" t="n">
        <f aca="false">IF(الإجابات!T24=الإجابات!T$2,1,0)</f>
        <v>1</v>
      </c>
      <c r="U24" s="9" t="n">
        <f aca="false">IF(الإجابات!U24=الإجابات!U$2,1,0)</f>
        <v>0</v>
      </c>
      <c r="V24" s="9" t="n">
        <f aca="false">IF(الإجابات!V24=الإجابات!V$2,1,0)</f>
        <v>1</v>
      </c>
      <c r="W24" s="9" t="n">
        <f aca="false">IF(الإجابات!W24=الإجابات!W$2,1,0)</f>
        <v>1</v>
      </c>
      <c r="X24" s="9" t="n">
        <f aca="false">IF(الإجابات!X24=الإجابات!X$2,1,0)</f>
        <v>1</v>
      </c>
      <c r="Y24" s="9" t="n">
        <f aca="false">IF(الإجابات!Y24=الإجابات!Y$2,1,0)</f>
        <v>0</v>
      </c>
      <c r="Z24" s="9" t="n">
        <f aca="false">IF(الإجابات!Z24=الإجابات!Z$2,1,0)</f>
        <v>0</v>
      </c>
      <c r="AA24" s="9" t="n">
        <f aca="false">IF(الإجابات!AA24=الإجابات!AA$2,1,0)</f>
        <v>1</v>
      </c>
      <c r="AB24" s="9" t="n">
        <f aca="false">IF(الإجابات!AB24=الإجابات!AB$2,1,0)</f>
        <v>0</v>
      </c>
      <c r="AC24" s="9" t="n">
        <f aca="false">IF(الإجابات!AC24=الإجابات!AC$2,1,0)</f>
        <v>1</v>
      </c>
      <c r="AD24" s="9" t="n">
        <f aca="false">IF(الإجابات!AD24=الإجابات!AD$2,1,0)</f>
        <v>1</v>
      </c>
      <c r="AE24" s="9" t="n">
        <f aca="false">IF(الإجابات!AE24=الإجابات!AE$2,1,0)</f>
        <v>1</v>
      </c>
      <c r="AF24" s="9" t="n">
        <f aca="false">SUM(B24:AE24)</f>
        <v>20</v>
      </c>
    </row>
    <row r="25" customFormat="false" ht="15" hidden="false" customHeight="false" outlineLevel="0" collapsed="false">
      <c r="A25" s="0" t="str">
        <f aca="false">الإجابات!A25</f>
        <v>S023</v>
      </c>
      <c r="B25" s="9" t="n">
        <f aca="false">IF(الإجابات!B25=الإجابات!B$2,1,0)</f>
        <v>0</v>
      </c>
      <c r="C25" s="9" t="n">
        <f aca="false">IF(الإجابات!C25=الإجابات!C$2,1,0)</f>
        <v>0</v>
      </c>
      <c r="D25" s="9" t="n">
        <f aca="false">IF(الإجابات!D25=الإجابات!D$2,1,0)</f>
        <v>0</v>
      </c>
      <c r="E25" s="9" t="n">
        <f aca="false">IF(الإجابات!E25=الإجابات!E$2,1,0)</f>
        <v>1</v>
      </c>
      <c r="F25" s="9" t="n">
        <f aca="false">IF(الإجابات!F25=الإجابات!F$2,1,0)</f>
        <v>0</v>
      </c>
      <c r="G25" s="9" t="n">
        <f aca="false">IF(الإجابات!G25=الإجابات!G$2,1,0)</f>
        <v>1</v>
      </c>
      <c r="H25" s="9" t="n">
        <f aca="false">IF(الإجابات!H25=الإجابات!H$2,1,0)</f>
        <v>0</v>
      </c>
      <c r="I25" s="9" t="n">
        <f aca="false">IF(الإجابات!I25=الإجابات!I$2,1,0)</f>
        <v>0</v>
      </c>
      <c r="J25" s="9" t="n">
        <f aca="false">IF(الإجابات!J25=الإجابات!J$2,1,0)</f>
        <v>1</v>
      </c>
      <c r="K25" s="9" t="n">
        <f aca="false">IF(الإجابات!K25=الإجابات!K$2,1,0)</f>
        <v>0</v>
      </c>
      <c r="L25" s="9" t="n">
        <f aca="false">IF(الإجابات!L25=الإجابات!L$2,1,0)</f>
        <v>1</v>
      </c>
      <c r="M25" s="9" t="n">
        <f aca="false">IF(الإجابات!M25=الإجابات!M$2,1,0)</f>
        <v>1</v>
      </c>
      <c r="N25" s="9" t="n">
        <f aca="false">IF(الإجابات!N25=الإجابات!N$2,1,0)</f>
        <v>0</v>
      </c>
      <c r="O25" s="9" t="n">
        <f aca="false">IF(الإجابات!O25=الإجابات!O$2,1,0)</f>
        <v>0</v>
      </c>
      <c r="P25" s="9" t="n">
        <f aca="false">IF(الإجابات!P25=الإجابات!P$2,1,0)</f>
        <v>0</v>
      </c>
      <c r="Q25" s="9" t="n">
        <f aca="false">IF(الإجابات!Q25=الإجابات!Q$2,1,0)</f>
        <v>1</v>
      </c>
      <c r="R25" s="9" t="n">
        <f aca="false">IF(الإجابات!R25=الإجابات!R$2,1,0)</f>
        <v>1</v>
      </c>
      <c r="S25" s="9" t="n">
        <f aca="false">IF(الإجابات!S25=الإجابات!S$2,1,0)</f>
        <v>0</v>
      </c>
      <c r="T25" s="9" t="n">
        <f aca="false">IF(الإجابات!T25=الإجابات!T$2,1,0)</f>
        <v>1</v>
      </c>
      <c r="U25" s="9" t="n">
        <f aca="false">IF(الإجابات!U25=الإجابات!U$2,1,0)</f>
        <v>0</v>
      </c>
      <c r="V25" s="9" t="n">
        <f aca="false">IF(الإجابات!V25=الإجابات!V$2,1,0)</f>
        <v>0</v>
      </c>
      <c r="W25" s="9" t="n">
        <f aca="false">IF(الإجابات!W25=الإجابات!W$2,1,0)</f>
        <v>0</v>
      </c>
      <c r="X25" s="9" t="n">
        <f aca="false">IF(الإجابات!X25=الإجابات!X$2,1,0)</f>
        <v>1</v>
      </c>
      <c r="Y25" s="9" t="n">
        <f aca="false">IF(الإجابات!Y25=الإجابات!Y$2,1,0)</f>
        <v>0</v>
      </c>
      <c r="Z25" s="9" t="n">
        <f aca="false">IF(الإجابات!Z25=الإجابات!Z$2,1,0)</f>
        <v>0</v>
      </c>
      <c r="AA25" s="9" t="n">
        <f aca="false">IF(الإجابات!AA25=الإجابات!AA$2,1,0)</f>
        <v>1</v>
      </c>
      <c r="AB25" s="9" t="n">
        <f aca="false">IF(الإجابات!AB25=الإجابات!AB$2,1,0)</f>
        <v>1</v>
      </c>
      <c r="AC25" s="9" t="n">
        <f aca="false">IF(الإجابات!AC25=الإجابات!AC$2,1,0)</f>
        <v>0</v>
      </c>
      <c r="AD25" s="9" t="n">
        <f aca="false">IF(الإجابات!AD25=الإجابات!AD$2,1,0)</f>
        <v>1</v>
      </c>
      <c r="AE25" s="9" t="n">
        <f aca="false">IF(الإجابات!AE25=الإجابات!AE$2,1,0)</f>
        <v>1</v>
      </c>
      <c r="AF25" s="9" t="n">
        <f aca="false">SUM(B25:AE25)</f>
        <v>13</v>
      </c>
    </row>
    <row r="26" customFormat="false" ht="15" hidden="false" customHeight="false" outlineLevel="0" collapsed="false">
      <c r="A26" s="0" t="str">
        <f aca="false">الإجابات!A26</f>
        <v>S024</v>
      </c>
      <c r="B26" s="9" t="n">
        <f aca="false">IF(الإجابات!B26=الإجابات!B$2,1,0)</f>
        <v>0</v>
      </c>
      <c r="C26" s="9" t="n">
        <f aca="false">IF(الإجابات!C26=الإجابات!C$2,1,0)</f>
        <v>0</v>
      </c>
      <c r="D26" s="9" t="n">
        <f aca="false">IF(الإجابات!D26=الإجابات!D$2,1,0)</f>
        <v>1</v>
      </c>
      <c r="E26" s="9" t="n">
        <f aca="false">IF(الإجابات!E26=الإجابات!E$2,1,0)</f>
        <v>1</v>
      </c>
      <c r="F26" s="9" t="n">
        <f aca="false">IF(الإجابات!F26=الإجابات!F$2,1,0)</f>
        <v>0</v>
      </c>
      <c r="G26" s="9" t="n">
        <f aca="false">IF(الإجابات!G26=الإجابات!G$2,1,0)</f>
        <v>0</v>
      </c>
      <c r="H26" s="9" t="n">
        <f aca="false">IF(الإجابات!H26=الإجابات!H$2,1,0)</f>
        <v>0</v>
      </c>
      <c r="I26" s="9" t="n">
        <f aca="false">IF(الإجابات!I26=الإجابات!I$2,1,0)</f>
        <v>0</v>
      </c>
      <c r="J26" s="9" t="n">
        <f aca="false">IF(الإجابات!J26=الإجابات!J$2,1,0)</f>
        <v>0</v>
      </c>
      <c r="K26" s="9" t="n">
        <f aca="false">IF(الإجابات!K26=الإجابات!K$2,1,0)</f>
        <v>0</v>
      </c>
      <c r="L26" s="9" t="n">
        <f aca="false">IF(الإجابات!L26=الإجابات!L$2,1,0)</f>
        <v>0</v>
      </c>
      <c r="M26" s="9" t="n">
        <f aca="false">IF(الإجابات!M26=الإجابات!M$2,1,0)</f>
        <v>1</v>
      </c>
      <c r="N26" s="9" t="n">
        <f aca="false">IF(الإجابات!N26=الإجابات!N$2,1,0)</f>
        <v>0</v>
      </c>
      <c r="O26" s="9" t="n">
        <f aca="false">IF(الإجابات!O26=الإجابات!O$2,1,0)</f>
        <v>1</v>
      </c>
      <c r="P26" s="9" t="n">
        <f aca="false">IF(الإجابات!P26=الإجابات!P$2,1,0)</f>
        <v>1</v>
      </c>
      <c r="Q26" s="9" t="n">
        <f aca="false">IF(الإجابات!Q26=الإجابات!Q$2,1,0)</f>
        <v>0</v>
      </c>
      <c r="R26" s="9" t="n">
        <f aca="false">IF(الإجابات!R26=الإجابات!R$2,1,0)</f>
        <v>1</v>
      </c>
      <c r="S26" s="9" t="n">
        <f aca="false">IF(الإجابات!S26=الإجابات!S$2,1,0)</f>
        <v>0</v>
      </c>
      <c r="T26" s="9" t="n">
        <f aca="false">IF(الإجابات!T26=الإجابات!T$2,1,0)</f>
        <v>1</v>
      </c>
      <c r="U26" s="9" t="n">
        <f aca="false">IF(الإجابات!U26=الإجابات!U$2,1,0)</f>
        <v>1</v>
      </c>
      <c r="V26" s="9" t="n">
        <f aca="false">IF(الإجابات!V26=الإجابات!V$2,1,0)</f>
        <v>0</v>
      </c>
      <c r="W26" s="9" t="n">
        <f aca="false">IF(الإجابات!W26=الإجابات!W$2,1,0)</f>
        <v>0</v>
      </c>
      <c r="X26" s="9" t="n">
        <f aca="false">IF(الإجابات!X26=الإجابات!X$2,1,0)</f>
        <v>1</v>
      </c>
      <c r="Y26" s="9" t="n">
        <f aca="false">IF(الإجابات!Y26=الإجابات!Y$2,1,0)</f>
        <v>1</v>
      </c>
      <c r="Z26" s="9" t="n">
        <f aca="false">IF(الإجابات!Z26=الإجابات!Z$2,1,0)</f>
        <v>1</v>
      </c>
      <c r="AA26" s="9" t="n">
        <f aca="false">IF(الإجابات!AA26=الإجابات!AA$2,1,0)</f>
        <v>1</v>
      </c>
      <c r="AB26" s="9" t="n">
        <f aca="false">IF(الإجابات!AB26=الإجابات!AB$2,1,0)</f>
        <v>0</v>
      </c>
      <c r="AC26" s="9" t="n">
        <f aca="false">IF(الإجابات!AC26=الإجابات!AC$2,1,0)</f>
        <v>0</v>
      </c>
      <c r="AD26" s="9" t="n">
        <f aca="false">IF(الإجابات!AD26=الإجابات!AD$2,1,0)</f>
        <v>0</v>
      </c>
      <c r="AE26" s="9" t="n">
        <f aca="false">IF(الإجابات!AE26=الإجابات!AE$2,1,0)</f>
        <v>1</v>
      </c>
      <c r="AF26" s="9" t="n">
        <f aca="false">SUM(B26:AE26)</f>
        <v>13</v>
      </c>
    </row>
    <row r="27" customFormat="false" ht="15" hidden="false" customHeight="false" outlineLevel="0" collapsed="false">
      <c r="A27" s="0" t="str">
        <f aca="false">الإجابات!A27</f>
        <v>S025</v>
      </c>
      <c r="B27" s="9" t="n">
        <f aca="false">IF(الإجابات!B27=الإجابات!B$2,1,0)</f>
        <v>1</v>
      </c>
      <c r="C27" s="9" t="n">
        <f aca="false">IF(الإجابات!C27=الإجابات!C$2,1,0)</f>
        <v>1</v>
      </c>
      <c r="D27" s="9" t="n">
        <f aca="false">IF(الإجابات!D27=الإجابات!D$2,1,0)</f>
        <v>1</v>
      </c>
      <c r="E27" s="9" t="n">
        <f aca="false">IF(الإجابات!E27=الإجابات!E$2,1,0)</f>
        <v>1</v>
      </c>
      <c r="F27" s="9" t="n">
        <f aca="false">IF(الإجابات!F27=الإجابات!F$2,1,0)</f>
        <v>0</v>
      </c>
      <c r="G27" s="9" t="n">
        <f aca="false">IF(الإجابات!G27=الإجابات!G$2,1,0)</f>
        <v>0</v>
      </c>
      <c r="H27" s="9" t="n">
        <f aca="false">IF(الإجابات!H27=الإجابات!H$2,1,0)</f>
        <v>0</v>
      </c>
      <c r="I27" s="9" t="n">
        <f aca="false">IF(الإجابات!I27=الإجابات!I$2,1,0)</f>
        <v>1</v>
      </c>
      <c r="J27" s="9" t="n">
        <f aca="false">IF(الإجابات!J27=الإجابات!J$2,1,0)</f>
        <v>1</v>
      </c>
      <c r="K27" s="9" t="n">
        <f aca="false">IF(الإجابات!K27=الإجابات!K$2,1,0)</f>
        <v>1</v>
      </c>
      <c r="L27" s="9" t="n">
        <f aca="false">IF(الإجابات!L27=الإجابات!L$2,1,0)</f>
        <v>1</v>
      </c>
      <c r="M27" s="9" t="n">
        <f aca="false">IF(الإجابات!M27=الإجابات!M$2,1,0)</f>
        <v>1</v>
      </c>
      <c r="N27" s="9" t="n">
        <f aca="false">IF(الإجابات!N27=الإجابات!N$2,1,0)</f>
        <v>1</v>
      </c>
      <c r="O27" s="9" t="n">
        <f aca="false">IF(الإجابات!O27=الإجابات!O$2,1,0)</f>
        <v>1</v>
      </c>
      <c r="P27" s="9" t="n">
        <f aca="false">IF(الإجابات!P27=الإجابات!P$2,1,0)</f>
        <v>0</v>
      </c>
      <c r="Q27" s="9" t="n">
        <f aca="false">IF(الإجابات!Q27=الإجابات!Q$2,1,0)</f>
        <v>1</v>
      </c>
      <c r="R27" s="9" t="n">
        <f aca="false">IF(الإجابات!R27=الإجابات!R$2,1,0)</f>
        <v>1</v>
      </c>
      <c r="S27" s="9" t="n">
        <f aca="false">IF(الإجابات!S27=الإجابات!S$2,1,0)</f>
        <v>0</v>
      </c>
      <c r="T27" s="9" t="n">
        <f aca="false">IF(الإجابات!T27=الإجابات!T$2,1,0)</f>
        <v>1</v>
      </c>
      <c r="U27" s="9" t="n">
        <f aca="false">IF(الإجابات!U27=الإجابات!U$2,1,0)</f>
        <v>1</v>
      </c>
      <c r="V27" s="9" t="n">
        <f aca="false">IF(الإجابات!V27=الإجابات!V$2,1,0)</f>
        <v>1</v>
      </c>
      <c r="W27" s="9" t="n">
        <f aca="false">IF(الإجابات!W27=الإجابات!W$2,1,0)</f>
        <v>1</v>
      </c>
      <c r="X27" s="9" t="n">
        <f aca="false">IF(الإجابات!X27=الإجابات!X$2,1,0)</f>
        <v>1</v>
      </c>
      <c r="Y27" s="9" t="n">
        <f aca="false">IF(الإجابات!Y27=الإجابات!Y$2,1,0)</f>
        <v>1</v>
      </c>
      <c r="Z27" s="9" t="n">
        <f aca="false">IF(الإجابات!Z27=الإجابات!Z$2,1,0)</f>
        <v>1</v>
      </c>
      <c r="AA27" s="9" t="n">
        <f aca="false">IF(الإجابات!AA27=الإجابات!AA$2,1,0)</f>
        <v>1</v>
      </c>
      <c r="AB27" s="9" t="n">
        <f aca="false">IF(الإجابات!AB27=الإجابات!AB$2,1,0)</f>
        <v>0</v>
      </c>
      <c r="AC27" s="9" t="n">
        <f aca="false">IF(الإجابات!AC27=الإجابات!AC$2,1,0)</f>
        <v>0</v>
      </c>
      <c r="AD27" s="9" t="n">
        <f aca="false">IF(الإجابات!AD27=الإجابات!AD$2,1,0)</f>
        <v>1</v>
      </c>
      <c r="AE27" s="9" t="n">
        <f aca="false">IF(الإجابات!AE27=الإجابات!AE$2,1,0)</f>
        <v>1</v>
      </c>
      <c r="AF27" s="9" t="n">
        <f aca="false">SUM(B27:AE27)</f>
        <v>23</v>
      </c>
    </row>
    <row r="28" customFormat="false" ht="15" hidden="false" customHeight="false" outlineLevel="0" collapsed="false">
      <c r="A28" s="0" t="str">
        <f aca="false">الإجابات!A28</f>
        <v>S026</v>
      </c>
      <c r="B28" s="9" t="n">
        <f aca="false">IF(الإجابات!B28=الإجابات!B$2,1,0)</f>
        <v>1</v>
      </c>
      <c r="C28" s="9" t="n">
        <f aca="false">IF(الإجابات!C28=الإجابات!C$2,1,0)</f>
        <v>1</v>
      </c>
      <c r="D28" s="9" t="n">
        <f aca="false">IF(الإجابات!D28=الإجابات!D$2,1,0)</f>
        <v>1</v>
      </c>
      <c r="E28" s="9" t="n">
        <f aca="false">IF(الإجابات!E28=الإجابات!E$2,1,0)</f>
        <v>1</v>
      </c>
      <c r="F28" s="9" t="n">
        <f aca="false">IF(الإجابات!F28=الإجابات!F$2,1,0)</f>
        <v>1</v>
      </c>
      <c r="G28" s="9" t="n">
        <f aca="false">IF(الإجابات!G28=الإجابات!G$2,1,0)</f>
        <v>1</v>
      </c>
      <c r="H28" s="9" t="n">
        <f aca="false">IF(الإجابات!H28=الإجابات!H$2,1,0)</f>
        <v>0</v>
      </c>
      <c r="I28" s="9" t="n">
        <f aca="false">IF(الإجابات!I28=الإجابات!I$2,1,0)</f>
        <v>1</v>
      </c>
      <c r="J28" s="9" t="n">
        <f aca="false">IF(الإجابات!J28=الإجابات!J$2,1,0)</f>
        <v>1</v>
      </c>
      <c r="K28" s="9" t="n">
        <f aca="false">IF(الإجابات!K28=الإجابات!K$2,1,0)</f>
        <v>1</v>
      </c>
      <c r="L28" s="9" t="n">
        <f aca="false">IF(الإجابات!L28=الإجابات!L$2,1,0)</f>
        <v>1</v>
      </c>
      <c r="M28" s="9" t="n">
        <f aca="false">IF(الإجابات!M28=الإجابات!M$2,1,0)</f>
        <v>1</v>
      </c>
      <c r="N28" s="9" t="n">
        <f aca="false">IF(الإجابات!N28=الإجابات!N$2,1,0)</f>
        <v>1</v>
      </c>
      <c r="O28" s="9" t="n">
        <f aca="false">IF(الإجابات!O28=الإجابات!O$2,1,0)</f>
        <v>1</v>
      </c>
      <c r="P28" s="9" t="n">
        <f aca="false">IF(الإجابات!P28=الإجابات!P$2,1,0)</f>
        <v>0</v>
      </c>
      <c r="Q28" s="9" t="n">
        <f aca="false">IF(الإجابات!Q28=الإجابات!Q$2,1,0)</f>
        <v>1</v>
      </c>
      <c r="R28" s="9" t="n">
        <f aca="false">IF(الإجابات!R28=الإجابات!R$2,1,0)</f>
        <v>1</v>
      </c>
      <c r="S28" s="9" t="n">
        <f aca="false">IF(الإجابات!S28=الإجابات!S$2,1,0)</f>
        <v>0</v>
      </c>
      <c r="T28" s="9" t="n">
        <f aca="false">IF(الإجابات!T28=الإجابات!T$2,1,0)</f>
        <v>1</v>
      </c>
      <c r="U28" s="9" t="n">
        <f aca="false">IF(الإجابات!U28=الإجابات!U$2,1,0)</f>
        <v>1</v>
      </c>
      <c r="V28" s="9" t="n">
        <f aca="false">IF(الإجابات!V28=الإجابات!V$2,1,0)</f>
        <v>1</v>
      </c>
      <c r="W28" s="9" t="n">
        <f aca="false">IF(الإجابات!W28=الإجابات!W$2,1,0)</f>
        <v>1</v>
      </c>
      <c r="X28" s="9" t="n">
        <f aca="false">IF(الإجابات!X28=الإجابات!X$2,1,0)</f>
        <v>1</v>
      </c>
      <c r="Y28" s="9" t="n">
        <f aca="false">IF(الإجابات!Y28=الإجابات!Y$2,1,0)</f>
        <v>1</v>
      </c>
      <c r="Z28" s="9" t="n">
        <f aca="false">IF(الإجابات!Z28=الإجابات!Z$2,1,0)</f>
        <v>1</v>
      </c>
      <c r="AA28" s="9" t="n">
        <f aca="false">IF(الإجابات!AA28=الإجابات!AA$2,1,0)</f>
        <v>1</v>
      </c>
      <c r="AB28" s="9" t="n">
        <f aca="false">IF(الإجابات!AB28=الإجابات!AB$2,1,0)</f>
        <v>1</v>
      </c>
      <c r="AC28" s="9" t="n">
        <f aca="false">IF(الإجابات!AC28=الإجابات!AC$2,1,0)</f>
        <v>1</v>
      </c>
      <c r="AD28" s="9" t="n">
        <f aca="false">IF(الإجابات!AD28=الإجابات!AD$2,1,0)</f>
        <v>1</v>
      </c>
      <c r="AE28" s="9" t="n">
        <f aca="false">IF(الإجابات!AE28=الإجابات!AE$2,1,0)</f>
        <v>1</v>
      </c>
      <c r="AF28" s="9" t="n">
        <f aca="false">SUM(B28:AE28)</f>
        <v>27</v>
      </c>
    </row>
    <row r="29" customFormat="false" ht="15" hidden="false" customHeight="false" outlineLevel="0" collapsed="false">
      <c r="A29" s="0" t="str">
        <f aca="false">الإجابات!A29</f>
        <v>S027</v>
      </c>
      <c r="B29" s="9" t="n">
        <f aca="false">IF(الإجابات!B29=الإجابات!B$2,1,0)</f>
        <v>0</v>
      </c>
      <c r="C29" s="9" t="n">
        <f aca="false">IF(الإجابات!C29=الإجابات!C$2,1,0)</f>
        <v>0</v>
      </c>
      <c r="D29" s="9" t="n">
        <f aca="false">IF(الإجابات!D29=الإجابات!D$2,1,0)</f>
        <v>0</v>
      </c>
      <c r="E29" s="9" t="n">
        <f aca="false">IF(الإجابات!E29=الإجابات!E$2,1,0)</f>
        <v>1</v>
      </c>
      <c r="F29" s="9" t="n">
        <f aca="false">IF(الإجابات!F29=الإجابات!F$2,1,0)</f>
        <v>0</v>
      </c>
      <c r="G29" s="9" t="n">
        <f aca="false">IF(الإجابات!G29=الإجابات!G$2,1,0)</f>
        <v>0</v>
      </c>
      <c r="H29" s="9" t="n">
        <f aca="false">IF(الإجابات!H29=الإجابات!H$2,1,0)</f>
        <v>0</v>
      </c>
      <c r="I29" s="9" t="n">
        <f aca="false">IF(الإجابات!I29=الإجابات!I$2,1,0)</f>
        <v>1</v>
      </c>
      <c r="J29" s="9" t="n">
        <f aca="false">IF(الإجابات!J29=الإجابات!J$2,1,0)</f>
        <v>1</v>
      </c>
      <c r="K29" s="9" t="n">
        <f aca="false">IF(الإجابات!K29=الإجابات!K$2,1,0)</f>
        <v>0</v>
      </c>
      <c r="L29" s="9" t="n">
        <f aca="false">IF(الإجابات!L29=الإجابات!L$2,1,0)</f>
        <v>0</v>
      </c>
      <c r="M29" s="9" t="n">
        <f aca="false">IF(الإجابات!M29=الإجابات!M$2,1,0)</f>
        <v>1</v>
      </c>
      <c r="N29" s="9" t="n">
        <f aca="false">IF(الإجابات!N29=الإجابات!N$2,1,0)</f>
        <v>0</v>
      </c>
      <c r="O29" s="9" t="n">
        <f aca="false">IF(الإجابات!O29=الإجابات!O$2,1,0)</f>
        <v>0</v>
      </c>
      <c r="P29" s="9" t="n">
        <f aca="false">IF(الإجابات!P29=الإجابات!P$2,1,0)</f>
        <v>0</v>
      </c>
      <c r="Q29" s="9" t="n">
        <f aca="false">IF(الإجابات!Q29=الإجابات!Q$2,1,0)</f>
        <v>1</v>
      </c>
      <c r="R29" s="9" t="n">
        <f aca="false">IF(الإجابات!R29=الإجابات!R$2,1,0)</f>
        <v>1</v>
      </c>
      <c r="S29" s="9" t="n">
        <f aca="false">IF(الإجابات!S29=الإجابات!S$2,1,0)</f>
        <v>0</v>
      </c>
      <c r="T29" s="9" t="n">
        <f aca="false">IF(الإجابات!T29=الإجابات!T$2,1,0)</f>
        <v>1</v>
      </c>
      <c r="U29" s="9" t="n">
        <f aca="false">IF(الإجابات!U29=الإجابات!U$2,1,0)</f>
        <v>0</v>
      </c>
      <c r="V29" s="9" t="n">
        <f aca="false">IF(الإجابات!V29=الإجابات!V$2,1,0)</f>
        <v>0</v>
      </c>
      <c r="W29" s="9" t="n">
        <f aca="false">IF(الإجابات!W29=الإجابات!W$2,1,0)</f>
        <v>0</v>
      </c>
      <c r="X29" s="9" t="n">
        <f aca="false">IF(الإجابات!X29=الإجابات!X$2,1,0)</f>
        <v>1</v>
      </c>
      <c r="Y29" s="9" t="n">
        <f aca="false">IF(الإجابات!Y29=الإجابات!Y$2,1,0)</f>
        <v>0</v>
      </c>
      <c r="Z29" s="9" t="n">
        <f aca="false">IF(الإجابات!Z29=الإجابات!Z$2,1,0)</f>
        <v>0</v>
      </c>
      <c r="AA29" s="9" t="n">
        <f aca="false">IF(الإجابات!AA29=الإجابات!AA$2,1,0)</f>
        <v>0</v>
      </c>
      <c r="AB29" s="9" t="n">
        <f aca="false">IF(الإجابات!AB29=الإجابات!AB$2,1,0)</f>
        <v>0</v>
      </c>
      <c r="AC29" s="9" t="n">
        <f aca="false">IF(الإجابات!AC29=الإجابات!AC$2,1,0)</f>
        <v>0</v>
      </c>
      <c r="AD29" s="9" t="n">
        <f aca="false">IF(الإجابات!AD29=الإجابات!AD$2,1,0)</f>
        <v>0</v>
      </c>
      <c r="AE29" s="9" t="n">
        <f aca="false">IF(الإجابات!AE29=الإجابات!AE$2,1,0)</f>
        <v>1</v>
      </c>
      <c r="AF29" s="9" t="n">
        <f aca="false">SUM(B29:AE29)</f>
        <v>9</v>
      </c>
    </row>
    <row r="30" customFormat="false" ht="15" hidden="false" customHeight="false" outlineLevel="0" collapsed="false">
      <c r="A30" s="0" t="str">
        <f aca="false">الإجابات!A30</f>
        <v>S028</v>
      </c>
      <c r="B30" s="9" t="n">
        <f aca="false">IF(الإجابات!B30=الإجابات!B$2,1,0)</f>
        <v>0</v>
      </c>
      <c r="C30" s="9" t="n">
        <f aca="false">IF(الإجابات!C30=الإجابات!C$2,1,0)</f>
        <v>0</v>
      </c>
      <c r="D30" s="9" t="n">
        <f aca="false">IF(الإجابات!D30=الإجابات!D$2,1,0)</f>
        <v>1</v>
      </c>
      <c r="E30" s="9" t="n">
        <f aca="false">IF(الإجابات!E30=الإجابات!E$2,1,0)</f>
        <v>1</v>
      </c>
      <c r="F30" s="9" t="n">
        <f aca="false">IF(الإجابات!F30=الإجابات!F$2,1,0)</f>
        <v>1</v>
      </c>
      <c r="G30" s="9" t="n">
        <f aca="false">IF(الإجابات!G30=الإجابات!G$2,1,0)</f>
        <v>1</v>
      </c>
      <c r="H30" s="9" t="n">
        <f aca="false">IF(الإجابات!H30=الإجابات!H$2,1,0)</f>
        <v>0</v>
      </c>
      <c r="I30" s="9" t="n">
        <f aca="false">IF(الإجابات!I30=الإجابات!I$2,1,0)</f>
        <v>1</v>
      </c>
      <c r="J30" s="9" t="n">
        <f aca="false">IF(الإجابات!J30=الإجابات!J$2,1,0)</f>
        <v>1</v>
      </c>
      <c r="K30" s="9" t="n">
        <f aca="false">IF(الإجابات!K30=الإجابات!K$2,1,0)</f>
        <v>1</v>
      </c>
      <c r="L30" s="9" t="n">
        <f aca="false">IF(الإجابات!L30=الإجابات!L$2,1,0)</f>
        <v>1</v>
      </c>
      <c r="M30" s="9" t="n">
        <f aca="false">IF(الإجابات!M30=الإجابات!M$2,1,0)</f>
        <v>1</v>
      </c>
      <c r="N30" s="9" t="n">
        <f aca="false">IF(الإجابات!N30=الإجابات!N$2,1,0)</f>
        <v>1</v>
      </c>
      <c r="O30" s="9" t="n">
        <f aca="false">IF(الإجابات!O30=الإجابات!O$2,1,0)</f>
        <v>0</v>
      </c>
      <c r="P30" s="9" t="n">
        <f aca="false">IF(الإجابات!P30=الإجابات!P$2,1,0)</f>
        <v>1</v>
      </c>
      <c r="Q30" s="9" t="n">
        <f aca="false">IF(الإجابات!Q30=الإجابات!Q$2,1,0)</f>
        <v>1</v>
      </c>
      <c r="R30" s="9" t="n">
        <f aca="false">IF(الإجابات!R30=الإجابات!R$2,1,0)</f>
        <v>1</v>
      </c>
      <c r="S30" s="9" t="n">
        <f aca="false">IF(الإجابات!S30=الإجابات!S$2,1,0)</f>
        <v>0</v>
      </c>
      <c r="T30" s="9" t="n">
        <f aca="false">IF(الإجابات!T30=الإجابات!T$2,1,0)</f>
        <v>1</v>
      </c>
      <c r="U30" s="9" t="n">
        <f aca="false">IF(الإجابات!U30=الإجابات!U$2,1,0)</f>
        <v>1</v>
      </c>
      <c r="V30" s="9" t="n">
        <f aca="false">IF(الإجابات!V30=الإجابات!V$2,1,0)</f>
        <v>1</v>
      </c>
      <c r="W30" s="9" t="n">
        <f aca="false">IF(الإجابات!W30=الإجابات!W$2,1,0)</f>
        <v>1</v>
      </c>
      <c r="X30" s="9" t="n">
        <f aca="false">IF(الإجابات!X30=الإجابات!X$2,1,0)</f>
        <v>1</v>
      </c>
      <c r="Y30" s="9" t="n">
        <f aca="false">IF(الإجابات!Y30=الإجابات!Y$2,1,0)</f>
        <v>1</v>
      </c>
      <c r="Z30" s="9" t="n">
        <f aca="false">IF(الإجابات!Z30=الإجابات!Z$2,1,0)</f>
        <v>1</v>
      </c>
      <c r="AA30" s="9" t="n">
        <f aca="false">IF(الإجابات!AA30=الإجابات!AA$2,1,0)</f>
        <v>1</v>
      </c>
      <c r="AB30" s="9" t="n">
        <f aca="false">IF(الإجابات!AB30=الإجابات!AB$2,1,0)</f>
        <v>0</v>
      </c>
      <c r="AC30" s="9" t="n">
        <f aca="false">IF(الإجابات!AC30=الإجابات!AC$2,1,0)</f>
        <v>1</v>
      </c>
      <c r="AD30" s="9" t="n">
        <f aca="false">IF(الإجابات!AD30=الإجابات!AD$2,1,0)</f>
        <v>1</v>
      </c>
      <c r="AE30" s="9" t="n">
        <f aca="false">IF(الإجابات!AE30=الإجابات!AE$2,1,0)</f>
        <v>1</v>
      </c>
      <c r="AF30" s="9" t="n">
        <f aca="false">SUM(B30:AE30)</f>
        <v>24</v>
      </c>
    </row>
    <row r="31" customFormat="false" ht="15" hidden="false" customHeight="false" outlineLevel="0" collapsed="false">
      <c r="A31" s="0" t="str">
        <f aca="false">الإجابات!A31</f>
        <v>S029</v>
      </c>
      <c r="B31" s="9" t="n">
        <f aca="false">IF(الإجابات!B31=الإجابات!B$2,1,0)</f>
        <v>0</v>
      </c>
      <c r="C31" s="9" t="n">
        <f aca="false">IF(الإجابات!C31=الإجابات!C$2,1,0)</f>
        <v>0</v>
      </c>
      <c r="D31" s="9" t="n">
        <f aca="false">IF(الإجابات!D31=الإجابات!D$2,1,0)</f>
        <v>0</v>
      </c>
      <c r="E31" s="9" t="n">
        <f aca="false">IF(الإجابات!E31=الإجابات!E$2,1,0)</f>
        <v>0</v>
      </c>
      <c r="F31" s="9" t="n">
        <f aca="false">IF(الإجابات!F31=الإجابات!F$2,1,0)</f>
        <v>0</v>
      </c>
      <c r="G31" s="9" t="n">
        <f aca="false">IF(الإجابات!G31=الإجابات!G$2,1,0)</f>
        <v>1</v>
      </c>
      <c r="H31" s="9" t="n">
        <f aca="false">IF(الإجابات!H31=الإجابات!H$2,1,0)</f>
        <v>0</v>
      </c>
      <c r="I31" s="9" t="n">
        <f aca="false">IF(الإجابات!I31=الإجابات!I$2,1,0)</f>
        <v>0</v>
      </c>
      <c r="J31" s="9" t="n">
        <f aca="false">IF(الإجابات!J31=الإجابات!J$2,1,0)</f>
        <v>0</v>
      </c>
      <c r="K31" s="9" t="n">
        <f aca="false">IF(الإجابات!K31=الإجابات!K$2,1,0)</f>
        <v>0</v>
      </c>
      <c r="L31" s="9" t="n">
        <f aca="false">IF(الإجابات!L31=الإجابات!L$2,1,0)</f>
        <v>0</v>
      </c>
      <c r="M31" s="9" t="n">
        <f aca="false">IF(الإجابات!M31=الإجابات!M$2,1,0)</f>
        <v>1</v>
      </c>
      <c r="N31" s="9" t="n">
        <f aca="false">IF(الإجابات!N31=الإجابات!N$2,1,0)</f>
        <v>0</v>
      </c>
      <c r="O31" s="9" t="n">
        <f aca="false">IF(الإجابات!O31=الإجابات!O$2,1,0)</f>
        <v>1</v>
      </c>
      <c r="P31" s="9" t="n">
        <f aca="false">IF(الإجابات!P31=الإجابات!P$2,1,0)</f>
        <v>0</v>
      </c>
      <c r="Q31" s="9" t="n">
        <f aca="false">IF(الإجابات!Q31=الإجابات!Q$2,1,0)</f>
        <v>0</v>
      </c>
      <c r="R31" s="9" t="n">
        <f aca="false">IF(الإجابات!R31=الإجابات!R$2,1,0)</f>
        <v>0</v>
      </c>
      <c r="S31" s="9" t="n">
        <f aca="false">IF(الإجابات!S31=الإجابات!S$2,1,0)</f>
        <v>0</v>
      </c>
      <c r="T31" s="9" t="n">
        <f aca="false">IF(الإجابات!T31=الإجابات!T$2,1,0)</f>
        <v>0</v>
      </c>
      <c r="U31" s="9" t="n">
        <f aca="false">IF(الإجابات!U31=الإجابات!U$2,1,0)</f>
        <v>0</v>
      </c>
      <c r="V31" s="9" t="n">
        <f aca="false">IF(الإجابات!V31=الإجابات!V$2,1,0)</f>
        <v>0</v>
      </c>
      <c r="W31" s="9" t="n">
        <f aca="false">IF(الإجابات!W31=الإجابات!W$2,1,0)</f>
        <v>0</v>
      </c>
      <c r="X31" s="9" t="n">
        <f aca="false">IF(الإجابات!X31=الإجابات!X$2,1,0)</f>
        <v>0</v>
      </c>
      <c r="Y31" s="9" t="n">
        <f aca="false">IF(الإجابات!Y31=الإجابات!Y$2,1,0)</f>
        <v>0</v>
      </c>
      <c r="Z31" s="9" t="n">
        <f aca="false">IF(الإجابات!Z31=الإجابات!Z$2,1,0)</f>
        <v>0</v>
      </c>
      <c r="AA31" s="9" t="n">
        <f aca="false">IF(الإجابات!AA31=الإجابات!AA$2,1,0)</f>
        <v>0</v>
      </c>
      <c r="AB31" s="9" t="n">
        <f aca="false">IF(الإجابات!AB31=الإجابات!AB$2,1,0)</f>
        <v>0</v>
      </c>
      <c r="AC31" s="9" t="n">
        <f aca="false">IF(الإجابات!AC31=الإجابات!AC$2,1,0)</f>
        <v>0</v>
      </c>
      <c r="AD31" s="9" t="n">
        <f aca="false">IF(الإجابات!AD31=الإجابات!AD$2,1,0)</f>
        <v>1</v>
      </c>
      <c r="AE31" s="9" t="n">
        <f aca="false">IF(الإجابات!AE31=الإجابات!AE$2,1,0)</f>
        <v>0</v>
      </c>
      <c r="AF31" s="9" t="n">
        <f aca="false">SUM(B31:AE31)</f>
        <v>4</v>
      </c>
    </row>
    <row r="32" customFormat="false" ht="15" hidden="false" customHeight="false" outlineLevel="0" collapsed="false">
      <c r="A32" s="0" t="str">
        <f aca="false">الإجابات!A32</f>
        <v>S030</v>
      </c>
      <c r="B32" s="9" t="n">
        <f aca="false">IF(الإجابات!B32=الإجابات!B$2,1,0)</f>
        <v>1</v>
      </c>
      <c r="C32" s="9" t="n">
        <f aca="false">IF(الإجابات!C32=الإجابات!C$2,1,0)</f>
        <v>0</v>
      </c>
      <c r="D32" s="9" t="n">
        <f aca="false">IF(الإجابات!D32=الإجابات!D$2,1,0)</f>
        <v>0</v>
      </c>
      <c r="E32" s="9" t="n">
        <f aca="false">IF(الإجابات!E32=الإجابات!E$2,1,0)</f>
        <v>1</v>
      </c>
      <c r="F32" s="9" t="n">
        <f aca="false">IF(الإجابات!F32=الإجابات!F$2,1,0)</f>
        <v>1</v>
      </c>
      <c r="G32" s="9" t="n">
        <f aca="false">IF(الإجابات!G32=الإجابات!G$2,1,0)</f>
        <v>1</v>
      </c>
      <c r="H32" s="9" t="n">
        <f aca="false">IF(الإجابات!H32=الإجابات!H$2,1,0)</f>
        <v>0</v>
      </c>
      <c r="I32" s="9" t="n">
        <f aca="false">IF(الإجابات!I32=الإجابات!I$2,1,0)</f>
        <v>1</v>
      </c>
      <c r="J32" s="9" t="n">
        <f aca="false">IF(الإجابات!J32=الإجابات!J$2,1,0)</f>
        <v>1</v>
      </c>
      <c r="K32" s="9" t="n">
        <f aca="false">IF(الإجابات!K32=الإجابات!K$2,1,0)</f>
        <v>0</v>
      </c>
      <c r="L32" s="9" t="n">
        <f aca="false">IF(الإجابات!L32=الإجابات!L$2,1,0)</f>
        <v>0</v>
      </c>
      <c r="M32" s="9" t="n">
        <f aca="false">IF(الإجابات!M32=الإجابات!M$2,1,0)</f>
        <v>1</v>
      </c>
      <c r="N32" s="9" t="n">
        <f aca="false">IF(الإجابات!N32=الإجابات!N$2,1,0)</f>
        <v>0</v>
      </c>
      <c r="O32" s="9" t="n">
        <f aca="false">IF(الإجابات!O32=الإجابات!O$2,1,0)</f>
        <v>0</v>
      </c>
      <c r="P32" s="9" t="n">
        <f aca="false">IF(الإجابات!P32=الإجابات!P$2,1,0)</f>
        <v>1</v>
      </c>
      <c r="Q32" s="9" t="n">
        <f aca="false">IF(الإجابات!Q32=الإجابات!Q$2,1,0)</f>
        <v>0</v>
      </c>
      <c r="R32" s="9" t="n">
        <f aca="false">IF(الإجابات!R32=الإجابات!R$2,1,0)</f>
        <v>1</v>
      </c>
      <c r="S32" s="9" t="n">
        <f aca="false">IF(الإجابات!S32=الإجابات!S$2,1,0)</f>
        <v>0</v>
      </c>
      <c r="T32" s="9" t="n">
        <f aca="false">IF(الإجابات!T32=الإجابات!T$2,1,0)</f>
        <v>0</v>
      </c>
      <c r="U32" s="9" t="n">
        <f aca="false">IF(الإجابات!U32=الإجابات!U$2,1,0)</f>
        <v>1</v>
      </c>
      <c r="V32" s="9" t="n">
        <f aca="false">IF(الإجابات!V32=الإجابات!V$2,1,0)</f>
        <v>1</v>
      </c>
      <c r="W32" s="9" t="n">
        <f aca="false">IF(الإجابات!W32=الإجابات!W$2,1,0)</f>
        <v>1</v>
      </c>
      <c r="X32" s="9" t="n">
        <f aca="false">IF(الإجابات!X32=الإجابات!X$2,1,0)</f>
        <v>1</v>
      </c>
      <c r="Y32" s="9" t="n">
        <f aca="false">IF(الإجابات!Y32=الإجابات!Y$2,1,0)</f>
        <v>0</v>
      </c>
      <c r="Z32" s="9" t="n">
        <f aca="false">IF(الإجابات!Z32=الإجابات!Z$2,1,0)</f>
        <v>0</v>
      </c>
      <c r="AA32" s="9" t="n">
        <f aca="false">IF(الإجابات!AA32=الإجابات!AA$2,1,0)</f>
        <v>1</v>
      </c>
      <c r="AB32" s="9" t="n">
        <f aca="false">IF(الإجابات!AB32=الإجابات!AB$2,1,0)</f>
        <v>0</v>
      </c>
      <c r="AC32" s="9" t="n">
        <f aca="false">IF(الإجابات!AC32=الإجابات!AC$2,1,0)</f>
        <v>1</v>
      </c>
      <c r="AD32" s="9" t="n">
        <f aca="false">IF(الإجابات!AD32=الإجابات!AD$2,1,0)</f>
        <v>0</v>
      </c>
      <c r="AE32" s="9" t="n">
        <f aca="false">IF(الإجابات!AE32=الإجابات!AE$2,1,0)</f>
        <v>1</v>
      </c>
      <c r="AF32" s="9" t="n">
        <f aca="false">SUM(B32:AE32)</f>
        <v>16</v>
      </c>
    </row>
    <row r="33" customFormat="false" ht="15" hidden="false" customHeight="false" outlineLevel="0" collapsed="false">
      <c r="A33" s="0" t="str">
        <f aca="false">الإجابات!A33</f>
        <v>S031</v>
      </c>
      <c r="B33" s="9" t="n">
        <f aca="false">IF(الإجابات!B33=الإجابات!B$2,1,0)</f>
        <v>0</v>
      </c>
      <c r="C33" s="9" t="n">
        <f aca="false">IF(الإجابات!C33=الإجابات!C$2,1,0)</f>
        <v>0</v>
      </c>
      <c r="D33" s="9" t="n">
        <f aca="false">IF(الإجابات!D33=الإجابات!D$2,1,0)</f>
        <v>0</v>
      </c>
      <c r="E33" s="9" t="n">
        <f aca="false">IF(الإجابات!E33=الإجابات!E$2,1,0)</f>
        <v>1</v>
      </c>
      <c r="F33" s="9" t="n">
        <f aca="false">IF(الإجابات!F33=الإجابات!F$2,1,0)</f>
        <v>0</v>
      </c>
      <c r="G33" s="9" t="n">
        <f aca="false">IF(الإجابات!G33=الإجابات!G$2,1,0)</f>
        <v>0</v>
      </c>
      <c r="H33" s="9" t="n">
        <f aca="false">IF(الإجابات!H33=الإجابات!H$2,1,0)</f>
        <v>1</v>
      </c>
      <c r="I33" s="9" t="n">
        <f aca="false">IF(الإجابات!I33=الإجابات!I$2,1,0)</f>
        <v>0</v>
      </c>
      <c r="J33" s="9" t="n">
        <f aca="false">IF(الإجابات!J33=الإجابات!J$2,1,0)</f>
        <v>1</v>
      </c>
      <c r="K33" s="9" t="n">
        <f aca="false">IF(الإجابات!K33=الإجابات!K$2,1,0)</f>
        <v>0</v>
      </c>
      <c r="L33" s="9" t="n">
        <f aca="false">IF(الإجابات!L33=الإجابات!L$2,1,0)</f>
        <v>1</v>
      </c>
      <c r="M33" s="9" t="n">
        <f aca="false">IF(الإجابات!M33=الإجابات!M$2,1,0)</f>
        <v>1</v>
      </c>
      <c r="N33" s="9" t="n">
        <f aca="false">IF(الإجابات!N33=الإجابات!N$2,1,0)</f>
        <v>0</v>
      </c>
      <c r="O33" s="9" t="n">
        <f aca="false">IF(الإجابات!O33=الإجابات!O$2,1,0)</f>
        <v>0</v>
      </c>
      <c r="P33" s="9" t="n">
        <f aca="false">IF(الإجابات!P33=الإجابات!P$2,1,0)</f>
        <v>0</v>
      </c>
      <c r="Q33" s="9" t="n">
        <f aca="false">IF(الإجابات!Q33=الإجابات!Q$2,1,0)</f>
        <v>1</v>
      </c>
      <c r="R33" s="9" t="n">
        <f aca="false">IF(الإجابات!R33=الإجابات!R$2,1,0)</f>
        <v>0</v>
      </c>
      <c r="S33" s="9" t="n">
        <f aca="false">IF(الإجابات!S33=الإجابات!S$2,1,0)</f>
        <v>1</v>
      </c>
      <c r="T33" s="9" t="n">
        <f aca="false">IF(الإجابات!T33=الإجابات!T$2,1,0)</f>
        <v>0</v>
      </c>
      <c r="U33" s="9" t="n">
        <f aca="false">IF(الإجابات!U33=الإجابات!U$2,1,0)</f>
        <v>0</v>
      </c>
      <c r="V33" s="9" t="n">
        <f aca="false">IF(الإجابات!V33=الإجابات!V$2,1,0)</f>
        <v>0</v>
      </c>
      <c r="W33" s="9" t="n">
        <f aca="false">IF(الإجابات!W33=الإجابات!W$2,1,0)</f>
        <v>0</v>
      </c>
      <c r="X33" s="9" t="n">
        <f aca="false">IF(الإجابات!X33=الإجابات!X$2,1,0)</f>
        <v>0</v>
      </c>
      <c r="Y33" s="9" t="n">
        <f aca="false">IF(الإجابات!Y33=الإجابات!Y$2,1,0)</f>
        <v>1</v>
      </c>
      <c r="Z33" s="9" t="n">
        <f aca="false">IF(الإجابات!Z33=الإجابات!Z$2,1,0)</f>
        <v>0</v>
      </c>
      <c r="AA33" s="9" t="n">
        <f aca="false">IF(الإجابات!AA33=الإجابات!AA$2,1,0)</f>
        <v>0</v>
      </c>
      <c r="AB33" s="9" t="n">
        <f aca="false">IF(الإجابات!AB33=الإجابات!AB$2,1,0)</f>
        <v>1</v>
      </c>
      <c r="AC33" s="9" t="n">
        <f aca="false">IF(الإجابات!AC33=الإجابات!AC$2,1,0)</f>
        <v>0</v>
      </c>
      <c r="AD33" s="9" t="n">
        <f aca="false">IF(الإجابات!AD33=الإجابات!AD$2,1,0)</f>
        <v>1</v>
      </c>
      <c r="AE33" s="9" t="n">
        <f aca="false">IF(الإجابات!AE33=الإجابات!AE$2,1,0)</f>
        <v>0</v>
      </c>
      <c r="AF33" s="9" t="n">
        <f aca="false">SUM(B33:AE33)</f>
        <v>10</v>
      </c>
    </row>
    <row r="34" customFormat="false" ht="15" hidden="false" customHeight="false" outlineLevel="0" collapsed="false">
      <c r="A34" s="0" t="str">
        <f aca="false">الإجابات!A34</f>
        <v>S032</v>
      </c>
      <c r="B34" s="9" t="n">
        <f aca="false">IF(الإجابات!B34=الإجابات!B$2,1,0)</f>
        <v>1</v>
      </c>
      <c r="C34" s="9" t="n">
        <f aca="false">IF(الإجابات!C34=الإجابات!C$2,1,0)</f>
        <v>0</v>
      </c>
      <c r="D34" s="9" t="n">
        <f aca="false">IF(الإجابات!D34=الإجابات!D$2,1,0)</f>
        <v>1</v>
      </c>
      <c r="E34" s="9" t="n">
        <f aca="false">IF(الإجابات!E34=الإجابات!E$2,1,0)</f>
        <v>1</v>
      </c>
      <c r="F34" s="9" t="n">
        <f aca="false">IF(الإجابات!F34=الإجابات!F$2,1,0)</f>
        <v>1</v>
      </c>
      <c r="G34" s="9" t="n">
        <f aca="false">IF(الإجابات!G34=الإجابات!G$2,1,0)</f>
        <v>1</v>
      </c>
      <c r="H34" s="9" t="n">
        <f aca="false">IF(الإجابات!H34=الإجابات!H$2,1,0)</f>
        <v>0</v>
      </c>
      <c r="I34" s="9" t="n">
        <f aca="false">IF(الإجابات!I34=الإجابات!I$2,1,0)</f>
        <v>1</v>
      </c>
      <c r="J34" s="9" t="n">
        <f aca="false">IF(الإجابات!J34=الإجابات!J$2,1,0)</f>
        <v>1</v>
      </c>
      <c r="K34" s="9" t="n">
        <f aca="false">IF(الإجابات!K34=الإجابات!K$2,1,0)</f>
        <v>1</v>
      </c>
      <c r="L34" s="9" t="n">
        <f aca="false">IF(الإجابات!L34=الإجابات!L$2,1,0)</f>
        <v>1</v>
      </c>
      <c r="M34" s="9" t="n">
        <f aca="false">IF(الإجابات!M34=الإجابات!M$2,1,0)</f>
        <v>1</v>
      </c>
      <c r="N34" s="9" t="n">
        <f aca="false">IF(الإجابات!N34=الإجابات!N$2,1,0)</f>
        <v>1</v>
      </c>
      <c r="O34" s="9" t="n">
        <f aca="false">IF(الإجابات!O34=الإجابات!O$2,1,0)</f>
        <v>1</v>
      </c>
      <c r="P34" s="9" t="n">
        <f aca="false">IF(الإجابات!P34=الإجابات!P$2,1,0)</f>
        <v>1</v>
      </c>
      <c r="Q34" s="9" t="n">
        <f aca="false">IF(الإجابات!Q34=الإجابات!Q$2,1,0)</f>
        <v>1</v>
      </c>
      <c r="R34" s="9" t="n">
        <f aca="false">IF(الإجابات!R34=الإجابات!R$2,1,0)</f>
        <v>1</v>
      </c>
      <c r="S34" s="9" t="n">
        <f aca="false">IF(الإجابات!S34=الإجابات!S$2,1,0)</f>
        <v>1</v>
      </c>
      <c r="T34" s="9" t="n">
        <f aca="false">IF(الإجابات!T34=الإجابات!T$2,1,0)</f>
        <v>0</v>
      </c>
      <c r="U34" s="9" t="n">
        <f aca="false">IF(الإجابات!U34=الإجابات!U$2,1,0)</f>
        <v>1</v>
      </c>
      <c r="V34" s="9" t="n">
        <f aca="false">IF(الإجابات!V34=الإجابات!V$2,1,0)</f>
        <v>1</v>
      </c>
      <c r="W34" s="9" t="n">
        <f aca="false">IF(الإجابات!W34=الإجابات!W$2,1,0)</f>
        <v>1</v>
      </c>
      <c r="X34" s="9" t="n">
        <f aca="false">IF(الإجابات!X34=الإجابات!X$2,1,0)</f>
        <v>1</v>
      </c>
      <c r="Y34" s="9" t="n">
        <f aca="false">IF(الإجابات!Y34=الإجابات!Y$2,1,0)</f>
        <v>1</v>
      </c>
      <c r="Z34" s="9" t="n">
        <f aca="false">IF(الإجابات!Z34=الإجابات!Z$2,1,0)</f>
        <v>1</v>
      </c>
      <c r="AA34" s="9" t="n">
        <f aca="false">IF(الإجابات!AA34=الإجابات!AA$2,1,0)</f>
        <v>1</v>
      </c>
      <c r="AB34" s="9" t="n">
        <f aca="false">IF(الإجابات!AB34=الإجابات!AB$2,1,0)</f>
        <v>1</v>
      </c>
      <c r="AC34" s="9" t="n">
        <f aca="false">IF(الإجابات!AC34=الإجابات!AC$2,1,0)</f>
        <v>1</v>
      </c>
      <c r="AD34" s="9" t="n">
        <f aca="false">IF(الإجابات!AD34=الإجابات!AD$2,1,0)</f>
        <v>1</v>
      </c>
      <c r="AE34" s="9" t="n">
        <f aca="false">IF(الإجابات!AE34=الإجابات!AE$2,1,0)</f>
        <v>1</v>
      </c>
      <c r="AF34" s="9" t="n">
        <f aca="false">SUM(B34:AE34)</f>
        <v>27</v>
      </c>
    </row>
    <row r="35" customFormat="false" ht="15" hidden="false" customHeight="false" outlineLevel="0" collapsed="false">
      <c r="A35" s="0" t="str">
        <f aca="false">الإجابات!A35</f>
        <v>S033</v>
      </c>
      <c r="B35" s="9" t="n">
        <f aca="false">IF(الإجابات!B35=الإجابات!B$2,1,0)</f>
        <v>1</v>
      </c>
      <c r="C35" s="9" t="n">
        <f aca="false">IF(الإجابات!C35=الإجابات!C$2,1,0)</f>
        <v>1</v>
      </c>
      <c r="D35" s="9" t="n">
        <f aca="false">IF(الإجابات!D35=الإجابات!D$2,1,0)</f>
        <v>1</v>
      </c>
      <c r="E35" s="9" t="n">
        <f aca="false">IF(الإجابات!E35=الإجابات!E$2,1,0)</f>
        <v>1</v>
      </c>
      <c r="F35" s="9" t="n">
        <f aca="false">IF(الإجابات!F35=الإجابات!F$2,1,0)</f>
        <v>0</v>
      </c>
      <c r="G35" s="9" t="n">
        <f aca="false">IF(الإجابات!G35=الإجابات!G$2,1,0)</f>
        <v>1</v>
      </c>
      <c r="H35" s="9" t="n">
        <f aca="false">IF(الإجابات!H35=الإجابات!H$2,1,0)</f>
        <v>0</v>
      </c>
      <c r="I35" s="9" t="n">
        <f aca="false">IF(الإجابات!I35=الإجابات!I$2,1,0)</f>
        <v>1</v>
      </c>
      <c r="J35" s="9" t="n">
        <f aca="false">IF(الإجابات!J35=الإجابات!J$2,1,0)</f>
        <v>1</v>
      </c>
      <c r="K35" s="9" t="n">
        <f aca="false">IF(الإجابات!K35=الإجابات!K$2,1,0)</f>
        <v>1</v>
      </c>
      <c r="L35" s="9" t="n">
        <f aca="false">IF(الإجابات!L35=الإجابات!L$2,1,0)</f>
        <v>1</v>
      </c>
      <c r="M35" s="9" t="n">
        <f aca="false">IF(الإجابات!M35=الإجابات!M$2,1,0)</f>
        <v>1</v>
      </c>
      <c r="N35" s="9" t="n">
        <f aca="false">IF(الإجابات!N35=الإجابات!N$2,1,0)</f>
        <v>1</v>
      </c>
      <c r="O35" s="9" t="n">
        <f aca="false">IF(الإجابات!O35=الإجابات!O$2,1,0)</f>
        <v>0</v>
      </c>
      <c r="P35" s="9" t="n">
        <f aca="false">IF(الإجابات!P35=الإجابات!P$2,1,0)</f>
        <v>1</v>
      </c>
      <c r="Q35" s="9" t="n">
        <f aca="false">IF(الإجابات!Q35=الإجابات!Q$2,1,0)</f>
        <v>1</v>
      </c>
      <c r="R35" s="9" t="n">
        <f aca="false">IF(الإجابات!R35=الإجابات!R$2,1,0)</f>
        <v>1</v>
      </c>
      <c r="S35" s="9" t="n">
        <f aca="false">IF(الإجابات!S35=الإجابات!S$2,1,0)</f>
        <v>0</v>
      </c>
      <c r="T35" s="9" t="n">
        <f aca="false">IF(الإجابات!T35=الإجابات!T$2,1,0)</f>
        <v>0</v>
      </c>
      <c r="U35" s="9" t="n">
        <f aca="false">IF(الإجابات!U35=الإجابات!U$2,1,0)</f>
        <v>1</v>
      </c>
      <c r="V35" s="9" t="n">
        <f aca="false">IF(الإجابات!V35=الإجابات!V$2,1,0)</f>
        <v>1</v>
      </c>
      <c r="W35" s="9" t="n">
        <f aca="false">IF(الإجابات!W35=الإجابات!W$2,1,0)</f>
        <v>1</v>
      </c>
      <c r="X35" s="9" t="n">
        <f aca="false">IF(الإجابات!X35=الإجابات!X$2,1,0)</f>
        <v>1</v>
      </c>
      <c r="Y35" s="9" t="n">
        <f aca="false">IF(الإجابات!Y35=الإجابات!Y$2,1,0)</f>
        <v>1</v>
      </c>
      <c r="Z35" s="9" t="n">
        <f aca="false">IF(الإجابات!Z35=الإجابات!Z$2,1,0)</f>
        <v>0</v>
      </c>
      <c r="AA35" s="9" t="n">
        <f aca="false">IF(الإجابات!AA35=الإجابات!AA$2,1,0)</f>
        <v>1</v>
      </c>
      <c r="AB35" s="9" t="n">
        <f aca="false">IF(الإجابات!AB35=الإجابات!AB$2,1,0)</f>
        <v>1</v>
      </c>
      <c r="AC35" s="9" t="n">
        <f aca="false">IF(الإجابات!AC35=الإجابات!AC$2,1,0)</f>
        <v>1</v>
      </c>
      <c r="AD35" s="9" t="n">
        <f aca="false">IF(الإجابات!AD35=الإجابات!AD$2,1,0)</f>
        <v>1</v>
      </c>
      <c r="AE35" s="9" t="n">
        <f aca="false">IF(الإجابات!AE35=الإجابات!AE$2,1,0)</f>
        <v>1</v>
      </c>
      <c r="AF35" s="9" t="n">
        <f aca="false">SUM(B35:AE35)</f>
        <v>24</v>
      </c>
    </row>
    <row r="36" customFormat="false" ht="15" hidden="false" customHeight="false" outlineLevel="0" collapsed="false">
      <c r="A36" s="0" t="str">
        <f aca="false">الإجابات!A36</f>
        <v>S034</v>
      </c>
      <c r="B36" s="9" t="n">
        <f aca="false">IF(الإجابات!B36=الإجابات!B$2,1,0)</f>
        <v>1</v>
      </c>
      <c r="C36" s="9" t="n">
        <f aca="false">IF(الإجابات!C36=الإجابات!C$2,1,0)</f>
        <v>0</v>
      </c>
      <c r="D36" s="9" t="n">
        <f aca="false">IF(الإجابات!D36=الإجابات!D$2,1,0)</f>
        <v>0</v>
      </c>
      <c r="E36" s="9" t="n">
        <f aca="false">IF(الإجابات!E36=الإجابات!E$2,1,0)</f>
        <v>1</v>
      </c>
      <c r="F36" s="9" t="n">
        <f aca="false">IF(الإجابات!F36=الإجابات!F$2,1,0)</f>
        <v>1</v>
      </c>
      <c r="G36" s="9" t="n">
        <f aca="false">IF(الإجابات!G36=الإجابات!G$2,1,0)</f>
        <v>1</v>
      </c>
      <c r="H36" s="9" t="n">
        <f aca="false">IF(الإجابات!H36=الإجابات!H$2,1,0)</f>
        <v>0</v>
      </c>
      <c r="I36" s="9" t="n">
        <f aca="false">IF(الإجابات!I36=الإجابات!I$2,1,0)</f>
        <v>1</v>
      </c>
      <c r="J36" s="9" t="n">
        <f aca="false">IF(الإجابات!J36=الإجابات!J$2,1,0)</f>
        <v>1</v>
      </c>
      <c r="K36" s="9" t="n">
        <f aca="false">IF(الإجابات!K36=الإجابات!K$2,1,0)</f>
        <v>1</v>
      </c>
      <c r="L36" s="9" t="n">
        <f aca="false">IF(الإجابات!L36=الإجابات!L$2,1,0)</f>
        <v>1</v>
      </c>
      <c r="M36" s="9" t="n">
        <f aca="false">IF(الإجابات!M36=الإجابات!M$2,1,0)</f>
        <v>1</v>
      </c>
      <c r="N36" s="9" t="n">
        <f aca="false">IF(الإجابات!N36=الإجابات!N$2,1,0)</f>
        <v>1</v>
      </c>
      <c r="O36" s="9" t="n">
        <f aca="false">IF(الإجابات!O36=الإجابات!O$2,1,0)</f>
        <v>1</v>
      </c>
      <c r="P36" s="9" t="n">
        <f aca="false">IF(الإجابات!P36=الإجابات!P$2,1,0)</f>
        <v>0</v>
      </c>
      <c r="Q36" s="9" t="n">
        <f aca="false">IF(الإجابات!Q36=الإجابات!Q$2,1,0)</f>
        <v>1</v>
      </c>
      <c r="R36" s="9" t="n">
        <f aca="false">IF(الإجابات!R36=الإجابات!R$2,1,0)</f>
        <v>1</v>
      </c>
      <c r="S36" s="9" t="n">
        <f aca="false">IF(الإجابات!S36=الإجابات!S$2,1,0)</f>
        <v>1</v>
      </c>
      <c r="T36" s="9" t="n">
        <f aca="false">IF(الإجابات!T36=الإجابات!T$2,1,0)</f>
        <v>1</v>
      </c>
      <c r="U36" s="9" t="n">
        <f aca="false">IF(الإجابات!U36=الإجابات!U$2,1,0)</f>
        <v>1</v>
      </c>
      <c r="V36" s="9" t="n">
        <f aca="false">IF(الإجابات!V36=الإجابات!V$2,1,0)</f>
        <v>1</v>
      </c>
      <c r="W36" s="9" t="n">
        <f aca="false">IF(الإجابات!W36=الإجابات!W$2,1,0)</f>
        <v>1</v>
      </c>
      <c r="X36" s="9" t="n">
        <f aca="false">IF(الإجابات!X36=الإجابات!X$2,1,0)</f>
        <v>1</v>
      </c>
      <c r="Y36" s="9" t="n">
        <f aca="false">IF(الإجابات!Y36=الإجابات!Y$2,1,0)</f>
        <v>1</v>
      </c>
      <c r="Z36" s="9" t="n">
        <f aca="false">IF(الإجابات!Z36=الإجابات!Z$2,1,0)</f>
        <v>0</v>
      </c>
      <c r="AA36" s="9" t="n">
        <f aca="false">IF(الإجابات!AA36=الإجابات!AA$2,1,0)</f>
        <v>1</v>
      </c>
      <c r="AB36" s="9" t="n">
        <f aca="false">IF(الإجابات!AB36=الإجابات!AB$2,1,0)</f>
        <v>1</v>
      </c>
      <c r="AC36" s="9" t="n">
        <f aca="false">IF(الإجابات!AC36=الإجابات!AC$2,1,0)</f>
        <v>0</v>
      </c>
      <c r="AD36" s="9" t="n">
        <f aca="false">IF(الإجابات!AD36=الإجابات!AD$2,1,0)</f>
        <v>1</v>
      </c>
      <c r="AE36" s="9" t="n">
        <f aca="false">IF(الإجابات!AE36=الإجابات!AE$2,1,0)</f>
        <v>1</v>
      </c>
      <c r="AF36" s="9" t="n">
        <f aca="false">SUM(B36:AE36)</f>
        <v>24</v>
      </c>
    </row>
    <row r="37" customFormat="false" ht="15" hidden="false" customHeight="false" outlineLevel="0" collapsed="false">
      <c r="A37" s="0" t="str">
        <f aca="false">الإجابات!A37</f>
        <v>S035</v>
      </c>
      <c r="B37" s="9" t="n">
        <f aca="false">IF(الإجابات!B37=الإجابات!B$2,1,0)</f>
        <v>0</v>
      </c>
      <c r="C37" s="9" t="n">
        <f aca="false">IF(الإجابات!C37=الإجابات!C$2,1,0)</f>
        <v>1</v>
      </c>
      <c r="D37" s="9" t="n">
        <f aca="false">IF(الإجابات!D37=الإجابات!D$2,1,0)</f>
        <v>0</v>
      </c>
      <c r="E37" s="9" t="n">
        <f aca="false">IF(الإجابات!E37=الإجابات!E$2,1,0)</f>
        <v>1</v>
      </c>
      <c r="F37" s="9" t="n">
        <f aca="false">IF(الإجابات!F37=الإجابات!F$2,1,0)</f>
        <v>0</v>
      </c>
      <c r="G37" s="9" t="n">
        <f aca="false">IF(الإجابات!G37=الإجابات!G$2,1,0)</f>
        <v>1</v>
      </c>
      <c r="H37" s="9" t="n">
        <f aca="false">IF(الإجابات!H37=الإجابات!H$2,1,0)</f>
        <v>0</v>
      </c>
      <c r="I37" s="9" t="n">
        <f aca="false">IF(الإجابات!I37=الإجابات!I$2,1,0)</f>
        <v>0</v>
      </c>
      <c r="J37" s="9" t="n">
        <f aca="false">IF(الإجابات!J37=الإجابات!J$2,1,0)</f>
        <v>1</v>
      </c>
      <c r="K37" s="9" t="n">
        <f aca="false">IF(الإجابات!K37=الإجابات!K$2,1,0)</f>
        <v>0</v>
      </c>
      <c r="L37" s="9" t="n">
        <f aca="false">IF(الإجابات!L37=الإجابات!L$2,1,0)</f>
        <v>0</v>
      </c>
      <c r="M37" s="9" t="n">
        <f aca="false">IF(الإجابات!M37=الإجابات!M$2,1,0)</f>
        <v>1</v>
      </c>
      <c r="N37" s="9" t="n">
        <f aca="false">IF(الإجابات!N37=الإجابات!N$2,1,0)</f>
        <v>0</v>
      </c>
      <c r="O37" s="9" t="n">
        <f aca="false">IF(الإجابات!O37=الإجابات!O$2,1,0)</f>
        <v>1</v>
      </c>
      <c r="P37" s="9" t="n">
        <f aca="false">IF(الإجابات!P37=الإجابات!P$2,1,0)</f>
        <v>0</v>
      </c>
      <c r="Q37" s="9" t="n">
        <f aca="false">IF(الإجابات!Q37=الإجابات!Q$2,1,0)</f>
        <v>1</v>
      </c>
      <c r="R37" s="9" t="n">
        <f aca="false">IF(الإجابات!R37=الإجابات!R$2,1,0)</f>
        <v>1</v>
      </c>
      <c r="S37" s="9" t="n">
        <f aca="false">IF(الإجابات!S37=الإجابات!S$2,1,0)</f>
        <v>0</v>
      </c>
      <c r="T37" s="9" t="n">
        <f aca="false">IF(الإجابات!T37=الإجابات!T$2,1,0)</f>
        <v>0</v>
      </c>
      <c r="U37" s="9" t="n">
        <f aca="false">IF(الإجابات!U37=الإجابات!U$2,1,0)</f>
        <v>1</v>
      </c>
      <c r="V37" s="9" t="n">
        <f aca="false">IF(الإجابات!V37=الإجابات!V$2,1,0)</f>
        <v>0</v>
      </c>
      <c r="W37" s="9" t="n">
        <f aca="false">IF(الإجابات!W37=الإجابات!W$2,1,0)</f>
        <v>0</v>
      </c>
      <c r="X37" s="9" t="n">
        <f aca="false">IF(الإجابات!X37=الإجابات!X$2,1,0)</f>
        <v>0</v>
      </c>
      <c r="Y37" s="9" t="n">
        <f aca="false">IF(الإجابات!Y37=الإجابات!Y$2,1,0)</f>
        <v>0</v>
      </c>
      <c r="Z37" s="9" t="n">
        <f aca="false">IF(الإجابات!Z37=الإجابات!Z$2,1,0)</f>
        <v>0</v>
      </c>
      <c r="AA37" s="9" t="n">
        <f aca="false">IF(الإجابات!AA37=الإجابات!AA$2,1,0)</f>
        <v>1</v>
      </c>
      <c r="AB37" s="9" t="n">
        <f aca="false">IF(الإجابات!AB37=الإجابات!AB$2,1,0)</f>
        <v>0</v>
      </c>
      <c r="AC37" s="9" t="n">
        <f aca="false">IF(الإجابات!AC37=الإجابات!AC$2,1,0)</f>
        <v>1</v>
      </c>
      <c r="AD37" s="9" t="n">
        <f aca="false">IF(الإجابات!AD37=الإجابات!AD$2,1,0)</f>
        <v>0</v>
      </c>
      <c r="AE37" s="9" t="n">
        <f aca="false">IF(الإجابات!AE37=الإجابات!AE$2,1,0)</f>
        <v>0</v>
      </c>
      <c r="AF37" s="9" t="n">
        <f aca="false">SUM(B37:AE37)</f>
        <v>11</v>
      </c>
    </row>
    <row r="38" customFormat="false" ht="15" hidden="false" customHeight="false" outlineLevel="0" collapsed="false">
      <c r="A38" s="0" t="str">
        <f aca="false">الإجابات!A38</f>
        <v>S036</v>
      </c>
      <c r="B38" s="9" t="n">
        <f aca="false">IF(الإجابات!B38=الإجابات!B$2,1,0)</f>
        <v>1</v>
      </c>
      <c r="C38" s="9" t="n">
        <f aca="false">IF(الإجابات!C38=الإجابات!C$2,1,0)</f>
        <v>0</v>
      </c>
      <c r="D38" s="9" t="n">
        <f aca="false">IF(الإجابات!D38=الإجابات!D$2,1,0)</f>
        <v>0</v>
      </c>
      <c r="E38" s="9" t="n">
        <f aca="false">IF(الإجابات!E38=الإجابات!E$2,1,0)</f>
        <v>1</v>
      </c>
      <c r="F38" s="9" t="n">
        <f aca="false">IF(الإجابات!F38=الإجابات!F$2,1,0)</f>
        <v>1</v>
      </c>
      <c r="G38" s="9" t="n">
        <f aca="false">IF(الإجابات!G38=الإجابات!G$2,1,0)</f>
        <v>0</v>
      </c>
      <c r="H38" s="9" t="n">
        <f aca="false">IF(الإجابات!H38=الإجابات!H$2,1,0)</f>
        <v>0</v>
      </c>
      <c r="I38" s="9" t="n">
        <f aca="false">IF(الإجابات!I38=الإجابات!I$2,1,0)</f>
        <v>1</v>
      </c>
      <c r="J38" s="9" t="n">
        <f aca="false">IF(الإجابات!J38=الإجابات!J$2,1,0)</f>
        <v>1</v>
      </c>
      <c r="K38" s="9" t="n">
        <f aca="false">IF(الإجابات!K38=الإجابات!K$2,1,0)</f>
        <v>0</v>
      </c>
      <c r="L38" s="9" t="n">
        <f aca="false">IF(الإجابات!L38=الإجابات!L$2,1,0)</f>
        <v>1</v>
      </c>
      <c r="M38" s="9" t="n">
        <f aca="false">IF(الإجابات!M38=الإجابات!M$2,1,0)</f>
        <v>1</v>
      </c>
      <c r="N38" s="9" t="n">
        <f aca="false">IF(الإجابات!N38=الإجابات!N$2,1,0)</f>
        <v>1</v>
      </c>
      <c r="O38" s="9" t="n">
        <f aca="false">IF(الإجابات!O38=الإجابات!O$2,1,0)</f>
        <v>1</v>
      </c>
      <c r="P38" s="9" t="n">
        <f aca="false">IF(الإجابات!P38=الإجابات!P$2,1,0)</f>
        <v>1</v>
      </c>
      <c r="Q38" s="9" t="n">
        <f aca="false">IF(الإجابات!Q38=الإجابات!Q$2,1,0)</f>
        <v>1</v>
      </c>
      <c r="R38" s="9" t="n">
        <f aca="false">IF(الإجابات!R38=الإجابات!R$2,1,0)</f>
        <v>1</v>
      </c>
      <c r="S38" s="9" t="n">
        <f aca="false">IF(الإجابات!S38=الإجابات!S$2,1,0)</f>
        <v>0</v>
      </c>
      <c r="T38" s="9" t="n">
        <f aca="false">IF(الإجابات!T38=الإجابات!T$2,1,0)</f>
        <v>1</v>
      </c>
      <c r="U38" s="9" t="n">
        <f aca="false">IF(الإجابات!U38=الإجابات!U$2,1,0)</f>
        <v>1</v>
      </c>
      <c r="V38" s="9" t="n">
        <f aca="false">IF(الإجابات!V38=الإجابات!V$2,1,0)</f>
        <v>0</v>
      </c>
      <c r="W38" s="9" t="n">
        <f aca="false">IF(الإجابات!W38=الإجابات!W$2,1,0)</f>
        <v>1</v>
      </c>
      <c r="X38" s="9" t="n">
        <f aca="false">IF(الإجابات!X38=الإجابات!X$2,1,0)</f>
        <v>1</v>
      </c>
      <c r="Y38" s="9" t="n">
        <f aca="false">IF(الإجابات!Y38=الإجابات!Y$2,1,0)</f>
        <v>1</v>
      </c>
      <c r="Z38" s="9" t="n">
        <f aca="false">IF(الإجابات!Z38=الإجابات!Z$2,1,0)</f>
        <v>0</v>
      </c>
      <c r="AA38" s="9" t="n">
        <f aca="false">IF(الإجابات!AA38=الإجابات!AA$2,1,0)</f>
        <v>0</v>
      </c>
      <c r="AB38" s="9" t="n">
        <f aca="false">IF(الإجابات!AB38=الإجابات!AB$2,1,0)</f>
        <v>1</v>
      </c>
      <c r="AC38" s="9" t="n">
        <f aca="false">IF(الإجابات!AC38=الإجابات!AC$2,1,0)</f>
        <v>1</v>
      </c>
      <c r="AD38" s="9" t="n">
        <f aca="false">IF(الإجابات!AD38=الإجابات!AD$2,1,0)</f>
        <v>1</v>
      </c>
      <c r="AE38" s="9" t="n">
        <f aca="false">IF(الإجابات!AE38=الإجابات!AE$2,1,0)</f>
        <v>0</v>
      </c>
      <c r="AF38" s="9" t="n">
        <f aca="false">SUM(B38:AE38)</f>
        <v>20</v>
      </c>
    </row>
    <row r="39" customFormat="false" ht="15" hidden="false" customHeight="false" outlineLevel="0" collapsed="false">
      <c r="A39" s="0" t="str">
        <f aca="false">الإجابات!A39</f>
        <v>S037</v>
      </c>
      <c r="B39" s="9" t="n">
        <f aca="false">IF(الإجابات!B39=الإجابات!B$2,1,0)</f>
        <v>0</v>
      </c>
      <c r="C39" s="9" t="n">
        <f aca="false">IF(الإجابات!C39=الإجابات!C$2,1,0)</f>
        <v>0</v>
      </c>
      <c r="D39" s="9" t="n">
        <f aca="false">IF(الإجابات!D39=الإجابات!D$2,1,0)</f>
        <v>1</v>
      </c>
      <c r="E39" s="9" t="n">
        <f aca="false">IF(الإجابات!E39=الإجابات!E$2,1,0)</f>
        <v>0</v>
      </c>
      <c r="F39" s="9" t="n">
        <f aca="false">IF(الإجابات!F39=الإجابات!F$2,1,0)</f>
        <v>0</v>
      </c>
      <c r="G39" s="9" t="n">
        <f aca="false">IF(الإجابات!G39=الإجابات!G$2,1,0)</f>
        <v>0</v>
      </c>
      <c r="H39" s="9" t="n">
        <f aca="false">IF(الإجابات!H39=الإجابات!H$2,1,0)</f>
        <v>1</v>
      </c>
      <c r="I39" s="9" t="n">
        <f aca="false">IF(الإجابات!I39=الإجابات!I$2,1,0)</f>
        <v>0</v>
      </c>
      <c r="J39" s="9" t="n">
        <f aca="false">IF(الإجابات!J39=الإجابات!J$2,1,0)</f>
        <v>1</v>
      </c>
      <c r="K39" s="9" t="n">
        <f aca="false">IF(الإجابات!K39=الإجابات!K$2,1,0)</f>
        <v>0</v>
      </c>
      <c r="L39" s="9" t="n">
        <f aca="false">IF(الإجابات!L39=الإجابات!L$2,1,0)</f>
        <v>0</v>
      </c>
      <c r="M39" s="9" t="n">
        <f aca="false">IF(الإجابات!M39=الإجابات!M$2,1,0)</f>
        <v>1</v>
      </c>
      <c r="N39" s="9" t="n">
        <f aca="false">IF(الإجابات!N39=الإجابات!N$2,1,0)</f>
        <v>0</v>
      </c>
      <c r="O39" s="9" t="n">
        <f aca="false">IF(الإجابات!O39=الإجابات!O$2,1,0)</f>
        <v>1</v>
      </c>
      <c r="P39" s="9" t="n">
        <f aca="false">IF(الإجابات!P39=الإجابات!P$2,1,0)</f>
        <v>0</v>
      </c>
      <c r="Q39" s="9" t="n">
        <f aca="false">IF(الإجابات!Q39=الإجابات!Q$2,1,0)</f>
        <v>0</v>
      </c>
      <c r="R39" s="9" t="n">
        <f aca="false">IF(الإجابات!R39=الإجابات!R$2,1,0)</f>
        <v>1</v>
      </c>
      <c r="S39" s="9" t="n">
        <f aca="false">IF(الإجابات!S39=الإجابات!S$2,1,0)</f>
        <v>1</v>
      </c>
      <c r="T39" s="9" t="n">
        <f aca="false">IF(الإجابات!T39=الإجابات!T$2,1,0)</f>
        <v>0</v>
      </c>
      <c r="U39" s="9" t="n">
        <f aca="false">IF(الإجابات!U39=الإجابات!U$2,1,0)</f>
        <v>0</v>
      </c>
      <c r="V39" s="9" t="n">
        <f aca="false">IF(الإجابات!V39=الإجابات!V$2,1,0)</f>
        <v>1</v>
      </c>
      <c r="W39" s="9" t="n">
        <f aca="false">IF(الإجابات!W39=الإجابات!W$2,1,0)</f>
        <v>0</v>
      </c>
      <c r="X39" s="9" t="n">
        <f aca="false">IF(الإجابات!X39=الإجابات!X$2,1,0)</f>
        <v>1</v>
      </c>
      <c r="Y39" s="9" t="n">
        <f aca="false">IF(الإجابات!Y39=الإجابات!Y$2,1,0)</f>
        <v>0</v>
      </c>
      <c r="Z39" s="9" t="n">
        <f aca="false">IF(الإجابات!Z39=الإجابات!Z$2,1,0)</f>
        <v>0</v>
      </c>
      <c r="AA39" s="9" t="n">
        <f aca="false">IF(الإجابات!AA39=الإجابات!AA$2,1,0)</f>
        <v>0</v>
      </c>
      <c r="AB39" s="9" t="n">
        <f aca="false">IF(الإجابات!AB39=الإجابات!AB$2,1,0)</f>
        <v>1</v>
      </c>
      <c r="AC39" s="9" t="n">
        <f aca="false">IF(الإجابات!AC39=الإجابات!AC$2,1,0)</f>
        <v>0</v>
      </c>
      <c r="AD39" s="9" t="n">
        <f aca="false">IF(الإجابات!AD39=الإجابات!AD$2,1,0)</f>
        <v>0</v>
      </c>
      <c r="AE39" s="9" t="n">
        <f aca="false">IF(الإجابات!AE39=الإجابات!AE$2,1,0)</f>
        <v>1</v>
      </c>
      <c r="AF39" s="9" t="n">
        <f aca="false">SUM(B39:AE39)</f>
        <v>11</v>
      </c>
    </row>
    <row r="40" customFormat="false" ht="15" hidden="false" customHeight="false" outlineLevel="0" collapsed="false">
      <c r="A40" s="0" t="str">
        <f aca="false">الإجابات!A40</f>
        <v>S038</v>
      </c>
      <c r="B40" s="9" t="n">
        <f aca="false">IF(الإجابات!B40=الإجابات!B$2,1,0)</f>
        <v>1</v>
      </c>
      <c r="C40" s="9" t="n">
        <f aca="false">IF(الإجابات!C40=الإجابات!C$2,1,0)</f>
        <v>0</v>
      </c>
      <c r="D40" s="9" t="n">
        <f aca="false">IF(الإجابات!D40=الإجابات!D$2,1,0)</f>
        <v>0</v>
      </c>
      <c r="E40" s="9" t="n">
        <f aca="false">IF(الإجابات!E40=الإجابات!E$2,1,0)</f>
        <v>1</v>
      </c>
      <c r="F40" s="9" t="n">
        <f aca="false">IF(الإجابات!F40=الإجابات!F$2,1,0)</f>
        <v>0</v>
      </c>
      <c r="G40" s="9" t="n">
        <f aca="false">IF(الإجابات!G40=الإجابات!G$2,1,0)</f>
        <v>0</v>
      </c>
      <c r="H40" s="9" t="n">
        <f aca="false">IF(الإجابات!H40=الإجابات!H$2,1,0)</f>
        <v>0</v>
      </c>
      <c r="I40" s="9" t="n">
        <f aca="false">IF(الإجابات!I40=الإجابات!I$2,1,0)</f>
        <v>0</v>
      </c>
      <c r="J40" s="9" t="n">
        <f aca="false">IF(الإجابات!J40=الإجابات!J$2,1,0)</f>
        <v>1</v>
      </c>
      <c r="K40" s="9" t="n">
        <f aca="false">IF(الإجابات!K40=الإجابات!K$2,1,0)</f>
        <v>0</v>
      </c>
      <c r="L40" s="9" t="n">
        <f aca="false">IF(الإجابات!L40=الإجابات!L$2,1,0)</f>
        <v>0</v>
      </c>
      <c r="M40" s="9" t="n">
        <f aca="false">IF(الإجابات!M40=الإجابات!M$2,1,0)</f>
        <v>1</v>
      </c>
      <c r="N40" s="9" t="n">
        <f aca="false">IF(الإجابات!N40=الإجابات!N$2,1,0)</f>
        <v>0</v>
      </c>
      <c r="O40" s="9" t="n">
        <f aca="false">IF(الإجابات!O40=الإجابات!O$2,1,0)</f>
        <v>1</v>
      </c>
      <c r="P40" s="9" t="n">
        <f aca="false">IF(الإجابات!P40=الإجابات!P$2,1,0)</f>
        <v>0</v>
      </c>
      <c r="Q40" s="9" t="n">
        <f aca="false">IF(الإجابات!Q40=الإجابات!Q$2,1,0)</f>
        <v>1</v>
      </c>
      <c r="R40" s="9" t="n">
        <f aca="false">IF(الإجابات!R40=الإجابات!R$2,1,0)</f>
        <v>1</v>
      </c>
      <c r="S40" s="9" t="n">
        <f aca="false">IF(الإجابات!S40=الإجابات!S$2,1,0)</f>
        <v>0</v>
      </c>
      <c r="T40" s="9" t="n">
        <f aca="false">IF(الإجابات!T40=الإجابات!T$2,1,0)</f>
        <v>1</v>
      </c>
      <c r="U40" s="9" t="n">
        <f aca="false">IF(الإجابات!U40=الإجابات!U$2,1,0)</f>
        <v>0</v>
      </c>
      <c r="V40" s="9" t="n">
        <f aca="false">IF(الإجابات!V40=الإجابات!V$2,1,0)</f>
        <v>0</v>
      </c>
      <c r="W40" s="9" t="n">
        <f aca="false">IF(الإجابات!W40=الإجابات!W$2,1,0)</f>
        <v>0</v>
      </c>
      <c r="X40" s="9" t="n">
        <f aca="false">IF(الإجابات!X40=الإجابات!X$2,1,0)</f>
        <v>0</v>
      </c>
      <c r="Y40" s="9" t="n">
        <f aca="false">IF(الإجابات!Y40=الإجابات!Y$2,1,0)</f>
        <v>0</v>
      </c>
      <c r="Z40" s="9" t="n">
        <f aca="false">IF(الإجابات!Z40=الإجابات!Z$2,1,0)</f>
        <v>0</v>
      </c>
      <c r="AA40" s="9" t="n">
        <f aca="false">IF(الإجابات!AA40=الإجابات!AA$2,1,0)</f>
        <v>0</v>
      </c>
      <c r="AB40" s="9" t="n">
        <f aca="false">IF(الإجابات!AB40=الإجابات!AB$2,1,0)</f>
        <v>1</v>
      </c>
      <c r="AC40" s="9" t="n">
        <f aca="false">IF(الإجابات!AC40=الإجابات!AC$2,1,0)</f>
        <v>1</v>
      </c>
      <c r="AD40" s="9" t="n">
        <f aca="false">IF(الإجابات!AD40=الإجابات!AD$2,1,0)</f>
        <v>1</v>
      </c>
      <c r="AE40" s="9" t="n">
        <f aca="false">IF(الإجابات!AE40=الإجابات!AE$2,1,0)</f>
        <v>0</v>
      </c>
      <c r="AF40" s="9" t="n">
        <f aca="false">SUM(B40:AE40)</f>
        <v>11</v>
      </c>
    </row>
    <row r="41" customFormat="false" ht="15" hidden="false" customHeight="false" outlineLevel="0" collapsed="false">
      <c r="A41" s="0" t="str">
        <f aca="false">الإجابات!A41</f>
        <v>S039</v>
      </c>
      <c r="B41" s="9" t="n">
        <f aca="false">IF(الإجابات!B41=الإجابات!B$2,1,0)</f>
        <v>0</v>
      </c>
      <c r="C41" s="9" t="n">
        <f aca="false">IF(الإجابات!C41=الإجابات!C$2,1,0)</f>
        <v>1</v>
      </c>
      <c r="D41" s="9" t="n">
        <f aca="false">IF(الإجابات!D41=الإجابات!D$2,1,0)</f>
        <v>1</v>
      </c>
      <c r="E41" s="9" t="n">
        <f aca="false">IF(الإجابات!E41=الإجابات!E$2,1,0)</f>
        <v>1</v>
      </c>
      <c r="F41" s="9" t="n">
        <f aca="false">IF(الإجابات!F41=الإجابات!F$2,1,0)</f>
        <v>1</v>
      </c>
      <c r="G41" s="9" t="n">
        <f aca="false">IF(الإجابات!G41=الإجابات!G$2,1,0)</f>
        <v>0</v>
      </c>
      <c r="H41" s="9" t="n">
        <f aca="false">IF(الإجابات!H41=الإجابات!H$2,1,0)</f>
        <v>0</v>
      </c>
      <c r="I41" s="9" t="n">
        <f aca="false">IF(الإجابات!I41=الإجابات!I$2,1,0)</f>
        <v>1</v>
      </c>
      <c r="J41" s="9" t="n">
        <f aca="false">IF(الإجابات!J41=الإجابات!J$2,1,0)</f>
        <v>1</v>
      </c>
      <c r="K41" s="9" t="n">
        <f aca="false">IF(الإجابات!K41=الإجابات!K$2,1,0)</f>
        <v>1</v>
      </c>
      <c r="L41" s="9" t="n">
        <f aca="false">IF(الإجابات!L41=الإجابات!L$2,1,0)</f>
        <v>0</v>
      </c>
      <c r="M41" s="9" t="n">
        <f aca="false">IF(الإجابات!M41=الإجابات!M$2,1,0)</f>
        <v>1</v>
      </c>
      <c r="N41" s="9" t="n">
        <f aca="false">IF(الإجابات!N41=الإجابات!N$2,1,0)</f>
        <v>1</v>
      </c>
      <c r="O41" s="9" t="n">
        <f aca="false">IF(الإجابات!O41=الإجابات!O$2,1,0)</f>
        <v>1</v>
      </c>
      <c r="P41" s="9" t="n">
        <f aca="false">IF(الإجابات!P41=الإجابات!P$2,1,0)</f>
        <v>0</v>
      </c>
      <c r="Q41" s="9" t="n">
        <f aca="false">IF(الإجابات!Q41=الإجابات!Q$2,1,0)</f>
        <v>1</v>
      </c>
      <c r="R41" s="9" t="n">
        <f aca="false">IF(الإجابات!R41=الإجابات!R$2,1,0)</f>
        <v>1</v>
      </c>
      <c r="S41" s="9" t="n">
        <f aca="false">IF(الإجابات!S41=الإجابات!S$2,1,0)</f>
        <v>0</v>
      </c>
      <c r="T41" s="9" t="n">
        <f aca="false">IF(الإجابات!T41=الإجابات!T$2,1,0)</f>
        <v>0</v>
      </c>
      <c r="U41" s="9" t="n">
        <f aca="false">IF(الإجابات!U41=الإجابات!U$2,1,0)</f>
        <v>0</v>
      </c>
      <c r="V41" s="9" t="n">
        <f aca="false">IF(الإجابات!V41=الإجابات!V$2,1,0)</f>
        <v>1</v>
      </c>
      <c r="W41" s="9" t="n">
        <f aca="false">IF(الإجابات!W41=الإجابات!W$2,1,0)</f>
        <v>1</v>
      </c>
      <c r="X41" s="9" t="n">
        <f aca="false">IF(الإجابات!X41=الإجابات!X$2,1,0)</f>
        <v>0</v>
      </c>
      <c r="Y41" s="9" t="n">
        <f aca="false">IF(الإجابات!Y41=الإجابات!Y$2,1,0)</f>
        <v>1</v>
      </c>
      <c r="Z41" s="9" t="n">
        <f aca="false">IF(الإجابات!Z41=الإجابات!Z$2,1,0)</f>
        <v>1</v>
      </c>
      <c r="AA41" s="9" t="n">
        <f aca="false">IF(الإجابات!AA41=الإجابات!AA$2,1,0)</f>
        <v>1</v>
      </c>
      <c r="AB41" s="9" t="n">
        <f aca="false">IF(الإجابات!AB41=الإجابات!AB$2,1,0)</f>
        <v>1</v>
      </c>
      <c r="AC41" s="9" t="n">
        <f aca="false">IF(الإجابات!AC41=الإجابات!AC$2,1,0)</f>
        <v>1</v>
      </c>
      <c r="AD41" s="9" t="n">
        <f aca="false">IF(الإجابات!AD41=الإجابات!AD$2,1,0)</f>
        <v>1</v>
      </c>
      <c r="AE41" s="9" t="n">
        <f aca="false">IF(الإجابات!AE41=الإجابات!AE$2,1,0)</f>
        <v>1</v>
      </c>
      <c r="AF41" s="9" t="n">
        <f aca="false">SUM(B41:AE41)</f>
        <v>21</v>
      </c>
    </row>
    <row r="42" customFormat="false" ht="15" hidden="false" customHeight="false" outlineLevel="0" collapsed="false">
      <c r="A42" s="0" t="str">
        <f aca="false">الإجابات!A42</f>
        <v>S040</v>
      </c>
      <c r="B42" s="9" t="n">
        <f aca="false">IF(الإجابات!B42=الإجابات!B$2,1,0)</f>
        <v>0</v>
      </c>
      <c r="C42" s="9" t="n">
        <f aca="false">IF(الإجابات!C42=الإجابات!C$2,1,0)</f>
        <v>0</v>
      </c>
      <c r="D42" s="9" t="n">
        <f aca="false">IF(الإجابات!D42=الإجابات!D$2,1,0)</f>
        <v>0</v>
      </c>
      <c r="E42" s="9" t="n">
        <f aca="false">IF(الإجابات!E42=الإجابات!E$2,1,0)</f>
        <v>1</v>
      </c>
      <c r="F42" s="9" t="n">
        <f aca="false">IF(الإجابات!F42=الإجابات!F$2,1,0)</f>
        <v>1</v>
      </c>
      <c r="G42" s="9" t="n">
        <f aca="false">IF(الإجابات!G42=الإجابات!G$2,1,0)</f>
        <v>1</v>
      </c>
      <c r="H42" s="9" t="n">
        <f aca="false">IF(الإجابات!H42=الإجابات!H$2,1,0)</f>
        <v>0</v>
      </c>
      <c r="I42" s="9" t="n">
        <f aca="false">IF(الإجابات!I42=الإجابات!I$2,1,0)</f>
        <v>1</v>
      </c>
      <c r="J42" s="9" t="n">
        <f aca="false">IF(الإجابات!J42=الإجابات!J$2,1,0)</f>
        <v>1</v>
      </c>
      <c r="K42" s="9" t="n">
        <f aca="false">IF(الإجابات!K42=الإجابات!K$2,1,0)</f>
        <v>1</v>
      </c>
      <c r="L42" s="9" t="n">
        <f aca="false">IF(الإجابات!L42=الإجابات!L$2,1,0)</f>
        <v>1</v>
      </c>
      <c r="M42" s="9" t="n">
        <f aca="false">IF(الإجابات!M42=الإجابات!M$2,1,0)</f>
        <v>1</v>
      </c>
      <c r="N42" s="9" t="n">
        <f aca="false">IF(الإجابات!N42=الإجابات!N$2,1,0)</f>
        <v>1</v>
      </c>
      <c r="O42" s="9" t="n">
        <f aca="false">IF(الإجابات!O42=الإجابات!O$2,1,0)</f>
        <v>1</v>
      </c>
      <c r="P42" s="9" t="n">
        <f aca="false">IF(الإجابات!P42=الإجابات!P$2,1,0)</f>
        <v>0</v>
      </c>
      <c r="Q42" s="9" t="n">
        <f aca="false">IF(الإجابات!Q42=الإجابات!Q$2,1,0)</f>
        <v>1</v>
      </c>
      <c r="R42" s="9" t="n">
        <f aca="false">IF(الإجابات!R42=الإجابات!R$2,1,0)</f>
        <v>1</v>
      </c>
      <c r="S42" s="9" t="n">
        <f aca="false">IF(الإجابات!S42=الإجابات!S$2,1,0)</f>
        <v>0</v>
      </c>
      <c r="T42" s="9" t="n">
        <f aca="false">IF(الإجابات!T42=الإجابات!T$2,1,0)</f>
        <v>1</v>
      </c>
      <c r="U42" s="9" t="n">
        <f aca="false">IF(الإجابات!U42=الإجابات!U$2,1,0)</f>
        <v>1</v>
      </c>
      <c r="V42" s="9" t="n">
        <f aca="false">IF(الإجابات!V42=الإجابات!V$2,1,0)</f>
        <v>1</v>
      </c>
      <c r="W42" s="9" t="n">
        <f aca="false">IF(الإجابات!W42=الإجابات!W$2,1,0)</f>
        <v>1</v>
      </c>
      <c r="X42" s="9" t="n">
        <f aca="false">IF(الإجابات!X42=الإجابات!X$2,1,0)</f>
        <v>1</v>
      </c>
      <c r="Y42" s="9" t="n">
        <f aca="false">IF(الإجابات!Y42=الإجابات!Y$2,1,0)</f>
        <v>1</v>
      </c>
      <c r="Z42" s="9" t="n">
        <f aca="false">IF(الإجابات!Z42=الإجابات!Z$2,1,0)</f>
        <v>1</v>
      </c>
      <c r="AA42" s="9" t="n">
        <f aca="false">IF(الإجابات!AA42=الإجابات!AA$2,1,0)</f>
        <v>1</v>
      </c>
      <c r="AB42" s="9" t="n">
        <f aca="false">IF(الإجابات!AB42=الإجابات!AB$2,1,0)</f>
        <v>0</v>
      </c>
      <c r="AC42" s="9" t="n">
        <f aca="false">IF(الإجابات!AC42=الإجابات!AC$2,1,0)</f>
        <v>0</v>
      </c>
      <c r="AD42" s="9" t="n">
        <f aca="false">IF(الإجابات!AD42=الإجابات!AD$2,1,0)</f>
        <v>1</v>
      </c>
      <c r="AE42" s="9" t="n">
        <f aca="false">IF(الإجابات!AE42=الإجابات!AE$2,1,0)</f>
        <v>1</v>
      </c>
      <c r="AF42" s="9" t="n">
        <f aca="false">SUM(B42:AE42)</f>
        <v>22</v>
      </c>
    </row>
    <row r="43" customFormat="false" ht="15" hidden="false" customHeight="false" outlineLevel="0" collapsed="false">
      <c r="A43" s="0" t="str">
        <f aca="false">الإجابات!A43</f>
        <v>S041</v>
      </c>
      <c r="B43" s="9" t="n">
        <f aca="false">IF(الإجابات!B43=الإجابات!B$2,1,0)</f>
        <v>0</v>
      </c>
      <c r="C43" s="9" t="n">
        <f aca="false">IF(الإجابات!C43=الإجابات!C$2,1,0)</f>
        <v>1</v>
      </c>
      <c r="D43" s="9" t="n">
        <f aca="false">IF(الإجابات!D43=الإجابات!D$2,1,0)</f>
        <v>1</v>
      </c>
      <c r="E43" s="9" t="n">
        <f aca="false">IF(الإجابات!E43=الإجابات!E$2,1,0)</f>
        <v>1</v>
      </c>
      <c r="F43" s="9" t="n">
        <f aca="false">IF(الإجابات!F43=الإجابات!F$2,1,0)</f>
        <v>0</v>
      </c>
      <c r="G43" s="9" t="n">
        <f aca="false">IF(الإجابات!G43=الإجابات!G$2,1,0)</f>
        <v>0</v>
      </c>
      <c r="H43" s="9" t="n">
        <f aca="false">IF(الإجابات!H43=الإجابات!H$2,1,0)</f>
        <v>0</v>
      </c>
      <c r="I43" s="9" t="n">
        <f aca="false">IF(الإجابات!I43=الإجابات!I$2,1,0)</f>
        <v>1</v>
      </c>
      <c r="J43" s="9" t="n">
        <f aca="false">IF(الإجابات!J43=الإجابات!J$2,1,0)</f>
        <v>1</v>
      </c>
      <c r="K43" s="9" t="n">
        <f aca="false">IF(الإجابات!K43=الإجابات!K$2,1,0)</f>
        <v>1</v>
      </c>
      <c r="L43" s="9" t="n">
        <f aca="false">IF(الإجابات!L43=الإجابات!L$2,1,0)</f>
        <v>1</v>
      </c>
      <c r="M43" s="9" t="n">
        <f aca="false">IF(الإجابات!M43=الإجابات!M$2,1,0)</f>
        <v>1</v>
      </c>
      <c r="N43" s="9" t="n">
        <f aca="false">IF(الإجابات!N43=الإجابات!N$2,1,0)</f>
        <v>0</v>
      </c>
      <c r="O43" s="9" t="n">
        <f aca="false">IF(الإجابات!O43=الإجابات!O$2,1,0)</f>
        <v>1</v>
      </c>
      <c r="P43" s="9" t="n">
        <f aca="false">IF(الإجابات!P43=الإجابات!P$2,1,0)</f>
        <v>1</v>
      </c>
      <c r="Q43" s="9" t="n">
        <f aca="false">IF(الإجابات!Q43=الإجابات!Q$2,1,0)</f>
        <v>1</v>
      </c>
      <c r="R43" s="9" t="n">
        <f aca="false">IF(الإجابات!R43=الإجابات!R$2,1,0)</f>
        <v>1</v>
      </c>
      <c r="S43" s="9" t="n">
        <f aca="false">IF(الإجابات!S43=الإجابات!S$2,1,0)</f>
        <v>0</v>
      </c>
      <c r="T43" s="9" t="n">
        <f aca="false">IF(الإجابات!T43=الإجابات!T$2,1,0)</f>
        <v>1</v>
      </c>
      <c r="U43" s="9" t="n">
        <f aca="false">IF(الإجابات!U43=الإجابات!U$2,1,0)</f>
        <v>0</v>
      </c>
      <c r="V43" s="9" t="n">
        <f aca="false">IF(الإجابات!V43=الإجابات!V$2,1,0)</f>
        <v>0</v>
      </c>
      <c r="W43" s="9" t="n">
        <f aca="false">IF(الإجابات!W43=الإجابات!W$2,1,0)</f>
        <v>0</v>
      </c>
      <c r="X43" s="9" t="n">
        <f aca="false">IF(الإجابات!X43=الإجابات!X$2,1,0)</f>
        <v>1</v>
      </c>
      <c r="Y43" s="9" t="n">
        <f aca="false">IF(الإجابات!Y43=الإجابات!Y$2,1,0)</f>
        <v>0</v>
      </c>
      <c r="Z43" s="9" t="n">
        <f aca="false">IF(الإجابات!Z43=الإجابات!Z$2,1,0)</f>
        <v>1</v>
      </c>
      <c r="AA43" s="9" t="n">
        <f aca="false">IF(الإجابات!AA43=الإجابات!AA$2,1,0)</f>
        <v>1</v>
      </c>
      <c r="AB43" s="9" t="n">
        <f aca="false">IF(الإجابات!AB43=الإجابات!AB$2,1,0)</f>
        <v>1</v>
      </c>
      <c r="AC43" s="9" t="n">
        <f aca="false">IF(الإجابات!AC43=الإجابات!AC$2,1,0)</f>
        <v>1</v>
      </c>
      <c r="AD43" s="9" t="n">
        <f aca="false">IF(الإجابات!AD43=الإجابات!AD$2,1,0)</f>
        <v>0</v>
      </c>
      <c r="AE43" s="9" t="n">
        <f aca="false">IF(الإجابات!AE43=الإجابات!AE$2,1,0)</f>
        <v>0</v>
      </c>
      <c r="AF43" s="9" t="n">
        <f aca="false">SUM(B43:AE43)</f>
        <v>18</v>
      </c>
    </row>
    <row r="44" customFormat="false" ht="15" hidden="false" customHeight="false" outlineLevel="0" collapsed="false">
      <c r="A44" s="0" t="str">
        <f aca="false">الإجابات!A44</f>
        <v>S042</v>
      </c>
      <c r="B44" s="9" t="n">
        <f aca="false">IF(الإجابات!B44=الإجابات!B$2,1,0)</f>
        <v>0</v>
      </c>
      <c r="C44" s="9" t="n">
        <f aca="false">IF(الإجابات!C44=الإجابات!C$2,1,0)</f>
        <v>1</v>
      </c>
      <c r="D44" s="9" t="n">
        <f aca="false">IF(الإجابات!D44=الإجابات!D$2,1,0)</f>
        <v>0</v>
      </c>
      <c r="E44" s="9" t="n">
        <f aca="false">IF(الإجابات!E44=الإجابات!E$2,1,0)</f>
        <v>1</v>
      </c>
      <c r="F44" s="9" t="n">
        <f aca="false">IF(الإجابات!F44=الإجابات!F$2,1,0)</f>
        <v>1</v>
      </c>
      <c r="G44" s="9" t="n">
        <f aca="false">IF(الإجابات!G44=الإجابات!G$2,1,0)</f>
        <v>1</v>
      </c>
      <c r="H44" s="9" t="n">
        <f aca="false">IF(الإجابات!H44=الإجابات!H$2,1,0)</f>
        <v>0</v>
      </c>
      <c r="I44" s="9" t="n">
        <f aca="false">IF(الإجابات!I44=الإجابات!I$2,1,0)</f>
        <v>1</v>
      </c>
      <c r="J44" s="9" t="n">
        <f aca="false">IF(الإجابات!J44=الإجابات!J$2,1,0)</f>
        <v>1</v>
      </c>
      <c r="K44" s="9" t="n">
        <f aca="false">IF(الإجابات!K44=الإجابات!K$2,1,0)</f>
        <v>0</v>
      </c>
      <c r="L44" s="9" t="n">
        <f aca="false">IF(الإجابات!L44=الإجابات!L$2,1,0)</f>
        <v>0</v>
      </c>
      <c r="M44" s="9" t="n">
        <f aca="false">IF(الإجابات!M44=الإجابات!M$2,1,0)</f>
        <v>1</v>
      </c>
      <c r="N44" s="9" t="n">
        <f aca="false">IF(الإجابات!N44=الإجابات!N$2,1,0)</f>
        <v>1</v>
      </c>
      <c r="O44" s="9" t="n">
        <f aca="false">IF(الإجابات!O44=الإجابات!O$2,1,0)</f>
        <v>0</v>
      </c>
      <c r="P44" s="9" t="n">
        <f aca="false">IF(الإجابات!P44=الإجابات!P$2,1,0)</f>
        <v>1</v>
      </c>
      <c r="Q44" s="9" t="n">
        <f aca="false">IF(الإجابات!Q44=الإجابات!Q$2,1,0)</f>
        <v>1</v>
      </c>
      <c r="R44" s="9" t="n">
        <f aca="false">IF(الإجابات!R44=الإجابات!R$2,1,0)</f>
        <v>1</v>
      </c>
      <c r="S44" s="9" t="n">
        <f aca="false">IF(الإجابات!S44=الإجابات!S$2,1,0)</f>
        <v>0</v>
      </c>
      <c r="T44" s="9" t="n">
        <f aca="false">IF(الإجابات!T44=الإجابات!T$2,1,0)</f>
        <v>0</v>
      </c>
      <c r="U44" s="9" t="n">
        <f aca="false">IF(الإجابات!U44=الإجابات!U$2,1,0)</f>
        <v>0</v>
      </c>
      <c r="V44" s="9" t="n">
        <f aca="false">IF(الإجابات!V44=الإجابات!V$2,1,0)</f>
        <v>0</v>
      </c>
      <c r="W44" s="9" t="n">
        <f aca="false">IF(الإجابات!W44=الإجابات!W$2,1,0)</f>
        <v>0</v>
      </c>
      <c r="X44" s="9" t="n">
        <f aca="false">IF(الإجابات!X44=الإجابات!X$2,1,0)</f>
        <v>1</v>
      </c>
      <c r="Y44" s="9" t="n">
        <f aca="false">IF(الإجابات!Y44=الإجابات!Y$2,1,0)</f>
        <v>1</v>
      </c>
      <c r="Z44" s="9" t="n">
        <f aca="false">IF(الإجابات!Z44=الإجابات!Z$2,1,0)</f>
        <v>0</v>
      </c>
      <c r="AA44" s="9" t="n">
        <f aca="false">IF(الإجابات!AA44=الإجابات!AA$2,1,0)</f>
        <v>0</v>
      </c>
      <c r="AB44" s="9" t="n">
        <f aca="false">IF(الإجابات!AB44=الإجابات!AB$2,1,0)</f>
        <v>0</v>
      </c>
      <c r="AC44" s="9" t="n">
        <f aca="false">IF(الإجابات!AC44=الإجابات!AC$2,1,0)</f>
        <v>0</v>
      </c>
      <c r="AD44" s="9" t="n">
        <f aca="false">IF(الإجابات!AD44=الإجابات!AD$2,1,0)</f>
        <v>0</v>
      </c>
      <c r="AE44" s="9" t="n">
        <f aca="false">IF(الإجابات!AE44=الإجابات!AE$2,1,0)</f>
        <v>1</v>
      </c>
      <c r="AF44" s="9" t="n">
        <f aca="false">SUM(B44:AE44)</f>
        <v>14</v>
      </c>
    </row>
    <row r="45" customFormat="false" ht="15" hidden="false" customHeight="false" outlineLevel="0" collapsed="false">
      <c r="A45" s="0" t="str">
        <f aca="false">الإجابات!A45</f>
        <v>S043</v>
      </c>
      <c r="B45" s="9" t="n">
        <f aca="false">IF(الإجابات!B45=الإجابات!B$2,1,0)</f>
        <v>0</v>
      </c>
      <c r="C45" s="9" t="n">
        <f aca="false">IF(الإجابات!C45=الإجابات!C$2,1,0)</f>
        <v>0</v>
      </c>
      <c r="D45" s="9" t="n">
        <f aca="false">IF(الإجابات!D45=الإجابات!D$2,1,0)</f>
        <v>0</v>
      </c>
      <c r="E45" s="9" t="n">
        <f aca="false">IF(الإجابات!E45=الإجابات!E$2,1,0)</f>
        <v>0</v>
      </c>
      <c r="F45" s="9" t="n">
        <f aca="false">IF(الإجابات!F45=الإجابات!F$2,1,0)</f>
        <v>0</v>
      </c>
      <c r="G45" s="9" t="n">
        <f aca="false">IF(الإجابات!G45=الإجابات!G$2,1,0)</f>
        <v>0</v>
      </c>
      <c r="H45" s="9" t="n">
        <f aca="false">IF(الإجابات!H45=الإجابات!H$2,1,0)</f>
        <v>0</v>
      </c>
      <c r="I45" s="9" t="n">
        <f aca="false">IF(الإجابات!I45=الإجابات!I$2,1,0)</f>
        <v>0</v>
      </c>
      <c r="J45" s="9" t="n">
        <f aca="false">IF(الإجابات!J45=الإجابات!J$2,1,0)</f>
        <v>1</v>
      </c>
      <c r="K45" s="9" t="n">
        <f aca="false">IF(الإجابات!K45=الإجابات!K$2,1,0)</f>
        <v>1</v>
      </c>
      <c r="L45" s="9" t="n">
        <f aca="false">IF(الإجابات!L45=الإجابات!L$2,1,0)</f>
        <v>0</v>
      </c>
      <c r="M45" s="9" t="n">
        <f aca="false">IF(الإجابات!M45=الإجابات!M$2,1,0)</f>
        <v>1</v>
      </c>
      <c r="N45" s="9" t="n">
        <f aca="false">IF(الإجابات!N45=الإجابات!N$2,1,0)</f>
        <v>0</v>
      </c>
      <c r="O45" s="9" t="n">
        <f aca="false">IF(الإجابات!O45=الإجابات!O$2,1,0)</f>
        <v>0</v>
      </c>
      <c r="P45" s="9" t="n">
        <f aca="false">IF(الإجابات!P45=الإجابات!P$2,1,0)</f>
        <v>0</v>
      </c>
      <c r="Q45" s="9" t="n">
        <f aca="false">IF(الإجابات!Q45=الإجابات!Q$2,1,0)</f>
        <v>1</v>
      </c>
      <c r="R45" s="9" t="n">
        <f aca="false">IF(الإجابات!R45=الإجابات!R$2,1,0)</f>
        <v>0</v>
      </c>
      <c r="S45" s="9" t="n">
        <f aca="false">IF(الإجابات!S45=الإجابات!S$2,1,0)</f>
        <v>0</v>
      </c>
      <c r="T45" s="9" t="n">
        <f aca="false">IF(الإجابات!T45=الإجابات!T$2,1,0)</f>
        <v>1</v>
      </c>
      <c r="U45" s="9" t="n">
        <f aca="false">IF(الإجابات!U45=الإجابات!U$2,1,0)</f>
        <v>0</v>
      </c>
      <c r="V45" s="9" t="n">
        <f aca="false">IF(الإجابات!V45=الإجابات!V$2,1,0)</f>
        <v>0</v>
      </c>
      <c r="W45" s="9" t="n">
        <f aca="false">IF(الإجابات!W45=الإجابات!W$2,1,0)</f>
        <v>0</v>
      </c>
      <c r="X45" s="9" t="n">
        <f aca="false">IF(الإجابات!X45=الإجابات!X$2,1,0)</f>
        <v>1</v>
      </c>
      <c r="Y45" s="9" t="n">
        <f aca="false">IF(الإجابات!Y45=الإجابات!Y$2,1,0)</f>
        <v>0</v>
      </c>
      <c r="Z45" s="9" t="n">
        <f aca="false">IF(الإجابات!Z45=الإجابات!Z$2,1,0)</f>
        <v>0</v>
      </c>
      <c r="AA45" s="9" t="n">
        <f aca="false">IF(الإجابات!AA45=الإجابات!AA$2,1,0)</f>
        <v>0</v>
      </c>
      <c r="AB45" s="9" t="n">
        <f aca="false">IF(الإجابات!AB45=الإجابات!AB$2,1,0)</f>
        <v>0</v>
      </c>
      <c r="AC45" s="9" t="n">
        <f aca="false">IF(الإجابات!AC45=الإجابات!AC$2,1,0)</f>
        <v>0</v>
      </c>
      <c r="AD45" s="9" t="n">
        <f aca="false">IF(الإجابات!AD45=الإجابات!AD$2,1,0)</f>
        <v>1</v>
      </c>
      <c r="AE45" s="9" t="n">
        <f aca="false">IF(الإجابات!AE45=الإجابات!AE$2,1,0)</f>
        <v>0</v>
      </c>
      <c r="AF45" s="9" t="n">
        <f aca="false">SUM(B45:AE45)</f>
        <v>7</v>
      </c>
    </row>
    <row r="46" customFormat="false" ht="15" hidden="false" customHeight="false" outlineLevel="0" collapsed="false">
      <c r="A46" s="0" t="str">
        <f aca="false">الإجابات!A46</f>
        <v>S044</v>
      </c>
      <c r="B46" s="9" t="n">
        <f aca="false">IF(الإجابات!B46=الإجابات!B$2,1,0)</f>
        <v>1</v>
      </c>
      <c r="C46" s="9" t="n">
        <f aca="false">IF(الإجابات!C46=الإجابات!C$2,1,0)</f>
        <v>1</v>
      </c>
      <c r="D46" s="9" t="n">
        <f aca="false">IF(الإجابات!D46=الإجابات!D$2,1,0)</f>
        <v>1</v>
      </c>
      <c r="E46" s="9" t="n">
        <f aca="false">IF(الإجابات!E46=الإجابات!E$2,1,0)</f>
        <v>1</v>
      </c>
      <c r="F46" s="9" t="n">
        <f aca="false">IF(الإجابات!F46=الإجابات!F$2,1,0)</f>
        <v>0</v>
      </c>
      <c r="G46" s="9" t="n">
        <f aca="false">IF(الإجابات!G46=الإجابات!G$2,1,0)</f>
        <v>1</v>
      </c>
      <c r="H46" s="9" t="n">
        <f aca="false">IF(الإجابات!H46=الإجابات!H$2,1,0)</f>
        <v>0</v>
      </c>
      <c r="I46" s="9" t="n">
        <f aca="false">IF(الإجابات!I46=الإجابات!I$2,1,0)</f>
        <v>1</v>
      </c>
      <c r="J46" s="9" t="n">
        <f aca="false">IF(الإجابات!J46=الإجابات!J$2,1,0)</f>
        <v>1</v>
      </c>
      <c r="K46" s="9" t="n">
        <f aca="false">IF(الإجابات!K46=الإجابات!K$2,1,0)</f>
        <v>1</v>
      </c>
      <c r="L46" s="9" t="n">
        <f aca="false">IF(الإجابات!L46=الإجابات!L$2,1,0)</f>
        <v>1</v>
      </c>
      <c r="M46" s="9" t="n">
        <f aca="false">IF(الإجابات!M46=الإجابات!M$2,1,0)</f>
        <v>1</v>
      </c>
      <c r="N46" s="9" t="n">
        <f aca="false">IF(الإجابات!N46=الإجابات!N$2,1,0)</f>
        <v>1</v>
      </c>
      <c r="O46" s="9" t="n">
        <f aca="false">IF(الإجابات!O46=الإجابات!O$2,1,0)</f>
        <v>1</v>
      </c>
      <c r="P46" s="9" t="n">
        <f aca="false">IF(الإجابات!P46=الإجابات!P$2,1,0)</f>
        <v>1</v>
      </c>
      <c r="Q46" s="9" t="n">
        <f aca="false">IF(الإجابات!Q46=الإجابات!Q$2,1,0)</f>
        <v>1</v>
      </c>
      <c r="R46" s="9" t="n">
        <f aca="false">IF(الإجابات!R46=الإجابات!R$2,1,0)</f>
        <v>1</v>
      </c>
      <c r="S46" s="9" t="n">
        <f aca="false">IF(الإجابات!S46=الإجابات!S$2,1,0)</f>
        <v>0</v>
      </c>
      <c r="T46" s="9" t="n">
        <f aca="false">IF(الإجابات!T46=الإجابات!T$2,1,0)</f>
        <v>1</v>
      </c>
      <c r="U46" s="9" t="n">
        <f aca="false">IF(الإجابات!U46=الإجابات!U$2,1,0)</f>
        <v>1</v>
      </c>
      <c r="V46" s="9" t="n">
        <f aca="false">IF(الإجابات!V46=الإجابات!V$2,1,0)</f>
        <v>1</v>
      </c>
      <c r="W46" s="9" t="n">
        <f aca="false">IF(الإجابات!W46=الإجابات!W$2,1,0)</f>
        <v>1</v>
      </c>
      <c r="X46" s="9" t="n">
        <f aca="false">IF(الإجابات!X46=الإجابات!X$2,1,0)</f>
        <v>1</v>
      </c>
      <c r="Y46" s="9" t="n">
        <f aca="false">IF(الإجابات!Y46=الإجابات!Y$2,1,0)</f>
        <v>1</v>
      </c>
      <c r="Z46" s="9" t="n">
        <f aca="false">IF(الإجابات!Z46=الإجابات!Z$2,1,0)</f>
        <v>1</v>
      </c>
      <c r="AA46" s="9" t="n">
        <f aca="false">IF(الإجابات!AA46=الإجابات!AA$2,1,0)</f>
        <v>1</v>
      </c>
      <c r="AB46" s="9" t="n">
        <f aca="false">IF(الإجابات!AB46=الإجابات!AB$2,1,0)</f>
        <v>0</v>
      </c>
      <c r="AC46" s="9" t="n">
        <f aca="false">IF(الإجابات!AC46=الإجابات!AC$2,1,0)</f>
        <v>1</v>
      </c>
      <c r="AD46" s="9" t="n">
        <f aca="false">IF(الإجابات!AD46=الإجابات!AD$2,1,0)</f>
        <v>1</v>
      </c>
      <c r="AE46" s="9" t="n">
        <f aca="false">IF(الإجابات!AE46=الإجابات!AE$2,1,0)</f>
        <v>1</v>
      </c>
      <c r="AF46" s="9" t="n">
        <f aca="false">SUM(B46:AE46)</f>
        <v>26</v>
      </c>
    </row>
    <row r="47" customFormat="false" ht="15" hidden="false" customHeight="false" outlineLevel="0" collapsed="false">
      <c r="A47" s="0" t="str">
        <f aca="false">الإجابات!A47</f>
        <v>S045</v>
      </c>
      <c r="B47" s="9" t="n">
        <f aca="false">IF(الإجابات!B47=الإجابات!B$2,1,0)</f>
        <v>1</v>
      </c>
      <c r="C47" s="9" t="n">
        <f aca="false">IF(الإجابات!C47=الإجابات!C$2,1,0)</f>
        <v>0</v>
      </c>
      <c r="D47" s="9" t="n">
        <f aca="false">IF(الإجابات!D47=الإجابات!D$2,1,0)</f>
        <v>0</v>
      </c>
      <c r="E47" s="9" t="n">
        <f aca="false">IF(الإجابات!E47=الإجابات!E$2,1,0)</f>
        <v>1</v>
      </c>
      <c r="F47" s="9" t="n">
        <f aca="false">IF(الإجابات!F47=الإجابات!F$2,1,0)</f>
        <v>0</v>
      </c>
      <c r="G47" s="9" t="n">
        <f aca="false">IF(الإجابات!G47=الإجابات!G$2,1,0)</f>
        <v>1</v>
      </c>
      <c r="H47" s="9" t="n">
        <f aca="false">IF(الإجابات!H47=الإجابات!H$2,1,0)</f>
        <v>0</v>
      </c>
      <c r="I47" s="9" t="n">
        <f aca="false">IF(الإجابات!I47=الإجابات!I$2,1,0)</f>
        <v>1</v>
      </c>
      <c r="J47" s="9" t="n">
        <f aca="false">IF(الإجابات!J47=الإجابات!J$2,1,0)</f>
        <v>1</v>
      </c>
      <c r="K47" s="9" t="n">
        <f aca="false">IF(الإجابات!K47=الإجابات!K$2,1,0)</f>
        <v>1</v>
      </c>
      <c r="L47" s="9" t="n">
        <f aca="false">IF(الإجابات!L47=الإجابات!L$2,1,0)</f>
        <v>1</v>
      </c>
      <c r="M47" s="9" t="n">
        <f aca="false">IF(الإجابات!M47=الإجابات!M$2,1,0)</f>
        <v>1</v>
      </c>
      <c r="N47" s="9" t="n">
        <f aca="false">IF(الإجابات!N47=الإجابات!N$2,1,0)</f>
        <v>1</v>
      </c>
      <c r="O47" s="9" t="n">
        <f aca="false">IF(الإجابات!O47=الإجابات!O$2,1,0)</f>
        <v>1</v>
      </c>
      <c r="P47" s="9" t="n">
        <f aca="false">IF(الإجابات!P47=الإجابات!P$2,1,0)</f>
        <v>0</v>
      </c>
      <c r="Q47" s="9" t="n">
        <f aca="false">IF(الإجابات!Q47=الإجابات!Q$2,1,0)</f>
        <v>1</v>
      </c>
      <c r="R47" s="9" t="n">
        <f aca="false">IF(الإجابات!R47=الإجابات!R$2,1,0)</f>
        <v>1</v>
      </c>
      <c r="S47" s="9" t="n">
        <f aca="false">IF(الإجابات!S47=الإجابات!S$2,1,0)</f>
        <v>1</v>
      </c>
      <c r="T47" s="9" t="n">
        <f aca="false">IF(الإجابات!T47=الإجابات!T$2,1,0)</f>
        <v>1</v>
      </c>
      <c r="U47" s="9" t="n">
        <f aca="false">IF(الإجابات!U47=الإجابات!U$2,1,0)</f>
        <v>1</v>
      </c>
      <c r="V47" s="9" t="n">
        <f aca="false">IF(الإجابات!V47=الإجابات!V$2,1,0)</f>
        <v>0</v>
      </c>
      <c r="W47" s="9" t="n">
        <f aca="false">IF(الإجابات!W47=الإجابات!W$2,1,0)</f>
        <v>1</v>
      </c>
      <c r="X47" s="9" t="n">
        <f aca="false">IF(الإجابات!X47=الإجابات!X$2,1,0)</f>
        <v>1</v>
      </c>
      <c r="Y47" s="9" t="n">
        <f aca="false">IF(الإجابات!Y47=الإجابات!Y$2,1,0)</f>
        <v>1</v>
      </c>
      <c r="Z47" s="9" t="n">
        <f aca="false">IF(الإجابات!Z47=الإجابات!Z$2,1,0)</f>
        <v>1</v>
      </c>
      <c r="AA47" s="9" t="n">
        <f aca="false">IF(الإجابات!AA47=الإجابات!AA$2,1,0)</f>
        <v>0</v>
      </c>
      <c r="AB47" s="9" t="n">
        <f aca="false">IF(الإجابات!AB47=الإجابات!AB$2,1,0)</f>
        <v>0</v>
      </c>
      <c r="AC47" s="9" t="n">
        <f aca="false">IF(الإجابات!AC47=الإجابات!AC$2,1,0)</f>
        <v>1</v>
      </c>
      <c r="AD47" s="9" t="n">
        <f aca="false">IF(الإجابات!AD47=الإجابات!AD$2,1,0)</f>
        <v>0</v>
      </c>
      <c r="AE47" s="9" t="n">
        <f aca="false">IF(الإجابات!AE47=الإجابات!AE$2,1,0)</f>
        <v>1</v>
      </c>
      <c r="AF47" s="9" t="n">
        <f aca="false">SUM(B47:AE47)</f>
        <v>21</v>
      </c>
    </row>
    <row r="48" customFormat="false" ht="15" hidden="false" customHeight="false" outlineLevel="0" collapsed="false">
      <c r="A48" s="0" t="str">
        <f aca="false">الإجابات!A48</f>
        <v>S046</v>
      </c>
      <c r="B48" s="9" t="n">
        <f aca="false">IF(الإجابات!B48=الإجابات!B$2,1,0)</f>
        <v>1</v>
      </c>
      <c r="C48" s="9" t="n">
        <f aca="false">IF(الإجابات!C48=الإجابات!C$2,1,0)</f>
        <v>0</v>
      </c>
      <c r="D48" s="9" t="n">
        <f aca="false">IF(الإجابات!D48=الإجابات!D$2,1,0)</f>
        <v>1</v>
      </c>
      <c r="E48" s="9" t="n">
        <f aca="false">IF(الإجابات!E48=الإجابات!E$2,1,0)</f>
        <v>1</v>
      </c>
      <c r="F48" s="9" t="n">
        <f aca="false">IF(الإجابات!F48=الإجابات!F$2,1,0)</f>
        <v>0</v>
      </c>
      <c r="G48" s="9" t="n">
        <f aca="false">IF(الإجابات!G48=الإجابات!G$2,1,0)</f>
        <v>0</v>
      </c>
      <c r="H48" s="9" t="n">
        <f aca="false">IF(الإجابات!H48=الإجابات!H$2,1,0)</f>
        <v>1</v>
      </c>
      <c r="I48" s="9" t="n">
        <f aca="false">IF(الإجابات!I48=الإجابات!I$2,1,0)</f>
        <v>1</v>
      </c>
      <c r="J48" s="9" t="n">
        <f aca="false">IF(الإجابات!J48=الإجابات!J$2,1,0)</f>
        <v>1</v>
      </c>
      <c r="K48" s="9" t="n">
        <f aca="false">IF(الإجابات!K48=الإجابات!K$2,1,0)</f>
        <v>1</v>
      </c>
      <c r="L48" s="9" t="n">
        <f aca="false">IF(الإجابات!L48=الإجابات!L$2,1,0)</f>
        <v>1</v>
      </c>
      <c r="M48" s="9" t="n">
        <f aca="false">IF(الإجابات!M48=الإجابات!M$2,1,0)</f>
        <v>1</v>
      </c>
      <c r="N48" s="9" t="n">
        <f aca="false">IF(الإجابات!N48=الإجابات!N$2,1,0)</f>
        <v>1</v>
      </c>
      <c r="O48" s="9" t="n">
        <f aca="false">IF(الإجابات!O48=الإجابات!O$2,1,0)</f>
        <v>1</v>
      </c>
      <c r="P48" s="9" t="n">
        <f aca="false">IF(الإجابات!P48=الإجابات!P$2,1,0)</f>
        <v>0</v>
      </c>
      <c r="Q48" s="9" t="n">
        <f aca="false">IF(الإجابات!Q48=الإجابات!Q$2,1,0)</f>
        <v>1</v>
      </c>
      <c r="R48" s="9" t="n">
        <f aca="false">IF(الإجابات!R48=الإجابات!R$2,1,0)</f>
        <v>1</v>
      </c>
      <c r="S48" s="9" t="n">
        <f aca="false">IF(الإجابات!S48=الإجابات!S$2,1,0)</f>
        <v>1</v>
      </c>
      <c r="T48" s="9" t="n">
        <f aca="false">IF(الإجابات!T48=الإجابات!T$2,1,0)</f>
        <v>0</v>
      </c>
      <c r="U48" s="9" t="n">
        <f aca="false">IF(الإجابات!U48=الإجابات!U$2,1,0)</f>
        <v>1</v>
      </c>
      <c r="V48" s="9" t="n">
        <f aca="false">IF(الإجابات!V48=الإجابات!V$2,1,0)</f>
        <v>1</v>
      </c>
      <c r="W48" s="9" t="n">
        <f aca="false">IF(الإجابات!W48=الإجابات!W$2,1,0)</f>
        <v>0</v>
      </c>
      <c r="X48" s="9" t="n">
        <f aca="false">IF(الإجابات!X48=الإجابات!X$2,1,0)</f>
        <v>1</v>
      </c>
      <c r="Y48" s="9" t="n">
        <f aca="false">IF(الإجابات!Y48=الإجابات!Y$2,1,0)</f>
        <v>0</v>
      </c>
      <c r="Z48" s="9" t="n">
        <f aca="false">IF(الإجابات!Z48=الإجابات!Z$2,1,0)</f>
        <v>1</v>
      </c>
      <c r="AA48" s="9" t="n">
        <f aca="false">IF(الإجابات!AA48=الإجابات!AA$2,1,0)</f>
        <v>1</v>
      </c>
      <c r="AB48" s="9" t="n">
        <f aca="false">IF(الإجابات!AB48=الإجابات!AB$2,1,0)</f>
        <v>1</v>
      </c>
      <c r="AC48" s="9" t="n">
        <f aca="false">IF(الإجابات!AC48=الإجابات!AC$2,1,0)</f>
        <v>1</v>
      </c>
      <c r="AD48" s="9" t="n">
        <f aca="false">IF(الإجابات!AD48=الإجابات!AD$2,1,0)</f>
        <v>1</v>
      </c>
      <c r="AE48" s="9" t="n">
        <f aca="false">IF(الإجابات!AE48=الإجابات!AE$2,1,0)</f>
        <v>1</v>
      </c>
      <c r="AF48" s="9" t="n">
        <f aca="false">SUM(B48:AE48)</f>
        <v>23</v>
      </c>
    </row>
    <row r="49" customFormat="false" ht="15" hidden="false" customHeight="false" outlineLevel="0" collapsed="false">
      <c r="A49" s="0" t="str">
        <f aca="false">الإجابات!A49</f>
        <v>S047</v>
      </c>
      <c r="B49" s="9" t="n">
        <f aca="false">IF(الإجابات!B49=الإجابات!B$2,1,0)</f>
        <v>1</v>
      </c>
      <c r="C49" s="9" t="n">
        <f aca="false">IF(الإجابات!C49=الإجابات!C$2,1,0)</f>
        <v>1</v>
      </c>
      <c r="D49" s="9" t="n">
        <f aca="false">IF(الإجابات!D49=الإجابات!D$2,1,0)</f>
        <v>1</v>
      </c>
      <c r="E49" s="9" t="n">
        <f aca="false">IF(الإجابات!E49=الإجابات!E$2,1,0)</f>
        <v>1</v>
      </c>
      <c r="F49" s="9" t="n">
        <f aca="false">IF(الإجابات!F49=الإجابات!F$2,1,0)</f>
        <v>1</v>
      </c>
      <c r="G49" s="9" t="n">
        <f aca="false">IF(الإجابات!G49=الإجابات!G$2,1,0)</f>
        <v>1</v>
      </c>
      <c r="H49" s="9" t="n">
        <f aca="false">IF(الإجابات!H49=الإجابات!H$2,1,0)</f>
        <v>0</v>
      </c>
      <c r="I49" s="9" t="n">
        <f aca="false">IF(الإجابات!I49=الإجابات!I$2,1,0)</f>
        <v>1</v>
      </c>
      <c r="J49" s="9" t="n">
        <f aca="false">IF(الإجابات!J49=الإجابات!J$2,1,0)</f>
        <v>1</v>
      </c>
      <c r="K49" s="9" t="n">
        <f aca="false">IF(الإجابات!K49=الإجابات!K$2,1,0)</f>
        <v>1</v>
      </c>
      <c r="L49" s="9" t="n">
        <f aca="false">IF(الإجابات!L49=الإجابات!L$2,1,0)</f>
        <v>1</v>
      </c>
      <c r="M49" s="9" t="n">
        <f aca="false">IF(الإجابات!M49=الإجابات!M$2,1,0)</f>
        <v>1</v>
      </c>
      <c r="N49" s="9" t="n">
        <f aca="false">IF(الإجابات!N49=الإجابات!N$2,1,0)</f>
        <v>1</v>
      </c>
      <c r="O49" s="9" t="n">
        <f aca="false">IF(الإجابات!O49=الإجابات!O$2,1,0)</f>
        <v>1</v>
      </c>
      <c r="P49" s="9" t="n">
        <f aca="false">IF(الإجابات!P49=الإجابات!P$2,1,0)</f>
        <v>0</v>
      </c>
      <c r="Q49" s="9" t="n">
        <f aca="false">IF(الإجابات!Q49=الإجابات!Q$2,1,0)</f>
        <v>1</v>
      </c>
      <c r="R49" s="9" t="n">
        <f aca="false">IF(الإجابات!R49=الإجابات!R$2,1,0)</f>
        <v>1</v>
      </c>
      <c r="S49" s="9" t="n">
        <f aca="false">IF(الإجابات!S49=الإجابات!S$2,1,0)</f>
        <v>0</v>
      </c>
      <c r="T49" s="9" t="n">
        <f aca="false">IF(الإجابات!T49=الإجابات!T$2,1,0)</f>
        <v>1</v>
      </c>
      <c r="U49" s="9" t="n">
        <f aca="false">IF(الإجابات!U49=الإجابات!U$2,1,0)</f>
        <v>1</v>
      </c>
      <c r="V49" s="9" t="n">
        <f aca="false">IF(الإجابات!V49=الإجابات!V$2,1,0)</f>
        <v>1</v>
      </c>
      <c r="W49" s="9" t="n">
        <f aca="false">IF(الإجابات!W49=الإجابات!W$2,1,0)</f>
        <v>1</v>
      </c>
      <c r="X49" s="9" t="n">
        <f aca="false">IF(الإجابات!X49=الإجابات!X$2,1,0)</f>
        <v>1</v>
      </c>
      <c r="Y49" s="9" t="n">
        <f aca="false">IF(الإجابات!Y49=الإجابات!Y$2,1,0)</f>
        <v>1</v>
      </c>
      <c r="Z49" s="9" t="n">
        <f aca="false">IF(الإجابات!Z49=الإجابات!Z$2,1,0)</f>
        <v>1</v>
      </c>
      <c r="AA49" s="9" t="n">
        <f aca="false">IF(الإجابات!AA49=الإجابات!AA$2,1,0)</f>
        <v>1</v>
      </c>
      <c r="AB49" s="9" t="n">
        <f aca="false">IF(الإجابات!AB49=الإجابات!AB$2,1,0)</f>
        <v>0</v>
      </c>
      <c r="AC49" s="9" t="n">
        <f aca="false">IF(الإجابات!AC49=الإجابات!AC$2,1,0)</f>
        <v>1</v>
      </c>
      <c r="AD49" s="9" t="n">
        <f aca="false">IF(الإجابات!AD49=الإجابات!AD$2,1,0)</f>
        <v>1</v>
      </c>
      <c r="AE49" s="9" t="n">
        <f aca="false">IF(الإجابات!AE49=الإجابات!AE$2,1,0)</f>
        <v>1</v>
      </c>
      <c r="AF49" s="9" t="n">
        <f aca="false">SUM(B49:AE49)</f>
        <v>26</v>
      </c>
    </row>
    <row r="50" customFormat="false" ht="15" hidden="false" customHeight="false" outlineLevel="0" collapsed="false">
      <c r="A50" s="0" t="str">
        <f aca="false">الإجابات!A50</f>
        <v>S048</v>
      </c>
      <c r="B50" s="9" t="n">
        <f aca="false">IF(الإجابات!B50=الإجابات!B$2,1,0)</f>
        <v>1</v>
      </c>
      <c r="C50" s="9" t="n">
        <f aca="false">IF(الإجابات!C50=الإجابات!C$2,1,0)</f>
        <v>0</v>
      </c>
      <c r="D50" s="9" t="n">
        <f aca="false">IF(الإجابات!D50=الإجابات!D$2,1,0)</f>
        <v>0</v>
      </c>
      <c r="E50" s="9" t="n">
        <f aca="false">IF(الإجابات!E50=الإجابات!E$2,1,0)</f>
        <v>1</v>
      </c>
      <c r="F50" s="9" t="n">
        <f aca="false">IF(الإجابات!F50=الإجابات!F$2,1,0)</f>
        <v>0</v>
      </c>
      <c r="G50" s="9" t="n">
        <f aca="false">IF(الإجابات!G50=الإجابات!G$2,1,0)</f>
        <v>0</v>
      </c>
      <c r="H50" s="9" t="n">
        <f aca="false">IF(الإجابات!H50=الإجابات!H$2,1,0)</f>
        <v>1</v>
      </c>
      <c r="I50" s="9" t="n">
        <f aca="false">IF(الإجابات!I50=الإجابات!I$2,1,0)</f>
        <v>0</v>
      </c>
      <c r="J50" s="9" t="n">
        <f aca="false">IF(الإجابات!J50=الإجابات!J$2,1,0)</f>
        <v>0</v>
      </c>
      <c r="K50" s="9" t="n">
        <f aca="false">IF(الإجابات!K50=الإجابات!K$2,1,0)</f>
        <v>0</v>
      </c>
      <c r="L50" s="9" t="n">
        <f aca="false">IF(الإجابات!L50=الإجابات!L$2,1,0)</f>
        <v>0</v>
      </c>
      <c r="M50" s="9" t="n">
        <f aca="false">IF(الإجابات!M50=الإجابات!M$2,1,0)</f>
        <v>1</v>
      </c>
      <c r="N50" s="9" t="n">
        <f aca="false">IF(الإجابات!N50=الإجابات!N$2,1,0)</f>
        <v>0</v>
      </c>
      <c r="O50" s="9" t="n">
        <f aca="false">IF(الإجابات!O50=الإجابات!O$2,1,0)</f>
        <v>0</v>
      </c>
      <c r="P50" s="9" t="n">
        <f aca="false">IF(الإجابات!P50=الإجابات!P$2,1,0)</f>
        <v>0</v>
      </c>
      <c r="Q50" s="9" t="n">
        <f aca="false">IF(الإجابات!Q50=الإجابات!Q$2,1,0)</f>
        <v>0</v>
      </c>
      <c r="R50" s="9" t="n">
        <f aca="false">IF(الإجابات!R50=الإجابات!R$2,1,0)</f>
        <v>1</v>
      </c>
      <c r="S50" s="9" t="n">
        <f aca="false">IF(الإجابات!S50=الإجابات!S$2,1,0)</f>
        <v>0</v>
      </c>
      <c r="T50" s="9" t="n">
        <f aca="false">IF(الإجابات!T50=الإجابات!T$2,1,0)</f>
        <v>0</v>
      </c>
      <c r="U50" s="9" t="n">
        <f aca="false">IF(الإجابات!U50=الإجابات!U$2,1,0)</f>
        <v>0</v>
      </c>
      <c r="V50" s="9" t="n">
        <f aca="false">IF(الإجابات!V50=الإجابات!V$2,1,0)</f>
        <v>0</v>
      </c>
      <c r="W50" s="9" t="n">
        <f aca="false">IF(الإجابات!W50=الإجابات!W$2,1,0)</f>
        <v>0</v>
      </c>
      <c r="X50" s="9" t="n">
        <f aca="false">IF(الإجابات!X50=الإجابات!X$2,1,0)</f>
        <v>0</v>
      </c>
      <c r="Y50" s="9" t="n">
        <f aca="false">IF(الإجابات!Y50=الإجابات!Y$2,1,0)</f>
        <v>0</v>
      </c>
      <c r="Z50" s="9" t="n">
        <f aca="false">IF(الإجابات!Z50=الإجابات!Z$2,1,0)</f>
        <v>1</v>
      </c>
      <c r="AA50" s="9" t="n">
        <f aca="false">IF(الإجابات!AA50=الإجابات!AA$2,1,0)</f>
        <v>0</v>
      </c>
      <c r="AB50" s="9" t="n">
        <f aca="false">IF(الإجابات!AB50=الإجابات!AB$2,1,0)</f>
        <v>0</v>
      </c>
      <c r="AC50" s="9" t="n">
        <f aca="false">IF(الإجابات!AC50=الإجابات!AC$2,1,0)</f>
        <v>1</v>
      </c>
      <c r="AD50" s="9" t="n">
        <f aca="false">IF(الإجابات!AD50=الإجابات!AD$2,1,0)</f>
        <v>0</v>
      </c>
      <c r="AE50" s="9" t="n">
        <f aca="false">IF(الإجابات!AE50=الإجابات!AE$2,1,0)</f>
        <v>0</v>
      </c>
      <c r="AF50" s="9" t="n">
        <f aca="false">SUM(B50:AE50)</f>
        <v>7</v>
      </c>
    </row>
    <row r="51" customFormat="false" ht="15" hidden="false" customHeight="false" outlineLevel="0" collapsed="false">
      <c r="A51" s="0" t="str">
        <f aca="false">الإجابات!A51</f>
        <v>S049</v>
      </c>
      <c r="B51" s="9" t="n">
        <f aca="false">IF(الإجابات!B51=الإجابات!B$2,1,0)</f>
        <v>1</v>
      </c>
      <c r="C51" s="9" t="n">
        <f aca="false">IF(الإجابات!C51=الإجابات!C$2,1,0)</f>
        <v>1</v>
      </c>
      <c r="D51" s="9" t="n">
        <f aca="false">IF(الإجابات!D51=الإجابات!D$2,1,0)</f>
        <v>1</v>
      </c>
      <c r="E51" s="9" t="n">
        <f aca="false">IF(الإجابات!E51=الإجابات!E$2,1,0)</f>
        <v>1</v>
      </c>
      <c r="F51" s="9" t="n">
        <f aca="false">IF(الإجابات!F51=الإجابات!F$2,1,0)</f>
        <v>1</v>
      </c>
      <c r="G51" s="9" t="n">
        <f aca="false">IF(الإجابات!G51=الإجابات!G$2,1,0)</f>
        <v>1</v>
      </c>
      <c r="H51" s="9" t="n">
        <f aca="false">IF(الإجابات!H51=الإجابات!H$2,1,0)</f>
        <v>0</v>
      </c>
      <c r="I51" s="9" t="n">
        <f aca="false">IF(الإجابات!I51=الإجابات!I$2,1,0)</f>
        <v>1</v>
      </c>
      <c r="J51" s="9" t="n">
        <f aca="false">IF(الإجابات!J51=الإجابات!J$2,1,0)</f>
        <v>1</v>
      </c>
      <c r="K51" s="9" t="n">
        <f aca="false">IF(الإجابات!K51=الإجابات!K$2,1,0)</f>
        <v>1</v>
      </c>
      <c r="L51" s="9" t="n">
        <f aca="false">IF(الإجابات!L51=الإجابات!L$2,1,0)</f>
        <v>1</v>
      </c>
      <c r="M51" s="9" t="n">
        <f aca="false">IF(الإجابات!M51=الإجابات!M$2,1,0)</f>
        <v>1</v>
      </c>
      <c r="N51" s="9" t="n">
        <f aca="false">IF(الإجابات!N51=الإجابات!N$2,1,0)</f>
        <v>1</v>
      </c>
      <c r="O51" s="9" t="n">
        <f aca="false">IF(الإجابات!O51=الإجابات!O$2,1,0)</f>
        <v>1</v>
      </c>
      <c r="P51" s="9" t="n">
        <f aca="false">IF(الإجابات!P51=الإجابات!P$2,1,0)</f>
        <v>1</v>
      </c>
      <c r="Q51" s="9" t="n">
        <f aca="false">IF(الإجابات!Q51=الإجابات!Q$2,1,0)</f>
        <v>1</v>
      </c>
      <c r="R51" s="9" t="n">
        <f aca="false">IF(الإجابات!R51=الإجابات!R$2,1,0)</f>
        <v>1</v>
      </c>
      <c r="S51" s="9" t="n">
        <f aca="false">IF(الإجابات!S51=الإجابات!S$2,1,0)</f>
        <v>0</v>
      </c>
      <c r="T51" s="9" t="n">
        <f aca="false">IF(الإجابات!T51=الإجابات!T$2,1,0)</f>
        <v>1</v>
      </c>
      <c r="U51" s="9" t="n">
        <f aca="false">IF(الإجابات!U51=الإجابات!U$2,1,0)</f>
        <v>1</v>
      </c>
      <c r="V51" s="9" t="n">
        <f aca="false">IF(الإجابات!V51=الإجابات!V$2,1,0)</f>
        <v>1</v>
      </c>
      <c r="W51" s="9" t="n">
        <f aca="false">IF(الإجابات!W51=الإجابات!W$2,1,0)</f>
        <v>1</v>
      </c>
      <c r="X51" s="9" t="n">
        <f aca="false">IF(الإجابات!X51=الإجابات!X$2,1,0)</f>
        <v>1</v>
      </c>
      <c r="Y51" s="9" t="n">
        <f aca="false">IF(الإجابات!Y51=الإجابات!Y$2,1,0)</f>
        <v>1</v>
      </c>
      <c r="Z51" s="9" t="n">
        <f aca="false">IF(الإجابات!Z51=الإجابات!Z$2,1,0)</f>
        <v>1</v>
      </c>
      <c r="AA51" s="9" t="n">
        <f aca="false">IF(الإجابات!AA51=الإجابات!AA$2,1,0)</f>
        <v>1</v>
      </c>
      <c r="AB51" s="9" t="n">
        <f aca="false">IF(الإجابات!AB51=الإجابات!AB$2,1,0)</f>
        <v>0</v>
      </c>
      <c r="AC51" s="9" t="n">
        <f aca="false">IF(الإجابات!AC51=الإجابات!AC$2,1,0)</f>
        <v>1</v>
      </c>
      <c r="AD51" s="9" t="n">
        <f aca="false">IF(الإجابات!AD51=الإجابات!AD$2,1,0)</f>
        <v>1</v>
      </c>
      <c r="AE51" s="9" t="n">
        <f aca="false">IF(الإجابات!AE51=الإجابات!AE$2,1,0)</f>
        <v>1</v>
      </c>
      <c r="AF51" s="9" t="n">
        <f aca="false">SUM(B51:AE51)</f>
        <v>27</v>
      </c>
    </row>
    <row r="52" customFormat="false" ht="15" hidden="false" customHeight="false" outlineLevel="0" collapsed="false">
      <c r="A52" s="0" t="str">
        <f aca="false">الإجابات!A52</f>
        <v>S050</v>
      </c>
      <c r="B52" s="9" t="n">
        <f aca="false">IF(الإجابات!B52=الإجابات!B$2,1,0)</f>
        <v>1</v>
      </c>
      <c r="C52" s="9" t="n">
        <f aca="false">IF(الإجابات!C52=الإجابات!C$2,1,0)</f>
        <v>1</v>
      </c>
      <c r="D52" s="9" t="n">
        <f aca="false">IF(الإجابات!D52=الإجابات!D$2,1,0)</f>
        <v>1</v>
      </c>
      <c r="E52" s="9" t="n">
        <f aca="false">IF(الإجابات!E52=الإجابات!E$2,1,0)</f>
        <v>1</v>
      </c>
      <c r="F52" s="9" t="n">
        <f aca="false">IF(الإجابات!F52=الإجابات!F$2,1,0)</f>
        <v>1</v>
      </c>
      <c r="G52" s="9" t="n">
        <f aca="false">IF(الإجابات!G52=الإجابات!G$2,1,0)</f>
        <v>1</v>
      </c>
      <c r="H52" s="9" t="n">
        <f aca="false">IF(الإجابات!H52=الإجابات!H$2,1,0)</f>
        <v>0</v>
      </c>
      <c r="I52" s="9" t="n">
        <f aca="false">IF(الإجابات!I52=الإجابات!I$2,1,0)</f>
        <v>1</v>
      </c>
      <c r="J52" s="9" t="n">
        <f aca="false">IF(الإجابات!J52=الإجابات!J$2,1,0)</f>
        <v>1</v>
      </c>
      <c r="K52" s="9" t="n">
        <f aca="false">IF(الإجابات!K52=الإجابات!K$2,1,0)</f>
        <v>1</v>
      </c>
      <c r="L52" s="9" t="n">
        <f aca="false">IF(الإجابات!L52=الإجابات!L$2,1,0)</f>
        <v>1</v>
      </c>
      <c r="M52" s="9" t="n">
        <f aca="false">IF(الإجابات!M52=الإجابات!M$2,1,0)</f>
        <v>1</v>
      </c>
      <c r="N52" s="9" t="n">
        <f aca="false">IF(الإجابات!N52=الإجابات!N$2,1,0)</f>
        <v>1</v>
      </c>
      <c r="O52" s="9" t="n">
        <f aca="false">IF(الإجابات!O52=الإجابات!O$2,1,0)</f>
        <v>1</v>
      </c>
      <c r="P52" s="9" t="n">
        <f aca="false">IF(الإجابات!P52=الإجابات!P$2,1,0)</f>
        <v>0</v>
      </c>
      <c r="Q52" s="9" t="n">
        <f aca="false">IF(الإجابات!Q52=الإجابات!Q$2,1,0)</f>
        <v>1</v>
      </c>
      <c r="R52" s="9" t="n">
        <f aca="false">IF(الإجابات!R52=الإجابات!R$2,1,0)</f>
        <v>1</v>
      </c>
      <c r="S52" s="9" t="n">
        <f aca="false">IF(الإجابات!S52=الإجابات!S$2,1,0)</f>
        <v>0</v>
      </c>
      <c r="T52" s="9" t="n">
        <f aca="false">IF(الإجابات!T52=الإجابات!T$2,1,0)</f>
        <v>1</v>
      </c>
      <c r="U52" s="9" t="n">
        <f aca="false">IF(الإجابات!U52=الإجابات!U$2,1,0)</f>
        <v>1</v>
      </c>
      <c r="V52" s="9" t="n">
        <f aca="false">IF(الإجابات!V52=الإجابات!V$2,1,0)</f>
        <v>1</v>
      </c>
      <c r="W52" s="9" t="n">
        <f aca="false">IF(الإجابات!W52=الإجابات!W$2,1,0)</f>
        <v>1</v>
      </c>
      <c r="X52" s="9" t="n">
        <f aca="false">IF(الإجابات!X52=الإجابات!X$2,1,0)</f>
        <v>1</v>
      </c>
      <c r="Y52" s="9" t="n">
        <f aca="false">IF(الإجابات!Y52=الإجابات!Y$2,1,0)</f>
        <v>1</v>
      </c>
      <c r="Z52" s="9" t="n">
        <f aca="false">IF(الإجابات!Z52=الإجابات!Z$2,1,0)</f>
        <v>1</v>
      </c>
      <c r="AA52" s="9" t="n">
        <f aca="false">IF(الإجابات!AA52=الإجابات!AA$2,1,0)</f>
        <v>1</v>
      </c>
      <c r="AB52" s="9" t="n">
        <f aca="false">IF(الإجابات!AB52=الإجابات!AB$2,1,0)</f>
        <v>1</v>
      </c>
      <c r="AC52" s="9" t="n">
        <f aca="false">IF(الإجابات!AC52=الإجابات!AC$2,1,0)</f>
        <v>1</v>
      </c>
      <c r="AD52" s="9" t="n">
        <f aca="false">IF(الإجابات!AD52=الإجابات!AD$2,1,0)</f>
        <v>1</v>
      </c>
      <c r="AE52" s="9" t="n">
        <f aca="false">IF(الإجابات!AE52=الإجابات!AE$2,1,0)</f>
        <v>1</v>
      </c>
      <c r="AF52" s="9" t="n">
        <f aca="false">SUM(B52:AE52)</f>
        <v>27</v>
      </c>
    </row>
    <row r="53" customFormat="false" ht="15" hidden="false" customHeight="false" outlineLevel="0" collapsed="false">
      <c r="A53" s="0" t="str">
        <f aca="false">الإجابات!A53</f>
        <v>S051</v>
      </c>
      <c r="B53" s="9" t="n">
        <f aca="false">IF(الإجابات!B53=الإجابات!B$2,1,0)</f>
        <v>1</v>
      </c>
      <c r="C53" s="9" t="n">
        <f aca="false">IF(الإجابات!C53=الإجابات!C$2,1,0)</f>
        <v>1</v>
      </c>
      <c r="D53" s="9" t="n">
        <f aca="false">IF(الإجابات!D53=الإجابات!D$2,1,0)</f>
        <v>1</v>
      </c>
      <c r="E53" s="9" t="n">
        <f aca="false">IF(الإجابات!E53=الإجابات!E$2,1,0)</f>
        <v>1</v>
      </c>
      <c r="F53" s="9" t="n">
        <f aca="false">IF(الإجابات!F53=الإجابات!F$2,1,0)</f>
        <v>1</v>
      </c>
      <c r="G53" s="9" t="n">
        <f aca="false">IF(الإجابات!G53=الإجابات!G$2,1,0)</f>
        <v>1</v>
      </c>
      <c r="H53" s="9" t="n">
        <f aca="false">IF(الإجابات!H53=الإجابات!H$2,1,0)</f>
        <v>0</v>
      </c>
      <c r="I53" s="9" t="n">
        <f aca="false">IF(الإجابات!I53=الإجابات!I$2,1,0)</f>
        <v>1</v>
      </c>
      <c r="J53" s="9" t="n">
        <f aca="false">IF(الإجابات!J53=الإجابات!J$2,1,0)</f>
        <v>1</v>
      </c>
      <c r="K53" s="9" t="n">
        <f aca="false">IF(الإجابات!K53=الإجابات!K$2,1,0)</f>
        <v>1</v>
      </c>
      <c r="L53" s="9" t="n">
        <f aca="false">IF(الإجابات!L53=الإجابات!L$2,1,0)</f>
        <v>1</v>
      </c>
      <c r="M53" s="9" t="n">
        <f aca="false">IF(الإجابات!M53=الإجابات!M$2,1,0)</f>
        <v>1</v>
      </c>
      <c r="N53" s="9" t="n">
        <f aca="false">IF(الإجابات!N53=الإجابات!N$2,1,0)</f>
        <v>1</v>
      </c>
      <c r="O53" s="9" t="n">
        <f aca="false">IF(الإجابات!O53=الإجابات!O$2,1,0)</f>
        <v>1</v>
      </c>
      <c r="P53" s="9" t="n">
        <f aca="false">IF(الإجابات!P53=الإجابات!P$2,1,0)</f>
        <v>0</v>
      </c>
      <c r="Q53" s="9" t="n">
        <f aca="false">IF(الإجابات!Q53=الإجابات!Q$2,1,0)</f>
        <v>1</v>
      </c>
      <c r="R53" s="9" t="n">
        <f aca="false">IF(الإجابات!R53=الإجابات!R$2,1,0)</f>
        <v>1</v>
      </c>
      <c r="S53" s="9" t="n">
        <f aca="false">IF(الإجابات!S53=الإجابات!S$2,1,0)</f>
        <v>0</v>
      </c>
      <c r="T53" s="9" t="n">
        <f aca="false">IF(الإجابات!T53=الإجابات!T$2,1,0)</f>
        <v>1</v>
      </c>
      <c r="U53" s="9" t="n">
        <f aca="false">IF(الإجابات!U53=الإجابات!U$2,1,0)</f>
        <v>1</v>
      </c>
      <c r="V53" s="9" t="n">
        <f aca="false">IF(الإجابات!V53=الإجابات!V$2,1,0)</f>
        <v>1</v>
      </c>
      <c r="W53" s="9" t="n">
        <f aca="false">IF(الإجابات!W53=الإجابات!W$2,1,0)</f>
        <v>1</v>
      </c>
      <c r="X53" s="9" t="n">
        <f aca="false">IF(الإجابات!X53=الإجابات!X$2,1,0)</f>
        <v>1</v>
      </c>
      <c r="Y53" s="9" t="n">
        <f aca="false">IF(الإجابات!Y53=الإجابات!Y$2,1,0)</f>
        <v>1</v>
      </c>
      <c r="Z53" s="9" t="n">
        <f aca="false">IF(الإجابات!Z53=الإجابات!Z$2,1,0)</f>
        <v>1</v>
      </c>
      <c r="AA53" s="9" t="n">
        <f aca="false">IF(الإجابات!AA53=الإجابات!AA$2,1,0)</f>
        <v>1</v>
      </c>
      <c r="AB53" s="9" t="n">
        <f aca="false">IF(الإجابات!AB53=الإجابات!AB$2,1,0)</f>
        <v>1</v>
      </c>
      <c r="AC53" s="9" t="n">
        <f aca="false">IF(الإجابات!AC53=الإجابات!AC$2,1,0)</f>
        <v>1</v>
      </c>
      <c r="AD53" s="9" t="n">
        <f aca="false">IF(الإجابات!AD53=الإجابات!AD$2,1,0)</f>
        <v>1</v>
      </c>
      <c r="AE53" s="9" t="n">
        <f aca="false">IF(الإجابات!AE53=الإجابات!AE$2,1,0)</f>
        <v>1</v>
      </c>
      <c r="AF53" s="9" t="n">
        <f aca="false">SUM(B53:AE53)</f>
        <v>27</v>
      </c>
    </row>
    <row r="54" customFormat="false" ht="15" hidden="false" customHeight="false" outlineLevel="0" collapsed="false">
      <c r="A54" s="0" t="str">
        <f aca="false">الإجابات!A54</f>
        <v>S052</v>
      </c>
      <c r="B54" s="9" t="n">
        <f aca="false">IF(الإجابات!B54=الإجابات!B$2,1,0)</f>
        <v>1</v>
      </c>
      <c r="C54" s="9" t="n">
        <f aca="false">IF(الإجابات!C54=الإجابات!C$2,1,0)</f>
        <v>1</v>
      </c>
      <c r="D54" s="9" t="n">
        <f aca="false">IF(الإجابات!D54=الإجابات!D$2,1,0)</f>
        <v>0</v>
      </c>
      <c r="E54" s="9" t="n">
        <f aca="false">IF(الإجابات!E54=الإجابات!E$2,1,0)</f>
        <v>1</v>
      </c>
      <c r="F54" s="9" t="n">
        <f aca="false">IF(الإجابات!F54=الإجابات!F$2,1,0)</f>
        <v>0</v>
      </c>
      <c r="G54" s="9" t="n">
        <f aca="false">IF(الإجابات!G54=الإجابات!G$2,1,0)</f>
        <v>0</v>
      </c>
      <c r="H54" s="9" t="n">
        <f aca="false">IF(الإجابات!H54=الإجابات!H$2,1,0)</f>
        <v>0</v>
      </c>
      <c r="I54" s="9" t="n">
        <f aca="false">IF(الإجابات!I54=الإجابات!I$2,1,0)</f>
        <v>1</v>
      </c>
      <c r="J54" s="9" t="n">
        <f aca="false">IF(الإجابات!J54=الإجابات!J$2,1,0)</f>
        <v>1</v>
      </c>
      <c r="K54" s="9" t="n">
        <f aca="false">IF(الإجابات!K54=الإجابات!K$2,1,0)</f>
        <v>1</v>
      </c>
      <c r="L54" s="9" t="n">
        <f aca="false">IF(الإجابات!L54=الإجابات!L$2,1,0)</f>
        <v>1</v>
      </c>
      <c r="M54" s="9" t="n">
        <f aca="false">IF(الإجابات!M54=الإجابات!M$2,1,0)</f>
        <v>1</v>
      </c>
      <c r="N54" s="9" t="n">
        <f aca="false">IF(الإجابات!N54=الإجابات!N$2,1,0)</f>
        <v>0</v>
      </c>
      <c r="O54" s="9" t="n">
        <f aca="false">IF(الإجابات!O54=الإجابات!O$2,1,0)</f>
        <v>0</v>
      </c>
      <c r="P54" s="9" t="n">
        <f aca="false">IF(الإجابات!P54=الإجابات!P$2,1,0)</f>
        <v>1</v>
      </c>
      <c r="Q54" s="9" t="n">
        <f aca="false">IF(الإجابات!Q54=الإجابات!Q$2,1,0)</f>
        <v>1</v>
      </c>
      <c r="R54" s="9" t="n">
        <f aca="false">IF(الإجابات!R54=الإجابات!R$2,1,0)</f>
        <v>1</v>
      </c>
      <c r="S54" s="9" t="n">
        <f aca="false">IF(الإجابات!S54=الإجابات!S$2,1,0)</f>
        <v>0</v>
      </c>
      <c r="T54" s="9" t="n">
        <f aca="false">IF(الإجابات!T54=الإجابات!T$2,1,0)</f>
        <v>1</v>
      </c>
      <c r="U54" s="9" t="n">
        <f aca="false">IF(الإجابات!U54=الإجابات!U$2,1,0)</f>
        <v>1</v>
      </c>
      <c r="V54" s="9" t="n">
        <f aca="false">IF(الإجابات!V54=الإجابات!V$2,1,0)</f>
        <v>1</v>
      </c>
      <c r="W54" s="9" t="n">
        <f aca="false">IF(الإجابات!W54=الإجابات!W$2,1,0)</f>
        <v>0</v>
      </c>
      <c r="X54" s="9" t="n">
        <f aca="false">IF(الإجابات!X54=الإجابات!X$2,1,0)</f>
        <v>1</v>
      </c>
      <c r="Y54" s="9" t="n">
        <f aca="false">IF(الإجابات!Y54=الإجابات!Y$2,1,0)</f>
        <v>1</v>
      </c>
      <c r="Z54" s="9" t="n">
        <f aca="false">IF(الإجابات!Z54=الإجابات!Z$2,1,0)</f>
        <v>1</v>
      </c>
      <c r="AA54" s="9" t="n">
        <f aca="false">IF(الإجابات!AA54=الإجابات!AA$2,1,0)</f>
        <v>1</v>
      </c>
      <c r="AB54" s="9" t="n">
        <f aca="false">IF(الإجابات!AB54=الإجابات!AB$2,1,0)</f>
        <v>1</v>
      </c>
      <c r="AC54" s="9" t="n">
        <f aca="false">IF(الإجابات!AC54=الإجابات!AC$2,1,0)</f>
        <v>1</v>
      </c>
      <c r="AD54" s="9" t="n">
        <f aca="false">IF(الإجابات!AD54=الإجابات!AD$2,1,0)</f>
        <v>0</v>
      </c>
      <c r="AE54" s="9" t="n">
        <f aca="false">IF(الإجابات!AE54=الإجابات!AE$2,1,0)</f>
        <v>1</v>
      </c>
      <c r="AF54" s="9" t="n">
        <f aca="false">SUM(B54:AE54)</f>
        <v>21</v>
      </c>
    </row>
    <row r="55" customFormat="false" ht="15" hidden="false" customHeight="false" outlineLevel="0" collapsed="false">
      <c r="A55" s="0" t="str">
        <f aca="false">الإجابات!A55</f>
        <v>S053</v>
      </c>
      <c r="B55" s="9" t="n">
        <f aca="false">IF(الإجابات!B55=الإجابات!B$2,1,0)</f>
        <v>0</v>
      </c>
      <c r="C55" s="9" t="n">
        <f aca="false">IF(الإجابات!C55=الإجابات!C$2,1,0)</f>
        <v>0</v>
      </c>
      <c r="D55" s="9" t="n">
        <f aca="false">IF(الإجابات!D55=الإجابات!D$2,1,0)</f>
        <v>0</v>
      </c>
      <c r="E55" s="9" t="n">
        <f aca="false">IF(الإجابات!E55=الإجابات!E$2,1,0)</f>
        <v>1</v>
      </c>
      <c r="F55" s="9" t="n">
        <f aca="false">IF(الإجابات!F55=الإجابات!F$2,1,0)</f>
        <v>0</v>
      </c>
      <c r="G55" s="9" t="n">
        <f aca="false">IF(الإجابات!G55=الإجابات!G$2,1,0)</f>
        <v>1</v>
      </c>
      <c r="H55" s="9" t="n">
        <f aca="false">IF(الإجابات!H55=الإجابات!H$2,1,0)</f>
        <v>0</v>
      </c>
      <c r="I55" s="9" t="n">
        <f aca="false">IF(الإجابات!I55=الإجابات!I$2,1,0)</f>
        <v>1</v>
      </c>
      <c r="J55" s="9" t="n">
        <f aca="false">IF(الإجابات!J55=الإجابات!J$2,1,0)</f>
        <v>1</v>
      </c>
      <c r="K55" s="9" t="n">
        <f aca="false">IF(الإجابات!K55=الإجابات!K$2,1,0)</f>
        <v>1</v>
      </c>
      <c r="L55" s="9" t="n">
        <f aca="false">IF(الإجابات!L55=الإجابات!L$2,1,0)</f>
        <v>0</v>
      </c>
      <c r="M55" s="9" t="n">
        <f aca="false">IF(الإجابات!M55=الإجابات!M$2,1,0)</f>
        <v>1</v>
      </c>
      <c r="N55" s="9" t="n">
        <f aca="false">IF(الإجابات!N55=الإجابات!N$2,1,0)</f>
        <v>1</v>
      </c>
      <c r="O55" s="9" t="n">
        <f aca="false">IF(الإجابات!O55=الإجابات!O$2,1,0)</f>
        <v>0</v>
      </c>
      <c r="P55" s="9" t="n">
        <f aca="false">IF(الإجابات!P55=الإجابات!P$2,1,0)</f>
        <v>0</v>
      </c>
      <c r="Q55" s="9" t="n">
        <f aca="false">IF(الإجابات!Q55=الإجابات!Q$2,1,0)</f>
        <v>1</v>
      </c>
      <c r="R55" s="9" t="n">
        <f aca="false">IF(الإجابات!R55=الإجابات!R$2,1,0)</f>
        <v>1</v>
      </c>
      <c r="S55" s="9" t="n">
        <f aca="false">IF(الإجابات!S55=الإجابات!S$2,1,0)</f>
        <v>0</v>
      </c>
      <c r="T55" s="9" t="n">
        <f aca="false">IF(الإجابات!T55=الإجابات!T$2,1,0)</f>
        <v>1</v>
      </c>
      <c r="U55" s="9" t="n">
        <f aca="false">IF(الإجابات!U55=الإجابات!U$2,1,0)</f>
        <v>0</v>
      </c>
      <c r="V55" s="9" t="n">
        <f aca="false">IF(الإجابات!V55=الإجابات!V$2,1,0)</f>
        <v>0</v>
      </c>
      <c r="W55" s="9" t="n">
        <f aca="false">IF(الإجابات!W55=الإجابات!W$2,1,0)</f>
        <v>0</v>
      </c>
      <c r="X55" s="9" t="n">
        <f aca="false">IF(الإجابات!X55=الإجابات!X$2,1,0)</f>
        <v>0</v>
      </c>
      <c r="Y55" s="9" t="n">
        <f aca="false">IF(الإجابات!Y55=الإجابات!Y$2,1,0)</f>
        <v>1</v>
      </c>
      <c r="Z55" s="9" t="n">
        <f aca="false">IF(الإجابات!Z55=الإجابات!Z$2,1,0)</f>
        <v>1</v>
      </c>
      <c r="AA55" s="9" t="n">
        <f aca="false">IF(الإجابات!AA55=الإجابات!AA$2,1,0)</f>
        <v>1</v>
      </c>
      <c r="AB55" s="9" t="n">
        <f aca="false">IF(الإجابات!AB55=الإجابات!AB$2,1,0)</f>
        <v>0</v>
      </c>
      <c r="AC55" s="9" t="n">
        <f aca="false">IF(الإجابات!AC55=الإجابات!AC$2,1,0)</f>
        <v>1</v>
      </c>
      <c r="AD55" s="9" t="n">
        <f aca="false">IF(الإجابات!AD55=الإجابات!AD$2,1,0)</f>
        <v>0</v>
      </c>
      <c r="AE55" s="9" t="n">
        <f aca="false">IF(الإجابات!AE55=الإجابات!AE$2,1,0)</f>
        <v>0</v>
      </c>
      <c r="AF55" s="9" t="n">
        <f aca="false">SUM(B55:AE55)</f>
        <v>14</v>
      </c>
    </row>
    <row r="56" customFormat="false" ht="15" hidden="false" customHeight="false" outlineLevel="0" collapsed="false">
      <c r="A56" s="0" t="str">
        <f aca="false">الإجابات!A56</f>
        <v>S054</v>
      </c>
      <c r="B56" s="9" t="n">
        <f aca="false">IF(الإجابات!B56=الإجابات!B$2,1,0)</f>
        <v>0</v>
      </c>
      <c r="C56" s="9" t="n">
        <f aca="false">IF(الإجابات!C56=الإجابات!C$2,1,0)</f>
        <v>1</v>
      </c>
      <c r="D56" s="9" t="n">
        <f aca="false">IF(الإجابات!D56=الإجابات!D$2,1,0)</f>
        <v>1</v>
      </c>
      <c r="E56" s="9" t="n">
        <f aca="false">IF(الإجابات!E56=الإجابات!E$2,1,0)</f>
        <v>1</v>
      </c>
      <c r="F56" s="9" t="n">
        <f aca="false">IF(الإجابات!F56=الإجابات!F$2,1,0)</f>
        <v>0</v>
      </c>
      <c r="G56" s="9" t="n">
        <f aca="false">IF(الإجابات!G56=الإجابات!G$2,1,0)</f>
        <v>1</v>
      </c>
      <c r="H56" s="9" t="n">
        <f aca="false">IF(الإجابات!H56=الإجابات!H$2,1,0)</f>
        <v>0</v>
      </c>
      <c r="I56" s="9" t="n">
        <f aca="false">IF(الإجابات!I56=الإجابات!I$2,1,0)</f>
        <v>1</v>
      </c>
      <c r="J56" s="9" t="n">
        <f aca="false">IF(الإجابات!J56=الإجابات!J$2,1,0)</f>
        <v>1</v>
      </c>
      <c r="K56" s="9" t="n">
        <f aca="false">IF(الإجابات!K56=الإجابات!K$2,1,0)</f>
        <v>1</v>
      </c>
      <c r="L56" s="9" t="n">
        <f aca="false">IF(الإجابات!L56=الإجابات!L$2,1,0)</f>
        <v>1</v>
      </c>
      <c r="M56" s="9" t="n">
        <f aca="false">IF(الإجابات!M56=الإجابات!M$2,1,0)</f>
        <v>1</v>
      </c>
      <c r="N56" s="9" t="n">
        <f aca="false">IF(الإجابات!N56=الإجابات!N$2,1,0)</f>
        <v>0</v>
      </c>
      <c r="O56" s="9" t="n">
        <f aca="false">IF(الإجابات!O56=الإجابات!O$2,1,0)</f>
        <v>0</v>
      </c>
      <c r="P56" s="9" t="n">
        <f aca="false">IF(الإجابات!P56=الإجابات!P$2,1,0)</f>
        <v>0</v>
      </c>
      <c r="Q56" s="9" t="n">
        <f aca="false">IF(الإجابات!Q56=الإجابات!Q$2,1,0)</f>
        <v>1</v>
      </c>
      <c r="R56" s="9" t="n">
        <f aca="false">IF(الإجابات!R56=الإجابات!R$2,1,0)</f>
        <v>1</v>
      </c>
      <c r="S56" s="9" t="n">
        <f aca="false">IF(الإجابات!S56=الإجابات!S$2,1,0)</f>
        <v>1</v>
      </c>
      <c r="T56" s="9" t="n">
        <f aca="false">IF(الإجابات!T56=الإجابات!T$2,1,0)</f>
        <v>0</v>
      </c>
      <c r="U56" s="9" t="n">
        <f aca="false">IF(الإجابات!U56=الإجابات!U$2,1,0)</f>
        <v>1</v>
      </c>
      <c r="V56" s="9" t="n">
        <f aca="false">IF(الإجابات!V56=الإجابات!V$2,1,0)</f>
        <v>1</v>
      </c>
      <c r="W56" s="9" t="n">
        <f aca="false">IF(الإجابات!W56=الإجابات!W$2,1,0)</f>
        <v>1</v>
      </c>
      <c r="X56" s="9" t="n">
        <f aca="false">IF(الإجابات!X56=الإجابات!X$2,1,0)</f>
        <v>1</v>
      </c>
      <c r="Y56" s="9" t="n">
        <f aca="false">IF(الإجابات!Y56=الإجابات!Y$2,1,0)</f>
        <v>1</v>
      </c>
      <c r="Z56" s="9" t="n">
        <f aca="false">IF(الإجابات!Z56=الإجابات!Z$2,1,0)</f>
        <v>1</v>
      </c>
      <c r="AA56" s="9" t="n">
        <f aca="false">IF(الإجابات!AA56=الإجابات!AA$2,1,0)</f>
        <v>0</v>
      </c>
      <c r="AB56" s="9" t="n">
        <f aca="false">IF(الإجابات!AB56=الإجابات!AB$2,1,0)</f>
        <v>1</v>
      </c>
      <c r="AC56" s="9" t="n">
        <f aca="false">IF(الإجابات!AC56=الإجابات!AC$2,1,0)</f>
        <v>1</v>
      </c>
      <c r="AD56" s="9" t="n">
        <f aca="false">IF(الإجابات!AD56=الإجابات!AD$2,1,0)</f>
        <v>1</v>
      </c>
      <c r="AE56" s="9" t="n">
        <f aca="false">IF(الإجابات!AE56=الإجابات!AE$2,1,0)</f>
        <v>1</v>
      </c>
      <c r="AF56" s="9" t="n">
        <f aca="false">SUM(B56:AE56)</f>
        <v>22</v>
      </c>
    </row>
    <row r="57" customFormat="false" ht="15" hidden="false" customHeight="false" outlineLevel="0" collapsed="false">
      <c r="A57" s="0" t="str">
        <f aca="false">الإجابات!A57</f>
        <v>S055</v>
      </c>
      <c r="B57" s="9" t="n">
        <f aca="false">IF(الإجابات!B57=الإجابات!B$2,1,0)</f>
        <v>0</v>
      </c>
      <c r="C57" s="9" t="n">
        <f aca="false">IF(الإجابات!C57=الإجابات!C$2,1,0)</f>
        <v>0</v>
      </c>
      <c r="D57" s="9" t="n">
        <f aca="false">IF(الإجابات!D57=الإجابات!D$2,1,0)</f>
        <v>0</v>
      </c>
      <c r="E57" s="9" t="n">
        <f aca="false">IF(الإجابات!E57=الإجابات!E$2,1,0)</f>
        <v>1</v>
      </c>
      <c r="F57" s="9" t="n">
        <f aca="false">IF(الإجابات!F57=الإجابات!F$2,1,0)</f>
        <v>0</v>
      </c>
      <c r="G57" s="9" t="n">
        <f aca="false">IF(الإجابات!G57=الإجابات!G$2,1,0)</f>
        <v>0</v>
      </c>
      <c r="H57" s="9" t="n">
        <f aca="false">IF(الإجابات!H57=الإجابات!H$2,1,0)</f>
        <v>0</v>
      </c>
      <c r="I57" s="9" t="n">
        <f aca="false">IF(الإجابات!I57=الإجابات!I$2,1,0)</f>
        <v>0</v>
      </c>
      <c r="J57" s="9" t="n">
        <f aca="false">IF(الإجابات!J57=الإجابات!J$2,1,0)</f>
        <v>1</v>
      </c>
      <c r="K57" s="9" t="n">
        <f aca="false">IF(الإجابات!K57=الإجابات!K$2,1,0)</f>
        <v>0</v>
      </c>
      <c r="L57" s="9" t="n">
        <f aca="false">IF(الإجابات!L57=الإجابات!L$2,1,0)</f>
        <v>0</v>
      </c>
      <c r="M57" s="9" t="n">
        <f aca="false">IF(الإجابات!M57=الإجابات!M$2,1,0)</f>
        <v>1</v>
      </c>
      <c r="N57" s="9" t="n">
        <f aca="false">IF(الإجابات!N57=الإجابات!N$2,1,0)</f>
        <v>0</v>
      </c>
      <c r="O57" s="9" t="n">
        <f aca="false">IF(الإجابات!O57=الإجابات!O$2,1,0)</f>
        <v>1</v>
      </c>
      <c r="P57" s="9" t="n">
        <f aca="false">IF(الإجابات!P57=الإجابات!P$2,1,0)</f>
        <v>0</v>
      </c>
      <c r="Q57" s="9" t="n">
        <f aca="false">IF(الإجابات!Q57=الإجابات!Q$2,1,0)</f>
        <v>1</v>
      </c>
      <c r="R57" s="9" t="n">
        <f aca="false">IF(الإجابات!R57=الإجابات!R$2,1,0)</f>
        <v>1</v>
      </c>
      <c r="S57" s="9" t="n">
        <f aca="false">IF(الإجابات!S57=الإجابات!S$2,1,0)</f>
        <v>0</v>
      </c>
      <c r="T57" s="9" t="n">
        <f aca="false">IF(الإجابات!T57=الإجابات!T$2,1,0)</f>
        <v>0</v>
      </c>
      <c r="U57" s="9" t="n">
        <f aca="false">IF(الإجابات!U57=الإجابات!U$2,1,0)</f>
        <v>0</v>
      </c>
      <c r="V57" s="9" t="n">
        <f aca="false">IF(الإجابات!V57=الإجابات!V$2,1,0)</f>
        <v>1</v>
      </c>
      <c r="W57" s="9" t="n">
        <f aca="false">IF(الإجابات!W57=الإجابات!W$2,1,0)</f>
        <v>0</v>
      </c>
      <c r="X57" s="9" t="n">
        <f aca="false">IF(الإجابات!X57=الإجابات!X$2,1,0)</f>
        <v>0</v>
      </c>
      <c r="Y57" s="9" t="n">
        <f aca="false">IF(الإجابات!Y57=الإجابات!Y$2,1,0)</f>
        <v>0</v>
      </c>
      <c r="Z57" s="9" t="n">
        <f aca="false">IF(الإجابات!Z57=الإجابات!Z$2,1,0)</f>
        <v>0</v>
      </c>
      <c r="AA57" s="9" t="n">
        <f aca="false">IF(الإجابات!AA57=الإجابات!AA$2,1,0)</f>
        <v>0</v>
      </c>
      <c r="AB57" s="9" t="n">
        <f aca="false">IF(الإجابات!AB57=الإجابات!AB$2,1,0)</f>
        <v>0</v>
      </c>
      <c r="AC57" s="9" t="n">
        <f aca="false">IF(الإجابات!AC57=الإجابات!AC$2,1,0)</f>
        <v>1</v>
      </c>
      <c r="AD57" s="9" t="n">
        <f aca="false">IF(الإجابات!AD57=الإجابات!AD$2,1,0)</f>
        <v>1</v>
      </c>
      <c r="AE57" s="9" t="n">
        <f aca="false">IF(الإجابات!AE57=الإجابات!AE$2,1,0)</f>
        <v>1</v>
      </c>
      <c r="AF57" s="9" t="n">
        <f aca="false">SUM(B57:AE57)</f>
        <v>10</v>
      </c>
    </row>
    <row r="58" customFormat="false" ht="15" hidden="false" customHeight="false" outlineLevel="0" collapsed="false">
      <c r="A58" s="0" t="str">
        <f aca="false">الإجابات!A58</f>
        <v>S056</v>
      </c>
      <c r="B58" s="9" t="n">
        <f aca="false">IF(الإجابات!B58=الإجابات!B$2,1,0)</f>
        <v>1</v>
      </c>
      <c r="C58" s="9" t="n">
        <f aca="false">IF(الإجابات!C58=الإجابات!C$2,1,0)</f>
        <v>0</v>
      </c>
      <c r="D58" s="9" t="n">
        <f aca="false">IF(الإجابات!D58=الإجابات!D$2,1,0)</f>
        <v>0</v>
      </c>
      <c r="E58" s="9" t="n">
        <f aca="false">IF(الإجابات!E58=الإجابات!E$2,1,0)</f>
        <v>0</v>
      </c>
      <c r="F58" s="9" t="n">
        <f aca="false">IF(الإجابات!F58=الإجابات!F$2,1,0)</f>
        <v>0</v>
      </c>
      <c r="G58" s="9" t="n">
        <f aca="false">IF(الإجابات!G58=الإجابات!G$2,1,0)</f>
        <v>1</v>
      </c>
      <c r="H58" s="9" t="n">
        <f aca="false">IF(الإجابات!H58=الإجابات!H$2,1,0)</f>
        <v>0</v>
      </c>
      <c r="I58" s="9" t="n">
        <f aca="false">IF(الإجابات!I58=الإجابات!I$2,1,0)</f>
        <v>1</v>
      </c>
      <c r="J58" s="9" t="n">
        <f aca="false">IF(الإجابات!J58=الإجابات!J$2,1,0)</f>
        <v>1</v>
      </c>
      <c r="K58" s="9" t="n">
        <f aca="false">IF(الإجابات!K58=الإجابات!K$2,1,0)</f>
        <v>0</v>
      </c>
      <c r="L58" s="9" t="n">
        <f aca="false">IF(الإجابات!L58=الإجابات!L$2,1,0)</f>
        <v>0</v>
      </c>
      <c r="M58" s="9" t="n">
        <f aca="false">IF(الإجابات!M58=الإجابات!M$2,1,0)</f>
        <v>1</v>
      </c>
      <c r="N58" s="9" t="n">
        <f aca="false">IF(الإجابات!N58=الإجابات!N$2,1,0)</f>
        <v>1</v>
      </c>
      <c r="O58" s="9" t="n">
        <f aca="false">IF(الإجابات!O58=الإجابات!O$2,1,0)</f>
        <v>1</v>
      </c>
      <c r="P58" s="9" t="n">
        <f aca="false">IF(الإجابات!P58=الإجابات!P$2,1,0)</f>
        <v>1</v>
      </c>
      <c r="Q58" s="9" t="n">
        <f aca="false">IF(الإجابات!Q58=الإجابات!Q$2,1,0)</f>
        <v>1</v>
      </c>
      <c r="R58" s="9" t="n">
        <f aca="false">IF(الإجابات!R58=الإجابات!R$2,1,0)</f>
        <v>1</v>
      </c>
      <c r="S58" s="9" t="n">
        <f aca="false">IF(الإجابات!S58=الإجابات!S$2,1,0)</f>
        <v>0</v>
      </c>
      <c r="T58" s="9" t="n">
        <f aca="false">IF(الإجابات!T58=الإجابات!T$2,1,0)</f>
        <v>0</v>
      </c>
      <c r="U58" s="9" t="n">
        <f aca="false">IF(الإجابات!U58=الإجابات!U$2,1,0)</f>
        <v>1</v>
      </c>
      <c r="V58" s="9" t="n">
        <f aca="false">IF(الإجابات!V58=الإجابات!V$2,1,0)</f>
        <v>1</v>
      </c>
      <c r="W58" s="9" t="n">
        <f aca="false">IF(الإجابات!W58=الإجابات!W$2,1,0)</f>
        <v>0</v>
      </c>
      <c r="X58" s="9" t="n">
        <f aca="false">IF(الإجابات!X58=الإجابات!X$2,1,0)</f>
        <v>1</v>
      </c>
      <c r="Y58" s="9" t="n">
        <f aca="false">IF(الإجابات!Y58=الإجابات!Y$2,1,0)</f>
        <v>0</v>
      </c>
      <c r="Z58" s="9" t="n">
        <f aca="false">IF(الإجابات!Z58=الإجابات!Z$2,1,0)</f>
        <v>0</v>
      </c>
      <c r="AA58" s="9" t="n">
        <f aca="false">IF(الإجابات!AA58=الإجابات!AA$2,1,0)</f>
        <v>1</v>
      </c>
      <c r="AB58" s="9" t="n">
        <f aca="false">IF(الإجابات!AB58=الإجابات!AB$2,1,0)</f>
        <v>1</v>
      </c>
      <c r="AC58" s="9" t="n">
        <f aca="false">IF(الإجابات!AC58=الإجابات!AC$2,1,0)</f>
        <v>1</v>
      </c>
      <c r="AD58" s="9" t="n">
        <f aca="false">IF(الإجابات!AD58=الإجابات!AD$2,1,0)</f>
        <v>1</v>
      </c>
      <c r="AE58" s="9" t="n">
        <f aca="false">IF(الإجابات!AE58=الإجابات!AE$2,1,0)</f>
        <v>0</v>
      </c>
      <c r="AF58" s="9" t="n">
        <f aca="false">SUM(B58:AE58)</f>
        <v>17</v>
      </c>
    </row>
    <row r="59" customFormat="false" ht="15" hidden="false" customHeight="false" outlineLevel="0" collapsed="false">
      <c r="A59" s="0" t="str">
        <f aca="false">الإجابات!A59</f>
        <v>S057</v>
      </c>
      <c r="B59" s="9" t="n">
        <f aca="false">IF(الإجابات!B59=الإجابات!B$2,1,0)</f>
        <v>0</v>
      </c>
      <c r="C59" s="9" t="n">
        <f aca="false">IF(الإجابات!C59=الإجابات!C$2,1,0)</f>
        <v>0</v>
      </c>
      <c r="D59" s="9" t="n">
        <f aca="false">IF(الإجابات!D59=الإجابات!D$2,1,0)</f>
        <v>0</v>
      </c>
      <c r="E59" s="9" t="n">
        <f aca="false">IF(الإجابات!E59=الإجابات!E$2,1,0)</f>
        <v>1</v>
      </c>
      <c r="F59" s="9" t="n">
        <f aca="false">IF(الإجابات!F59=الإجابات!F$2,1,0)</f>
        <v>0</v>
      </c>
      <c r="G59" s="9" t="n">
        <f aca="false">IF(الإجابات!G59=الإجابات!G$2,1,0)</f>
        <v>0</v>
      </c>
      <c r="H59" s="9" t="n">
        <f aca="false">IF(الإجابات!H59=الإجابات!H$2,1,0)</f>
        <v>0</v>
      </c>
      <c r="I59" s="9" t="n">
        <f aca="false">IF(الإجابات!I59=الإجابات!I$2,1,0)</f>
        <v>1</v>
      </c>
      <c r="J59" s="9" t="n">
        <f aca="false">IF(الإجابات!J59=الإجابات!J$2,1,0)</f>
        <v>1</v>
      </c>
      <c r="K59" s="9" t="n">
        <f aca="false">IF(الإجابات!K59=الإجابات!K$2,1,0)</f>
        <v>0</v>
      </c>
      <c r="L59" s="9" t="n">
        <f aca="false">IF(الإجابات!L59=الإجابات!L$2,1,0)</f>
        <v>1</v>
      </c>
      <c r="M59" s="9" t="n">
        <f aca="false">IF(الإجابات!M59=الإجابات!M$2,1,0)</f>
        <v>1</v>
      </c>
      <c r="N59" s="9" t="n">
        <f aca="false">IF(الإجابات!N59=الإجابات!N$2,1,0)</f>
        <v>0</v>
      </c>
      <c r="O59" s="9" t="n">
        <f aca="false">IF(الإجابات!O59=الإجابات!O$2,1,0)</f>
        <v>0</v>
      </c>
      <c r="P59" s="9" t="n">
        <f aca="false">IF(الإجابات!P59=الإجابات!P$2,1,0)</f>
        <v>1</v>
      </c>
      <c r="Q59" s="9" t="n">
        <f aca="false">IF(الإجابات!Q59=الإجابات!Q$2,1,0)</f>
        <v>1</v>
      </c>
      <c r="R59" s="9" t="n">
        <f aca="false">IF(الإجابات!R59=الإجابات!R$2,1,0)</f>
        <v>1</v>
      </c>
      <c r="S59" s="9" t="n">
        <f aca="false">IF(الإجابات!S59=الإجابات!S$2,1,0)</f>
        <v>1</v>
      </c>
      <c r="T59" s="9" t="n">
        <f aca="false">IF(الإجابات!T59=الإجابات!T$2,1,0)</f>
        <v>0</v>
      </c>
      <c r="U59" s="9" t="n">
        <f aca="false">IF(الإجابات!U59=الإجابات!U$2,1,0)</f>
        <v>0</v>
      </c>
      <c r="V59" s="9" t="n">
        <f aca="false">IF(الإجابات!V59=الإجابات!V$2,1,0)</f>
        <v>0</v>
      </c>
      <c r="W59" s="9" t="n">
        <f aca="false">IF(الإجابات!W59=الإجابات!W$2,1,0)</f>
        <v>1</v>
      </c>
      <c r="X59" s="9" t="n">
        <f aca="false">IF(الإجابات!X59=الإجابات!X$2,1,0)</f>
        <v>1</v>
      </c>
      <c r="Y59" s="9" t="n">
        <f aca="false">IF(الإجابات!Y59=الإجابات!Y$2,1,0)</f>
        <v>0</v>
      </c>
      <c r="Z59" s="9" t="n">
        <f aca="false">IF(الإجابات!Z59=الإجابات!Z$2,1,0)</f>
        <v>1</v>
      </c>
      <c r="AA59" s="9" t="n">
        <f aca="false">IF(الإجابات!AA59=الإجابات!AA$2,1,0)</f>
        <v>0</v>
      </c>
      <c r="AB59" s="9" t="n">
        <f aca="false">IF(الإجابات!AB59=الإجابات!AB$2,1,0)</f>
        <v>0</v>
      </c>
      <c r="AC59" s="9" t="n">
        <f aca="false">IF(الإجابات!AC59=الإجابات!AC$2,1,0)</f>
        <v>0</v>
      </c>
      <c r="AD59" s="9" t="n">
        <f aca="false">IF(الإجابات!AD59=الإجابات!AD$2,1,0)</f>
        <v>0</v>
      </c>
      <c r="AE59" s="9" t="n">
        <f aca="false">IF(الإجابات!AE59=الإجابات!AE$2,1,0)</f>
        <v>0</v>
      </c>
      <c r="AF59" s="9" t="n">
        <f aca="false">SUM(B59:AE59)</f>
        <v>12</v>
      </c>
    </row>
    <row r="60" customFormat="false" ht="15" hidden="false" customHeight="false" outlineLevel="0" collapsed="false">
      <c r="A60" s="0" t="str">
        <f aca="false">الإجابات!A60</f>
        <v>S058</v>
      </c>
      <c r="B60" s="9" t="n">
        <f aca="false">IF(الإجابات!B60=الإجابات!B$2,1,0)</f>
        <v>1</v>
      </c>
      <c r="C60" s="9" t="n">
        <f aca="false">IF(الإجابات!C60=الإجابات!C$2,1,0)</f>
        <v>0</v>
      </c>
      <c r="D60" s="9" t="n">
        <f aca="false">IF(الإجابات!D60=الإجابات!D$2,1,0)</f>
        <v>0</v>
      </c>
      <c r="E60" s="9" t="n">
        <f aca="false">IF(الإجابات!E60=الإجابات!E$2,1,0)</f>
        <v>1</v>
      </c>
      <c r="F60" s="9" t="n">
        <f aca="false">IF(الإجابات!F60=الإجابات!F$2,1,0)</f>
        <v>0</v>
      </c>
      <c r="G60" s="9" t="n">
        <f aca="false">IF(الإجابات!G60=الإجابات!G$2,1,0)</f>
        <v>1</v>
      </c>
      <c r="H60" s="9" t="n">
        <f aca="false">IF(الإجابات!H60=الإجابات!H$2,1,0)</f>
        <v>1</v>
      </c>
      <c r="I60" s="9" t="n">
        <f aca="false">IF(الإجابات!I60=الإجابات!I$2,1,0)</f>
        <v>1</v>
      </c>
      <c r="J60" s="9" t="n">
        <f aca="false">IF(الإجابات!J60=الإجابات!J$2,1,0)</f>
        <v>0</v>
      </c>
      <c r="K60" s="9" t="n">
        <f aca="false">IF(الإجابات!K60=الإجابات!K$2,1,0)</f>
        <v>1</v>
      </c>
      <c r="L60" s="9" t="n">
        <f aca="false">IF(الإجابات!L60=الإجابات!L$2,1,0)</f>
        <v>1</v>
      </c>
      <c r="M60" s="9" t="n">
        <f aca="false">IF(الإجابات!M60=الإجابات!M$2,1,0)</f>
        <v>1</v>
      </c>
      <c r="N60" s="9" t="n">
        <f aca="false">IF(الإجابات!N60=الإجابات!N$2,1,0)</f>
        <v>0</v>
      </c>
      <c r="O60" s="9" t="n">
        <f aca="false">IF(الإجابات!O60=الإجابات!O$2,1,0)</f>
        <v>1</v>
      </c>
      <c r="P60" s="9" t="n">
        <f aca="false">IF(الإجابات!P60=الإجابات!P$2,1,0)</f>
        <v>0</v>
      </c>
      <c r="Q60" s="9" t="n">
        <f aca="false">IF(الإجابات!Q60=الإجابات!Q$2,1,0)</f>
        <v>1</v>
      </c>
      <c r="R60" s="9" t="n">
        <f aca="false">IF(الإجابات!R60=الإجابات!R$2,1,0)</f>
        <v>1</v>
      </c>
      <c r="S60" s="9" t="n">
        <f aca="false">IF(الإجابات!S60=الإجابات!S$2,1,0)</f>
        <v>1</v>
      </c>
      <c r="T60" s="9" t="n">
        <f aca="false">IF(الإجابات!T60=الإجابات!T$2,1,0)</f>
        <v>1</v>
      </c>
      <c r="U60" s="9" t="n">
        <f aca="false">IF(الإجابات!U60=الإجابات!U$2,1,0)</f>
        <v>1</v>
      </c>
      <c r="V60" s="9" t="n">
        <f aca="false">IF(الإجابات!V60=الإجابات!V$2,1,0)</f>
        <v>0</v>
      </c>
      <c r="W60" s="9" t="n">
        <f aca="false">IF(الإجابات!W60=الإجابات!W$2,1,0)</f>
        <v>1</v>
      </c>
      <c r="X60" s="9" t="n">
        <f aca="false">IF(الإجابات!X60=الإجابات!X$2,1,0)</f>
        <v>1</v>
      </c>
      <c r="Y60" s="9" t="n">
        <f aca="false">IF(الإجابات!Y60=الإجابات!Y$2,1,0)</f>
        <v>0</v>
      </c>
      <c r="Z60" s="9" t="n">
        <f aca="false">IF(الإجابات!Z60=الإجابات!Z$2,1,0)</f>
        <v>1</v>
      </c>
      <c r="AA60" s="9" t="n">
        <f aca="false">IF(الإجابات!AA60=الإجابات!AA$2,1,0)</f>
        <v>1</v>
      </c>
      <c r="AB60" s="9" t="n">
        <f aca="false">IF(الإجابات!AB60=الإجابات!AB$2,1,0)</f>
        <v>1</v>
      </c>
      <c r="AC60" s="9" t="n">
        <f aca="false">IF(الإجابات!AC60=الإجابات!AC$2,1,0)</f>
        <v>0</v>
      </c>
      <c r="AD60" s="9" t="n">
        <f aca="false">IF(الإجابات!AD60=الإجابات!AD$2,1,0)</f>
        <v>1</v>
      </c>
      <c r="AE60" s="9" t="n">
        <f aca="false">IF(الإجابات!AE60=الإجابات!AE$2,1,0)</f>
        <v>0</v>
      </c>
      <c r="AF60" s="9" t="n">
        <f aca="false">SUM(B60:AE60)</f>
        <v>20</v>
      </c>
    </row>
    <row r="61" customFormat="false" ht="15" hidden="false" customHeight="false" outlineLevel="0" collapsed="false">
      <c r="A61" s="0" t="str">
        <f aca="false">الإجابات!A61</f>
        <v>S059</v>
      </c>
      <c r="B61" s="9" t="n">
        <f aca="false">IF(الإجابات!B61=الإجابات!B$2,1,0)</f>
        <v>1</v>
      </c>
      <c r="C61" s="9" t="n">
        <f aca="false">IF(الإجابات!C61=الإجابات!C$2,1,0)</f>
        <v>0</v>
      </c>
      <c r="D61" s="9" t="n">
        <f aca="false">IF(الإجابات!D61=الإجابات!D$2,1,0)</f>
        <v>0</v>
      </c>
      <c r="E61" s="9" t="n">
        <f aca="false">IF(الإجابات!E61=الإجابات!E$2,1,0)</f>
        <v>1</v>
      </c>
      <c r="F61" s="9" t="n">
        <f aca="false">IF(الإجابات!F61=الإجابات!F$2,1,0)</f>
        <v>1</v>
      </c>
      <c r="G61" s="9" t="n">
        <f aca="false">IF(الإجابات!G61=الإجابات!G$2,1,0)</f>
        <v>1</v>
      </c>
      <c r="H61" s="9" t="n">
        <f aca="false">IF(الإجابات!H61=الإجابات!H$2,1,0)</f>
        <v>0</v>
      </c>
      <c r="I61" s="9" t="n">
        <f aca="false">IF(الإجابات!I61=الإجابات!I$2,1,0)</f>
        <v>1</v>
      </c>
      <c r="J61" s="9" t="n">
        <f aca="false">IF(الإجابات!J61=الإجابات!J$2,1,0)</f>
        <v>1</v>
      </c>
      <c r="K61" s="9" t="n">
        <f aca="false">IF(الإجابات!K61=الإجابات!K$2,1,0)</f>
        <v>1</v>
      </c>
      <c r="L61" s="9" t="n">
        <f aca="false">IF(الإجابات!L61=الإجابات!L$2,1,0)</f>
        <v>1</v>
      </c>
      <c r="M61" s="9" t="n">
        <f aca="false">IF(الإجابات!M61=الإجابات!M$2,1,0)</f>
        <v>1</v>
      </c>
      <c r="N61" s="9" t="n">
        <f aca="false">IF(الإجابات!N61=الإجابات!N$2,1,0)</f>
        <v>1</v>
      </c>
      <c r="O61" s="9" t="n">
        <f aca="false">IF(الإجابات!O61=الإجابات!O$2,1,0)</f>
        <v>1</v>
      </c>
      <c r="P61" s="9" t="n">
        <f aca="false">IF(الإجابات!P61=الإجابات!P$2,1,0)</f>
        <v>1</v>
      </c>
      <c r="Q61" s="9" t="n">
        <f aca="false">IF(الإجابات!Q61=الإجابات!Q$2,1,0)</f>
        <v>1</v>
      </c>
      <c r="R61" s="9" t="n">
        <f aca="false">IF(الإجابات!R61=الإجابات!R$2,1,0)</f>
        <v>1</v>
      </c>
      <c r="S61" s="9" t="n">
        <f aca="false">IF(الإجابات!S61=الإجابات!S$2,1,0)</f>
        <v>0</v>
      </c>
      <c r="T61" s="9" t="n">
        <f aca="false">IF(الإجابات!T61=الإجابات!T$2,1,0)</f>
        <v>1</v>
      </c>
      <c r="U61" s="9" t="n">
        <f aca="false">IF(الإجابات!U61=الإجابات!U$2,1,0)</f>
        <v>1</v>
      </c>
      <c r="V61" s="9" t="n">
        <f aca="false">IF(الإجابات!V61=الإجابات!V$2,1,0)</f>
        <v>1</v>
      </c>
      <c r="W61" s="9" t="n">
        <f aca="false">IF(الإجابات!W61=الإجابات!W$2,1,0)</f>
        <v>1</v>
      </c>
      <c r="X61" s="9" t="n">
        <f aca="false">IF(الإجابات!X61=الإجابات!X$2,1,0)</f>
        <v>1</v>
      </c>
      <c r="Y61" s="9" t="n">
        <f aca="false">IF(الإجابات!Y61=الإجابات!Y$2,1,0)</f>
        <v>1</v>
      </c>
      <c r="Z61" s="9" t="n">
        <f aca="false">IF(الإجابات!Z61=الإجابات!Z$2,1,0)</f>
        <v>1</v>
      </c>
      <c r="AA61" s="9" t="n">
        <f aca="false">IF(الإجابات!AA61=الإجابات!AA$2,1,0)</f>
        <v>1</v>
      </c>
      <c r="AB61" s="9" t="n">
        <f aca="false">IF(الإجابات!AB61=الإجابات!AB$2,1,0)</f>
        <v>0</v>
      </c>
      <c r="AC61" s="9" t="n">
        <f aca="false">IF(الإجابات!AC61=الإجابات!AC$2,1,0)</f>
        <v>1</v>
      </c>
      <c r="AD61" s="9" t="n">
        <f aca="false">IF(الإجابات!AD61=الإجابات!AD$2,1,0)</f>
        <v>0</v>
      </c>
      <c r="AE61" s="9" t="n">
        <f aca="false">IF(الإجابات!AE61=الإجابات!AE$2,1,0)</f>
        <v>1</v>
      </c>
      <c r="AF61" s="9" t="n">
        <f aca="false">SUM(B61:AE61)</f>
        <v>24</v>
      </c>
    </row>
    <row r="62" customFormat="false" ht="15" hidden="false" customHeight="false" outlineLevel="0" collapsed="false">
      <c r="A62" s="0" t="str">
        <f aca="false">الإجابات!A62</f>
        <v>S060</v>
      </c>
      <c r="B62" s="9" t="n">
        <f aca="false">IF(الإجابات!B62=الإجابات!B$2,1,0)</f>
        <v>1</v>
      </c>
      <c r="C62" s="9" t="n">
        <f aca="false">IF(الإجابات!C62=الإجابات!C$2,1,0)</f>
        <v>0</v>
      </c>
      <c r="D62" s="9" t="n">
        <f aca="false">IF(الإجابات!D62=الإجابات!D$2,1,0)</f>
        <v>0</v>
      </c>
      <c r="E62" s="9" t="n">
        <f aca="false">IF(الإجابات!E62=الإجابات!E$2,1,0)</f>
        <v>1</v>
      </c>
      <c r="F62" s="9" t="n">
        <f aca="false">IF(الإجابات!F62=الإجابات!F$2,1,0)</f>
        <v>1</v>
      </c>
      <c r="G62" s="9" t="n">
        <f aca="false">IF(الإجابات!G62=الإجابات!G$2,1,0)</f>
        <v>1</v>
      </c>
      <c r="H62" s="9" t="n">
        <f aca="false">IF(الإجابات!H62=الإجابات!H$2,1,0)</f>
        <v>0</v>
      </c>
      <c r="I62" s="9" t="n">
        <f aca="false">IF(الإجابات!I62=الإجابات!I$2,1,0)</f>
        <v>0</v>
      </c>
      <c r="J62" s="9" t="n">
        <f aca="false">IF(الإجابات!J62=الإجابات!J$2,1,0)</f>
        <v>1</v>
      </c>
      <c r="K62" s="9" t="n">
        <f aca="false">IF(الإجابات!K62=الإجابات!K$2,1,0)</f>
        <v>1</v>
      </c>
      <c r="L62" s="9" t="n">
        <f aca="false">IF(الإجابات!L62=الإجابات!L$2,1,0)</f>
        <v>1</v>
      </c>
      <c r="M62" s="9" t="n">
        <f aca="false">IF(الإجابات!M62=الإجابات!M$2,1,0)</f>
        <v>1</v>
      </c>
      <c r="N62" s="9" t="n">
        <f aca="false">IF(الإجابات!N62=الإجابات!N$2,1,0)</f>
        <v>0</v>
      </c>
      <c r="O62" s="9" t="n">
        <f aca="false">IF(الإجابات!O62=الإجابات!O$2,1,0)</f>
        <v>1</v>
      </c>
      <c r="P62" s="9" t="n">
        <f aca="false">IF(الإجابات!P62=الإجابات!P$2,1,0)</f>
        <v>1</v>
      </c>
      <c r="Q62" s="9" t="n">
        <f aca="false">IF(الإجابات!Q62=الإجابات!Q$2,1,0)</f>
        <v>1</v>
      </c>
      <c r="R62" s="9" t="n">
        <f aca="false">IF(الإجابات!R62=الإجابات!R$2,1,0)</f>
        <v>1</v>
      </c>
      <c r="S62" s="9" t="n">
        <f aca="false">IF(الإجابات!S62=الإجابات!S$2,1,0)</f>
        <v>0</v>
      </c>
      <c r="T62" s="9" t="n">
        <f aca="false">IF(الإجابات!T62=الإجابات!T$2,1,0)</f>
        <v>0</v>
      </c>
      <c r="U62" s="9" t="n">
        <f aca="false">IF(الإجابات!U62=الإجابات!U$2,1,0)</f>
        <v>0</v>
      </c>
      <c r="V62" s="9" t="n">
        <f aca="false">IF(الإجابات!V62=الإجابات!V$2,1,0)</f>
        <v>0</v>
      </c>
      <c r="W62" s="9" t="n">
        <f aca="false">IF(الإجابات!W62=الإجابات!W$2,1,0)</f>
        <v>1</v>
      </c>
      <c r="X62" s="9" t="n">
        <f aca="false">IF(الإجابات!X62=الإجابات!X$2,1,0)</f>
        <v>0</v>
      </c>
      <c r="Y62" s="9" t="n">
        <f aca="false">IF(الإجابات!Y62=الإجابات!Y$2,1,0)</f>
        <v>1</v>
      </c>
      <c r="Z62" s="9" t="n">
        <f aca="false">IF(الإجابات!Z62=الإجابات!Z$2,1,0)</f>
        <v>0</v>
      </c>
      <c r="AA62" s="9" t="n">
        <f aca="false">IF(الإجابات!AA62=الإجابات!AA$2,1,0)</f>
        <v>1</v>
      </c>
      <c r="AB62" s="9" t="n">
        <f aca="false">IF(الإجابات!AB62=الإجابات!AB$2,1,0)</f>
        <v>1</v>
      </c>
      <c r="AC62" s="9" t="n">
        <f aca="false">IF(الإجابات!AC62=الإجابات!AC$2,1,0)</f>
        <v>0</v>
      </c>
      <c r="AD62" s="9" t="n">
        <f aca="false">IF(الإجابات!AD62=الإجابات!AD$2,1,0)</f>
        <v>0</v>
      </c>
      <c r="AE62" s="9" t="n">
        <f aca="false">IF(الإجابات!AE62=الإجابات!AE$2,1,0)</f>
        <v>0</v>
      </c>
      <c r="AF62" s="9" t="n">
        <f aca="false">SUM(B62:AE62)</f>
        <v>16</v>
      </c>
    </row>
    <row r="63" customFormat="false" ht="15" hidden="false" customHeight="false" outlineLevel="0" collapsed="false">
      <c r="A63" s="0" t="str">
        <f aca="false">الإجابات!A63</f>
        <v>S061</v>
      </c>
      <c r="B63" s="9" t="n">
        <f aca="false">IF(الإجابات!B63=الإجابات!B$2,1,0)</f>
        <v>0</v>
      </c>
      <c r="C63" s="9" t="n">
        <f aca="false">IF(الإجابات!C63=الإجابات!C$2,1,0)</f>
        <v>0</v>
      </c>
      <c r="D63" s="9" t="n">
        <f aca="false">IF(الإجابات!D63=الإجابات!D$2,1,0)</f>
        <v>0</v>
      </c>
      <c r="E63" s="9" t="n">
        <f aca="false">IF(الإجابات!E63=الإجابات!E$2,1,0)</f>
        <v>1</v>
      </c>
      <c r="F63" s="9" t="n">
        <f aca="false">IF(الإجابات!F63=الإجابات!F$2,1,0)</f>
        <v>0</v>
      </c>
      <c r="G63" s="9" t="n">
        <f aca="false">IF(الإجابات!G63=الإجابات!G$2,1,0)</f>
        <v>0</v>
      </c>
      <c r="H63" s="9" t="n">
        <f aca="false">IF(الإجابات!H63=الإجابات!H$2,1,0)</f>
        <v>0</v>
      </c>
      <c r="I63" s="9" t="n">
        <f aca="false">IF(الإجابات!I63=الإجابات!I$2,1,0)</f>
        <v>0</v>
      </c>
      <c r="J63" s="9" t="n">
        <f aca="false">IF(الإجابات!J63=الإجابات!J$2,1,0)</f>
        <v>1</v>
      </c>
      <c r="K63" s="9" t="n">
        <f aca="false">IF(الإجابات!K63=الإجابات!K$2,1,0)</f>
        <v>0</v>
      </c>
      <c r="L63" s="9" t="n">
        <f aca="false">IF(الإجابات!L63=الإجابات!L$2,1,0)</f>
        <v>0</v>
      </c>
      <c r="M63" s="9" t="n">
        <f aca="false">IF(الإجابات!M63=الإجابات!M$2,1,0)</f>
        <v>1</v>
      </c>
      <c r="N63" s="9" t="n">
        <f aca="false">IF(الإجابات!N63=الإجابات!N$2,1,0)</f>
        <v>0</v>
      </c>
      <c r="O63" s="9" t="n">
        <f aca="false">IF(الإجابات!O63=الإجابات!O$2,1,0)</f>
        <v>0</v>
      </c>
      <c r="P63" s="9" t="n">
        <f aca="false">IF(الإجابات!P63=الإجابات!P$2,1,0)</f>
        <v>0</v>
      </c>
      <c r="Q63" s="9" t="n">
        <f aca="false">IF(الإجابات!Q63=الإجابات!Q$2,1,0)</f>
        <v>0</v>
      </c>
      <c r="R63" s="9" t="n">
        <f aca="false">IF(الإجابات!R63=الإجابات!R$2,1,0)</f>
        <v>0</v>
      </c>
      <c r="S63" s="9" t="n">
        <f aca="false">IF(الإجابات!S63=الإجابات!S$2,1,0)</f>
        <v>1</v>
      </c>
      <c r="T63" s="9" t="n">
        <f aca="false">IF(الإجابات!T63=الإجابات!T$2,1,0)</f>
        <v>1</v>
      </c>
      <c r="U63" s="9" t="n">
        <f aca="false">IF(الإجابات!U63=الإجابات!U$2,1,0)</f>
        <v>0</v>
      </c>
      <c r="V63" s="9" t="n">
        <f aca="false">IF(الإجابات!V63=الإجابات!V$2,1,0)</f>
        <v>1</v>
      </c>
      <c r="W63" s="9" t="n">
        <f aca="false">IF(الإجابات!W63=الإجابات!W$2,1,0)</f>
        <v>0</v>
      </c>
      <c r="X63" s="9" t="n">
        <f aca="false">IF(الإجابات!X63=الإجابات!X$2,1,0)</f>
        <v>1</v>
      </c>
      <c r="Y63" s="9" t="n">
        <f aca="false">IF(الإجابات!Y63=الإجابات!Y$2,1,0)</f>
        <v>1</v>
      </c>
      <c r="Z63" s="9" t="n">
        <f aca="false">IF(الإجابات!Z63=الإجابات!Z$2,1,0)</f>
        <v>0</v>
      </c>
      <c r="AA63" s="9" t="n">
        <f aca="false">IF(الإجابات!AA63=الإجابات!AA$2,1,0)</f>
        <v>0</v>
      </c>
      <c r="AB63" s="9" t="n">
        <f aca="false">IF(الإجابات!AB63=الإجابات!AB$2,1,0)</f>
        <v>0</v>
      </c>
      <c r="AC63" s="9" t="n">
        <f aca="false">IF(الإجابات!AC63=الإجابات!AC$2,1,0)</f>
        <v>1</v>
      </c>
      <c r="AD63" s="9" t="n">
        <f aca="false">IF(الإجابات!AD63=الإجابات!AD$2,1,0)</f>
        <v>0</v>
      </c>
      <c r="AE63" s="9" t="n">
        <f aca="false">IF(الإجابات!AE63=الإجابات!AE$2,1,0)</f>
        <v>1</v>
      </c>
      <c r="AF63" s="9" t="n">
        <f aca="false">SUM(B63:AE63)</f>
        <v>10</v>
      </c>
    </row>
    <row r="64" customFormat="false" ht="15" hidden="false" customHeight="false" outlineLevel="0" collapsed="false">
      <c r="A64" s="0" t="str">
        <f aca="false">الإجابات!A64</f>
        <v>S062</v>
      </c>
      <c r="B64" s="9" t="n">
        <f aca="false">IF(الإجابات!B64=الإجابات!B$2,1,0)</f>
        <v>0</v>
      </c>
      <c r="C64" s="9" t="n">
        <f aca="false">IF(الإجابات!C64=الإجابات!C$2,1,0)</f>
        <v>0</v>
      </c>
      <c r="D64" s="9" t="n">
        <f aca="false">IF(الإجابات!D64=الإجابات!D$2,1,0)</f>
        <v>0</v>
      </c>
      <c r="E64" s="9" t="n">
        <f aca="false">IF(الإجابات!E64=الإجابات!E$2,1,0)</f>
        <v>0</v>
      </c>
      <c r="F64" s="9" t="n">
        <f aca="false">IF(الإجابات!F64=الإجابات!F$2,1,0)</f>
        <v>0</v>
      </c>
      <c r="G64" s="9" t="n">
        <f aca="false">IF(الإجابات!G64=الإجابات!G$2,1,0)</f>
        <v>1</v>
      </c>
      <c r="H64" s="9" t="n">
        <f aca="false">IF(الإجابات!H64=الإجابات!H$2,1,0)</f>
        <v>1</v>
      </c>
      <c r="I64" s="9" t="n">
        <f aca="false">IF(الإجابات!I64=الإجابات!I$2,1,0)</f>
        <v>0</v>
      </c>
      <c r="J64" s="9" t="n">
        <f aca="false">IF(الإجابات!J64=الإجابات!J$2,1,0)</f>
        <v>1</v>
      </c>
      <c r="K64" s="9" t="n">
        <f aca="false">IF(الإجابات!K64=الإجابات!K$2,1,0)</f>
        <v>0</v>
      </c>
      <c r="L64" s="9" t="n">
        <f aca="false">IF(الإجابات!L64=الإجابات!L$2,1,0)</f>
        <v>0</v>
      </c>
      <c r="M64" s="9" t="n">
        <f aca="false">IF(الإجابات!M64=الإجابات!M$2,1,0)</f>
        <v>1</v>
      </c>
      <c r="N64" s="9" t="n">
        <f aca="false">IF(الإجابات!N64=الإجابات!N$2,1,0)</f>
        <v>0</v>
      </c>
      <c r="O64" s="9" t="n">
        <f aca="false">IF(الإجابات!O64=الإجابات!O$2,1,0)</f>
        <v>1</v>
      </c>
      <c r="P64" s="9" t="n">
        <f aca="false">IF(الإجابات!P64=الإجابات!P$2,1,0)</f>
        <v>0</v>
      </c>
      <c r="Q64" s="9" t="n">
        <f aca="false">IF(الإجابات!Q64=الإجابات!Q$2,1,0)</f>
        <v>1</v>
      </c>
      <c r="R64" s="9" t="n">
        <f aca="false">IF(الإجابات!R64=الإجابات!R$2,1,0)</f>
        <v>0</v>
      </c>
      <c r="S64" s="9" t="n">
        <f aca="false">IF(الإجابات!S64=الإجابات!S$2,1,0)</f>
        <v>0</v>
      </c>
      <c r="T64" s="9" t="n">
        <f aca="false">IF(الإجابات!T64=الإجابات!T$2,1,0)</f>
        <v>0</v>
      </c>
      <c r="U64" s="9" t="n">
        <f aca="false">IF(الإجابات!U64=الإجابات!U$2,1,0)</f>
        <v>0</v>
      </c>
      <c r="V64" s="9" t="n">
        <f aca="false">IF(الإجابات!V64=الإجابات!V$2,1,0)</f>
        <v>0</v>
      </c>
      <c r="W64" s="9" t="n">
        <f aca="false">IF(الإجابات!W64=الإجابات!W$2,1,0)</f>
        <v>0</v>
      </c>
      <c r="X64" s="9" t="n">
        <f aca="false">IF(الإجابات!X64=الإجابات!X$2,1,0)</f>
        <v>0</v>
      </c>
      <c r="Y64" s="9" t="n">
        <f aca="false">IF(الإجابات!Y64=الإجابات!Y$2,1,0)</f>
        <v>0</v>
      </c>
      <c r="Z64" s="9" t="n">
        <f aca="false">IF(الإجابات!Z64=الإجابات!Z$2,1,0)</f>
        <v>0</v>
      </c>
      <c r="AA64" s="9" t="n">
        <f aca="false">IF(الإجابات!AA64=الإجابات!AA$2,1,0)</f>
        <v>1</v>
      </c>
      <c r="AB64" s="9" t="n">
        <f aca="false">IF(الإجابات!AB64=الإجابات!AB$2,1,0)</f>
        <v>0</v>
      </c>
      <c r="AC64" s="9" t="n">
        <f aca="false">IF(الإجابات!AC64=الإجابات!AC$2,1,0)</f>
        <v>0</v>
      </c>
      <c r="AD64" s="9" t="n">
        <f aca="false">IF(الإجابات!AD64=الإجابات!AD$2,1,0)</f>
        <v>0</v>
      </c>
      <c r="AE64" s="9" t="n">
        <f aca="false">IF(الإجابات!AE64=الإجابات!AE$2,1,0)</f>
        <v>0</v>
      </c>
      <c r="AF64" s="9" t="n">
        <f aca="false">SUM(B64:AE64)</f>
        <v>7</v>
      </c>
    </row>
    <row r="65" customFormat="false" ht="15" hidden="false" customHeight="false" outlineLevel="0" collapsed="false">
      <c r="A65" s="0" t="str">
        <f aca="false">الإجابات!A65</f>
        <v>S063</v>
      </c>
      <c r="B65" s="9" t="n">
        <f aca="false">IF(الإجابات!B65=الإجابات!B$2,1,0)</f>
        <v>0</v>
      </c>
      <c r="C65" s="9" t="n">
        <f aca="false">IF(الإجابات!C65=الإجابات!C$2,1,0)</f>
        <v>0</v>
      </c>
      <c r="D65" s="9" t="n">
        <f aca="false">IF(الإجابات!D65=الإجابات!D$2,1,0)</f>
        <v>1</v>
      </c>
      <c r="E65" s="9" t="n">
        <f aca="false">IF(الإجابات!E65=الإجابات!E$2,1,0)</f>
        <v>0</v>
      </c>
      <c r="F65" s="9" t="n">
        <f aca="false">IF(الإجابات!F65=الإجابات!F$2,1,0)</f>
        <v>0</v>
      </c>
      <c r="G65" s="9" t="n">
        <f aca="false">IF(الإجابات!G65=الإجابات!G$2,1,0)</f>
        <v>0</v>
      </c>
      <c r="H65" s="9" t="n">
        <f aca="false">IF(الإجابات!H65=الإجابات!H$2,1,0)</f>
        <v>0</v>
      </c>
      <c r="I65" s="9" t="n">
        <f aca="false">IF(الإجابات!I65=الإجابات!I$2,1,0)</f>
        <v>0</v>
      </c>
      <c r="J65" s="9" t="n">
        <f aca="false">IF(الإجابات!J65=الإجابات!J$2,1,0)</f>
        <v>1</v>
      </c>
      <c r="K65" s="9" t="n">
        <f aca="false">IF(الإجابات!K65=الإجابات!K$2,1,0)</f>
        <v>0</v>
      </c>
      <c r="L65" s="9" t="n">
        <f aca="false">IF(الإجابات!L65=الإجابات!L$2,1,0)</f>
        <v>1</v>
      </c>
      <c r="M65" s="9" t="n">
        <f aca="false">IF(الإجابات!M65=الإجابات!M$2,1,0)</f>
        <v>1</v>
      </c>
      <c r="N65" s="9" t="n">
        <f aca="false">IF(الإجابات!N65=الإجابات!N$2,1,0)</f>
        <v>0</v>
      </c>
      <c r="O65" s="9" t="n">
        <f aca="false">IF(الإجابات!O65=الإجابات!O$2,1,0)</f>
        <v>1</v>
      </c>
      <c r="P65" s="9" t="n">
        <f aca="false">IF(الإجابات!P65=الإجابات!P$2,1,0)</f>
        <v>0</v>
      </c>
      <c r="Q65" s="9" t="n">
        <f aca="false">IF(الإجابات!Q65=الإجابات!Q$2,1,0)</f>
        <v>1</v>
      </c>
      <c r="R65" s="9" t="n">
        <f aca="false">IF(الإجابات!R65=الإجابات!R$2,1,0)</f>
        <v>1</v>
      </c>
      <c r="S65" s="9" t="n">
        <f aca="false">IF(الإجابات!S65=الإجابات!S$2,1,0)</f>
        <v>0</v>
      </c>
      <c r="T65" s="9" t="n">
        <f aca="false">IF(الإجابات!T65=الإجابات!T$2,1,0)</f>
        <v>0</v>
      </c>
      <c r="U65" s="9" t="n">
        <f aca="false">IF(الإجابات!U65=الإجابات!U$2,1,0)</f>
        <v>0</v>
      </c>
      <c r="V65" s="9" t="n">
        <f aca="false">IF(الإجابات!V65=الإجابات!V$2,1,0)</f>
        <v>0</v>
      </c>
      <c r="W65" s="9" t="n">
        <f aca="false">IF(الإجابات!W65=الإجابات!W$2,1,0)</f>
        <v>0</v>
      </c>
      <c r="X65" s="9" t="n">
        <f aca="false">IF(الإجابات!X65=الإجابات!X$2,1,0)</f>
        <v>1</v>
      </c>
      <c r="Y65" s="9" t="n">
        <f aca="false">IF(الإجابات!Y65=الإجابات!Y$2,1,0)</f>
        <v>0</v>
      </c>
      <c r="Z65" s="9" t="n">
        <f aca="false">IF(الإجابات!Z65=الإجابات!Z$2,1,0)</f>
        <v>0</v>
      </c>
      <c r="AA65" s="9" t="n">
        <f aca="false">IF(الإجابات!AA65=الإجابات!AA$2,1,0)</f>
        <v>0</v>
      </c>
      <c r="AB65" s="9" t="n">
        <f aca="false">IF(الإجابات!AB65=الإجابات!AB$2,1,0)</f>
        <v>0</v>
      </c>
      <c r="AC65" s="9" t="n">
        <f aca="false">IF(الإجابات!AC65=الإجابات!AC$2,1,0)</f>
        <v>0</v>
      </c>
      <c r="AD65" s="9" t="n">
        <f aca="false">IF(الإجابات!AD65=الإجابات!AD$2,1,0)</f>
        <v>0</v>
      </c>
      <c r="AE65" s="9" t="n">
        <f aca="false">IF(الإجابات!AE65=الإجابات!AE$2,1,0)</f>
        <v>0</v>
      </c>
      <c r="AF65" s="9" t="n">
        <f aca="false">SUM(B65:AE65)</f>
        <v>8</v>
      </c>
    </row>
    <row r="66" customFormat="false" ht="15" hidden="false" customHeight="false" outlineLevel="0" collapsed="false">
      <c r="A66" s="0" t="str">
        <f aca="false">الإجابات!A66</f>
        <v>S064</v>
      </c>
      <c r="B66" s="9" t="n">
        <f aca="false">IF(الإجابات!B66=الإجابات!B$2,1,0)</f>
        <v>1</v>
      </c>
      <c r="C66" s="9" t="n">
        <f aca="false">IF(الإجابات!C66=الإجابات!C$2,1,0)</f>
        <v>0</v>
      </c>
      <c r="D66" s="9" t="n">
        <f aca="false">IF(الإجابات!D66=الإجابات!D$2,1,0)</f>
        <v>0</v>
      </c>
      <c r="E66" s="9" t="n">
        <f aca="false">IF(الإجابات!E66=الإجابات!E$2,1,0)</f>
        <v>1</v>
      </c>
      <c r="F66" s="9" t="n">
        <f aca="false">IF(الإجابات!F66=الإجابات!F$2,1,0)</f>
        <v>0</v>
      </c>
      <c r="G66" s="9" t="n">
        <f aca="false">IF(الإجابات!G66=الإجابات!G$2,1,0)</f>
        <v>0</v>
      </c>
      <c r="H66" s="9" t="n">
        <f aca="false">IF(الإجابات!H66=الإجابات!H$2,1,0)</f>
        <v>1</v>
      </c>
      <c r="I66" s="9" t="n">
        <f aca="false">IF(الإجابات!I66=الإجابات!I$2,1,0)</f>
        <v>1</v>
      </c>
      <c r="J66" s="9" t="n">
        <f aca="false">IF(الإجابات!J66=الإجابات!J$2,1,0)</f>
        <v>1</v>
      </c>
      <c r="K66" s="9" t="n">
        <f aca="false">IF(الإجابات!K66=الإجابات!K$2,1,0)</f>
        <v>0</v>
      </c>
      <c r="L66" s="9" t="n">
        <f aca="false">IF(الإجابات!L66=الإجابات!L$2,1,0)</f>
        <v>1</v>
      </c>
      <c r="M66" s="9" t="n">
        <f aca="false">IF(الإجابات!M66=الإجابات!M$2,1,0)</f>
        <v>1</v>
      </c>
      <c r="N66" s="9" t="n">
        <f aca="false">IF(الإجابات!N66=الإجابات!N$2,1,0)</f>
        <v>0</v>
      </c>
      <c r="O66" s="9" t="n">
        <f aca="false">IF(الإجابات!O66=الإجابات!O$2,1,0)</f>
        <v>0</v>
      </c>
      <c r="P66" s="9" t="n">
        <f aca="false">IF(الإجابات!P66=الإجابات!P$2,1,0)</f>
        <v>1</v>
      </c>
      <c r="Q66" s="9" t="n">
        <f aca="false">IF(الإجابات!Q66=الإجابات!Q$2,1,0)</f>
        <v>1</v>
      </c>
      <c r="R66" s="9" t="n">
        <f aca="false">IF(الإجابات!R66=الإجابات!R$2,1,0)</f>
        <v>1</v>
      </c>
      <c r="S66" s="9" t="n">
        <f aca="false">IF(الإجابات!S66=الإجابات!S$2,1,0)</f>
        <v>0</v>
      </c>
      <c r="T66" s="9" t="n">
        <f aca="false">IF(الإجابات!T66=الإجابات!T$2,1,0)</f>
        <v>1</v>
      </c>
      <c r="U66" s="9" t="n">
        <f aca="false">IF(الإجابات!U66=الإجابات!U$2,1,0)</f>
        <v>0</v>
      </c>
      <c r="V66" s="9" t="n">
        <f aca="false">IF(الإجابات!V66=الإجابات!V$2,1,0)</f>
        <v>0</v>
      </c>
      <c r="W66" s="9" t="n">
        <f aca="false">IF(الإجابات!W66=الإجابات!W$2,1,0)</f>
        <v>0</v>
      </c>
      <c r="X66" s="9" t="n">
        <f aca="false">IF(الإجابات!X66=الإجابات!X$2,1,0)</f>
        <v>0</v>
      </c>
      <c r="Y66" s="9" t="n">
        <f aca="false">IF(الإجابات!Y66=الإجابات!Y$2,1,0)</f>
        <v>0</v>
      </c>
      <c r="Z66" s="9" t="n">
        <f aca="false">IF(الإجابات!Z66=الإجابات!Z$2,1,0)</f>
        <v>1</v>
      </c>
      <c r="AA66" s="9" t="n">
        <f aca="false">IF(الإجابات!AA66=الإجابات!AA$2,1,0)</f>
        <v>1</v>
      </c>
      <c r="AB66" s="9" t="n">
        <f aca="false">IF(الإجابات!AB66=الإجابات!AB$2,1,0)</f>
        <v>0</v>
      </c>
      <c r="AC66" s="9" t="n">
        <f aca="false">IF(الإجابات!AC66=الإجابات!AC$2,1,0)</f>
        <v>1</v>
      </c>
      <c r="AD66" s="9" t="n">
        <f aca="false">IF(الإجابات!AD66=الإجابات!AD$2,1,0)</f>
        <v>0</v>
      </c>
      <c r="AE66" s="9" t="n">
        <f aca="false">IF(الإجابات!AE66=الإجابات!AE$2,1,0)</f>
        <v>0</v>
      </c>
      <c r="AF66" s="9" t="n">
        <f aca="false">SUM(B66:AE66)</f>
        <v>14</v>
      </c>
    </row>
    <row r="67" customFormat="false" ht="15" hidden="false" customHeight="false" outlineLevel="0" collapsed="false">
      <c r="A67" s="0" t="str">
        <f aca="false">الإجابات!A67</f>
        <v>S065</v>
      </c>
      <c r="B67" s="9" t="n">
        <f aca="false">IF(الإجابات!B67=الإجابات!B$2,1,0)</f>
        <v>0</v>
      </c>
      <c r="C67" s="9" t="n">
        <f aca="false">IF(الإجابات!C67=الإجابات!C$2,1,0)</f>
        <v>0</v>
      </c>
      <c r="D67" s="9" t="n">
        <f aca="false">IF(الإجابات!D67=الإجابات!D$2,1,0)</f>
        <v>0</v>
      </c>
      <c r="E67" s="9" t="n">
        <f aca="false">IF(الإجابات!E67=الإجابات!E$2,1,0)</f>
        <v>0</v>
      </c>
      <c r="F67" s="9" t="n">
        <f aca="false">IF(الإجابات!F67=الإجابات!F$2,1,0)</f>
        <v>0</v>
      </c>
      <c r="G67" s="9" t="n">
        <f aca="false">IF(الإجابات!G67=الإجابات!G$2,1,0)</f>
        <v>0</v>
      </c>
      <c r="H67" s="9" t="n">
        <f aca="false">IF(الإجابات!H67=الإجابات!H$2,1,0)</f>
        <v>0</v>
      </c>
      <c r="I67" s="9" t="n">
        <f aca="false">IF(الإجابات!I67=الإجابات!I$2,1,0)</f>
        <v>0</v>
      </c>
      <c r="J67" s="9" t="n">
        <f aca="false">IF(الإجابات!J67=الإجابات!J$2,1,0)</f>
        <v>1</v>
      </c>
      <c r="K67" s="9" t="n">
        <f aca="false">IF(الإجابات!K67=الإجابات!K$2,1,0)</f>
        <v>0</v>
      </c>
      <c r="L67" s="9" t="n">
        <f aca="false">IF(الإجابات!L67=الإجابات!L$2,1,0)</f>
        <v>0</v>
      </c>
      <c r="M67" s="9" t="n">
        <f aca="false">IF(الإجابات!M67=الإجابات!M$2,1,0)</f>
        <v>1</v>
      </c>
      <c r="N67" s="9" t="n">
        <f aca="false">IF(الإجابات!N67=الإجابات!N$2,1,0)</f>
        <v>0</v>
      </c>
      <c r="O67" s="9" t="n">
        <f aca="false">IF(الإجابات!O67=الإجابات!O$2,1,0)</f>
        <v>0</v>
      </c>
      <c r="P67" s="9" t="n">
        <f aca="false">IF(الإجابات!P67=الإجابات!P$2,1,0)</f>
        <v>0</v>
      </c>
      <c r="Q67" s="9" t="n">
        <f aca="false">IF(الإجابات!Q67=الإجابات!Q$2,1,0)</f>
        <v>1</v>
      </c>
      <c r="R67" s="9" t="n">
        <f aca="false">IF(الإجابات!R67=الإجابات!R$2,1,0)</f>
        <v>1</v>
      </c>
      <c r="S67" s="9" t="n">
        <f aca="false">IF(الإجابات!S67=الإجابات!S$2,1,0)</f>
        <v>0</v>
      </c>
      <c r="T67" s="9" t="n">
        <f aca="false">IF(الإجابات!T67=الإجابات!T$2,1,0)</f>
        <v>0</v>
      </c>
      <c r="U67" s="9" t="n">
        <f aca="false">IF(الإجابات!U67=الإجابات!U$2,1,0)</f>
        <v>0</v>
      </c>
      <c r="V67" s="9" t="n">
        <f aca="false">IF(الإجابات!V67=الإجابات!V$2,1,0)</f>
        <v>0</v>
      </c>
      <c r="W67" s="9" t="n">
        <f aca="false">IF(الإجابات!W67=الإجابات!W$2,1,0)</f>
        <v>0</v>
      </c>
      <c r="X67" s="9" t="n">
        <f aca="false">IF(الإجابات!X67=الإجابات!X$2,1,0)</f>
        <v>1</v>
      </c>
      <c r="Y67" s="9" t="n">
        <f aca="false">IF(الإجابات!Y67=الإجابات!Y$2,1,0)</f>
        <v>0</v>
      </c>
      <c r="Z67" s="9" t="n">
        <f aca="false">IF(الإجابات!Z67=الإجابات!Z$2,1,0)</f>
        <v>0</v>
      </c>
      <c r="AA67" s="9" t="n">
        <f aca="false">IF(الإجابات!AA67=الإجابات!AA$2,1,0)</f>
        <v>0</v>
      </c>
      <c r="AB67" s="9" t="n">
        <f aca="false">IF(الإجابات!AB67=الإجابات!AB$2,1,0)</f>
        <v>1</v>
      </c>
      <c r="AC67" s="9" t="n">
        <f aca="false">IF(الإجابات!AC67=الإجابات!AC$2,1,0)</f>
        <v>0</v>
      </c>
      <c r="AD67" s="9" t="n">
        <f aca="false">IF(الإجابات!AD67=الإجابات!AD$2,1,0)</f>
        <v>0</v>
      </c>
      <c r="AE67" s="9" t="n">
        <f aca="false">IF(الإجابات!AE67=الإجابات!AE$2,1,0)</f>
        <v>0</v>
      </c>
      <c r="AF67" s="9" t="n">
        <f aca="false">SUM(B67:AE67)</f>
        <v>6</v>
      </c>
    </row>
    <row r="68" customFormat="false" ht="15" hidden="false" customHeight="false" outlineLevel="0" collapsed="false">
      <c r="A68" s="0" t="str">
        <f aca="false">الإجابات!A68</f>
        <v>S066</v>
      </c>
      <c r="B68" s="9" t="n">
        <f aca="false">IF(الإجابات!B68=الإجابات!B$2,1,0)</f>
        <v>1</v>
      </c>
      <c r="C68" s="9" t="n">
        <f aca="false">IF(الإجابات!C68=الإجابات!C$2,1,0)</f>
        <v>0</v>
      </c>
      <c r="D68" s="9" t="n">
        <f aca="false">IF(الإجابات!D68=الإجابات!D$2,1,0)</f>
        <v>0</v>
      </c>
      <c r="E68" s="9" t="n">
        <f aca="false">IF(الإجابات!E68=الإجابات!E$2,1,0)</f>
        <v>1</v>
      </c>
      <c r="F68" s="9" t="n">
        <f aca="false">IF(الإجابات!F68=الإجابات!F$2,1,0)</f>
        <v>1</v>
      </c>
      <c r="G68" s="9" t="n">
        <f aca="false">IF(الإجابات!G68=الإجابات!G$2,1,0)</f>
        <v>1</v>
      </c>
      <c r="H68" s="9" t="n">
        <f aca="false">IF(الإجابات!H68=الإجابات!H$2,1,0)</f>
        <v>0</v>
      </c>
      <c r="I68" s="9" t="n">
        <f aca="false">IF(الإجابات!I68=الإجابات!I$2,1,0)</f>
        <v>1</v>
      </c>
      <c r="J68" s="9" t="n">
        <f aca="false">IF(الإجابات!J68=الإجابات!J$2,1,0)</f>
        <v>1</v>
      </c>
      <c r="K68" s="9" t="n">
        <f aca="false">IF(الإجابات!K68=الإجابات!K$2,1,0)</f>
        <v>1</v>
      </c>
      <c r="L68" s="9" t="n">
        <f aca="false">IF(الإجابات!L68=الإجابات!L$2,1,0)</f>
        <v>1</v>
      </c>
      <c r="M68" s="9" t="n">
        <f aca="false">IF(الإجابات!M68=الإجابات!M$2,1,0)</f>
        <v>1</v>
      </c>
      <c r="N68" s="9" t="n">
        <f aca="false">IF(الإجابات!N68=الإجابات!N$2,1,0)</f>
        <v>1</v>
      </c>
      <c r="O68" s="9" t="n">
        <f aca="false">IF(الإجابات!O68=الإجابات!O$2,1,0)</f>
        <v>1</v>
      </c>
      <c r="P68" s="9" t="n">
        <f aca="false">IF(الإجابات!P68=الإجابات!P$2,1,0)</f>
        <v>0</v>
      </c>
      <c r="Q68" s="9" t="n">
        <f aca="false">IF(الإجابات!Q68=الإجابات!Q$2,1,0)</f>
        <v>1</v>
      </c>
      <c r="R68" s="9" t="n">
        <f aca="false">IF(الإجابات!R68=الإجابات!R$2,1,0)</f>
        <v>1</v>
      </c>
      <c r="S68" s="9" t="n">
        <f aca="false">IF(الإجابات!S68=الإجابات!S$2,1,0)</f>
        <v>0</v>
      </c>
      <c r="T68" s="9" t="n">
        <f aca="false">IF(الإجابات!T68=الإجابات!T$2,1,0)</f>
        <v>0</v>
      </c>
      <c r="U68" s="9" t="n">
        <f aca="false">IF(الإجابات!U68=الإجابات!U$2,1,0)</f>
        <v>1</v>
      </c>
      <c r="V68" s="9" t="n">
        <f aca="false">IF(الإجابات!V68=الإجابات!V$2,1,0)</f>
        <v>1</v>
      </c>
      <c r="W68" s="9" t="n">
        <f aca="false">IF(الإجابات!W68=الإجابات!W$2,1,0)</f>
        <v>1</v>
      </c>
      <c r="X68" s="9" t="n">
        <f aca="false">IF(الإجابات!X68=الإجابات!X$2,1,0)</f>
        <v>1</v>
      </c>
      <c r="Y68" s="9" t="n">
        <f aca="false">IF(الإجابات!Y68=الإجابات!Y$2,1,0)</f>
        <v>1</v>
      </c>
      <c r="Z68" s="9" t="n">
        <f aca="false">IF(الإجابات!Z68=الإجابات!Z$2,1,0)</f>
        <v>1</v>
      </c>
      <c r="AA68" s="9" t="n">
        <f aca="false">IF(الإجابات!AA68=الإجابات!AA$2,1,0)</f>
        <v>1</v>
      </c>
      <c r="AB68" s="9" t="n">
        <f aca="false">IF(الإجابات!AB68=الإجابات!AB$2,1,0)</f>
        <v>0</v>
      </c>
      <c r="AC68" s="9" t="n">
        <f aca="false">IF(الإجابات!AC68=الإجابات!AC$2,1,0)</f>
        <v>1</v>
      </c>
      <c r="AD68" s="9" t="n">
        <f aca="false">IF(الإجابات!AD68=الإجابات!AD$2,1,0)</f>
        <v>1</v>
      </c>
      <c r="AE68" s="9" t="n">
        <f aca="false">IF(الإجابات!AE68=الإجابات!AE$2,1,0)</f>
        <v>1</v>
      </c>
      <c r="AF68" s="9" t="n">
        <f aca="false">SUM(B68:AE68)</f>
        <v>23</v>
      </c>
    </row>
    <row r="69" customFormat="false" ht="15" hidden="false" customHeight="false" outlineLevel="0" collapsed="false">
      <c r="A69" s="0" t="str">
        <f aca="false">الإجابات!A69</f>
        <v>S067</v>
      </c>
      <c r="B69" s="9" t="n">
        <f aca="false">IF(الإجابات!B69=الإجابات!B$2,1,0)</f>
        <v>1</v>
      </c>
      <c r="C69" s="9" t="n">
        <f aca="false">IF(الإجابات!C69=الإجابات!C$2,1,0)</f>
        <v>0</v>
      </c>
      <c r="D69" s="9" t="n">
        <f aca="false">IF(الإجابات!D69=الإجابات!D$2,1,0)</f>
        <v>0</v>
      </c>
      <c r="E69" s="9" t="n">
        <f aca="false">IF(الإجابات!E69=الإجابات!E$2,1,0)</f>
        <v>1</v>
      </c>
      <c r="F69" s="9" t="n">
        <f aca="false">IF(الإجابات!F69=الإجابات!F$2,1,0)</f>
        <v>1</v>
      </c>
      <c r="G69" s="9" t="n">
        <f aca="false">IF(الإجابات!G69=الإجابات!G$2,1,0)</f>
        <v>0</v>
      </c>
      <c r="H69" s="9" t="n">
        <f aca="false">IF(الإجابات!H69=الإجابات!H$2,1,0)</f>
        <v>1</v>
      </c>
      <c r="I69" s="9" t="n">
        <f aca="false">IF(الإجابات!I69=الإجابات!I$2,1,0)</f>
        <v>0</v>
      </c>
      <c r="J69" s="9" t="n">
        <f aca="false">IF(الإجابات!J69=الإجابات!J$2,1,0)</f>
        <v>1</v>
      </c>
      <c r="K69" s="9" t="n">
        <f aca="false">IF(الإجابات!K69=الإجابات!K$2,1,0)</f>
        <v>0</v>
      </c>
      <c r="L69" s="9" t="n">
        <f aca="false">IF(الإجابات!L69=الإجابات!L$2,1,0)</f>
        <v>0</v>
      </c>
      <c r="M69" s="9" t="n">
        <f aca="false">IF(الإجابات!M69=الإجابات!M$2,1,0)</f>
        <v>1</v>
      </c>
      <c r="N69" s="9" t="n">
        <f aca="false">IF(الإجابات!N69=الإجابات!N$2,1,0)</f>
        <v>0</v>
      </c>
      <c r="O69" s="9" t="n">
        <f aca="false">IF(الإجابات!O69=الإجابات!O$2,1,0)</f>
        <v>1</v>
      </c>
      <c r="P69" s="9" t="n">
        <f aca="false">IF(الإجابات!P69=الإجابات!P$2,1,0)</f>
        <v>0</v>
      </c>
      <c r="Q69" s="9" t="n">
        <f aca="false">IF(الإجابات!Q69=الإجابات!Q$2,1,0)</f>
        <v>1</v>
      </c>
      <c r="R69" s="9" t="n">
        <f aca="false">IF(الإجابات!R69=الإجابات!R$2,1,0)</f>
        <v>1</v>
      </c>
      <c r="S69" s="9" t="n">
        <f aca="false">IF(الإجابات!S69=الإجابات!S$2,1,0)</f>
        <v>1</v>
      </c>
      <c r="T69" s="9" t="n">
        <f aca="false">IF(الإجابات!T69=الإجابات!T$2,1,0)</f>
        <v>0</v>
      </c>
      <c r="U69" s="9" t="n">
        <f aca="false">IF(الإجابات!U69=الإجابات!U$2,1,0)</f>
        <v>1</v>
      </c>
      <c r="V69" s="9" t="n">
        <f aca="false">IF(الإجابات!V69=الإجابات!V$2,1,0)</f>
        <v>1</v>
      </c>
      <c r="W69" s="9" t="n">
        <f aca="false">IF(الإجابات!W69=الإجابات!W$2,1,0)</f>
        <v>1</v>
      </c>
      <c r="X69" s="9" t="n">
        <f aca="false">IF(الإجابات!X69=الإجابات!X$2,1,0)</f>
        <v>0</v>
      </c>
      <c r="Y69" s="9" t="n">
        <f aca="false">IF(الإجابات!Y69=الإجابات!Y$2,1,0)</f>
        <v>1</v>
      </c>
      <c r="Z69" s="9" t="n">
        <f aca="false">IF(الإجابات!Z69=الإجابات!Z$2,1,0)</f>
        <v>0</v>
      </c>
      <c r="AA69" s="9" t="n">
        <f aca="false">IF(الإجابات!AA69=الإجابات!AA$2,1,0)</f>
        <v>1</v>
      </c>
      <c r="AB69" s="9" t="n">
        <f aca="false">IF(الإجابات!AB69=الإجابات!AB$2,1,0)</f>
        <v>0</v>
      </c>
      <c r="AC69" s="9" t="n">
        <f aca="false">IF(الإجابات!AC69=الإجابات!AC$2,1,0)</f>
        <v>0</v>
      </c>
      <c r="AD69" s="9" t="n">
        <f aca="false">IF(الإجابات!AD69=الإجابات!AD$2,1,0)</f>
        <v>0</v>
      </c>
      <c r="AE69" s="9" t="n">
        <f aca="false">IF(الإجابات!AE69=الإجابات!AE$2,1,0)</f>
        <v>0</v>
      </c>
      <c r="AF69" s="9" t="n">
        <f aca="false">SUM(B69:AE69)</f>
        <v>15</v>
      </c>
    </row>
    <row r="70" customFormat="false" ht="15" hidden="false" customHeight="false" outlineLevel="0" collapsed="false">
      <c r="A70" s="0" t="str">
        <f aca="false">الإجابات!A70</f>
        <v>S068</v>
      </c>
      <c r="B70" s="9" t="n">
        <f aca="false">IF(الإجابات!B70=الإجابات!B$2,1,0)</f>
        <v>1</v>
      </c>
      <c r="C70" s="9" t="n">
        <f aca="false">IF(الإجابات!C70=الإجابات!C$2,1,0)</f>
        <v>1</v>
      </c>
      <c r="D70" s="9" t="n">
        <f aca="false">IF(الإجابات!D70=الإجابات!D$2,1,0)</f>
        <v>0</v>
      </c>
      <c r="E70" s="9" t="n">
        <f aca="false">IF(الإجابات!E70=الإجابات!E$2,1,0)</f>
        <v>1</v>
      </c>
      <c r="F70" s="9" t="n">
        <f aca="false">IF(الإجابات!F70=الإجابات!F$2,1,0)</f>
        <v>1</v>
      </c>
      <c r="G70" s="9" t="n">
        <f aca="false">IF(الإجابات!G70=الإجابات!G$2,1,0)</f>
        <v>0</v>
      </c>
      <c r="H70" s="9" t="n">
        <f aca="false">IF(الإجابات!H70=الإجابات!H$2,1,0)</f>
        <v>0</v>
      </c>
      <c r="I70" s="9" t="n">
        <f aca="false">IF(الإجابات!I70=الإجابات!I$2,1,0)</f>
        <v>1</v>
      </c>
      <c r="J70" s="9" t="n">
        <f aca="false">IF(الإجابات!J70=الإجابات!J$2,1,0)</f>
        <v>1</v>
      </c>
      <c r="K70" s="9" t="n">
        <f aca="false">IF(الإجابات!K70=الإجابات!K$2,1,0)</f>
        <v>0</v>
      </c>
      <c r="L70" s="9" t="n">
        <f aca="false">IF(الإجابات!L70=الإجابات!L$2,1,0)</f>
        <v>1</v>
      </c>
      <c r="M70" s="9" t="n">
        <f aca="false">IF(الإجابات!M70=الإجابات!M$2,1,0)</f>
        <v>1</v>
      </c>
      <c r="N70" s="9" t="n">
        <f aca="false">IF(الإجابات!N70=الإجابات!N$2,1,0)</f>
        <v>0</v>
      </c>
      <c r="O70" s="9" t="n">
        <f aca="false">IF(الإجابات!O70=الإجابات!O$2,1,0)</f>
        <v>1</v>
      </c>
      <c r="P70" s="9" t="n">
        <f aca="false">IF(الإجابات!P70=الإجابات!P$2,1,0)</f>
        <v>0</v>
      </c>
      <c r="Q70" s="9" t="n">
        <f aca="false">IF(الإجابات!Q70=الإجابات!Q$2,1,0)</f>
        <v>0</v>
      </c>
      <c r="R70" s="9" t="n">
        <f aca="false">IF(الإجابات!R70=الإجابات!R$2,1,0)</f>
        <v>1</v>
      </c>
      <c r="S70" s="9" t="n">
        <f aca="false">IF(الإجابات!S70=الإجابات!S$2,1,0)</f>
        <v>0</v>
      </c>
      <c r="T70" s="9" t="n">
        <f aca="false">IF(الإجابات!T70=الإجابات!T$2,1,0)</f>
        <v>1</v>
      </c>
      <c r="U70" s="9" t="n">
        <f aca="false">IF(الإجابات!U70=الإجابات!U$2,1,0)</f>
        <v>1</v>
      </c>
      <c r="V70" s="9" t="n">
        <f aca="false">IF(الإجابات!V70=الإجابات!V$2,1,0)</f>
        <v>1</v>
      </c>
      <c r="W70" s="9" t="n">
        <f aca="false">IF(الإجابات!W70=الإجابات!W$2,1,0)</f>
        <v>0</v>
      </c>
      <c r="X70" s="9" t="n">
        <f aca="false">IF(الإجابات!X70=الإجابات!X$2,1,0)</f>
        <v>0</v>
      </c>
      <c r="Y70" s="9" t="n">
        <f aca="false">IF(الإجابات!Y70=الإجابات!Y$2,1,0)</f>
        <v>1</v>
      </c>
      <c r="Z70" s="9" t="n">
        <f aca="false">IF(الإجابات!Z70=الإجابات!Z$2,1,0)</f>
        <v>0</v>
      </c>
      <c r="AA70" s="9" t="n">
        <f aca="false">IF(الإجابات!AA70=الإجابات!AA$2,1,0)</f>
        <v>0</v>
      </c>
      <c r="AB70" s="9" t="n">
        <f aca="false">IF(الإجابات!AB70=الإجابات!AB$2,1,0)</f>
        <v>0</v>
      </c>
      <c r="AC70" s="9" t="n">
        <f aca="false">IF(الإجابات!AC70=الإجابات!AC$2,1,0)</f>
        <v>1</v>
      </c>
      <c r="AD70" s="9" t="n">
        <f aca="false">IF(الإجابات!AD70=الإجابات!AD$2,1,0)</f>
        <v>1</v>
      </c>
      <c r="AE70" s="9" t="n">
        <f aca="false">IF(الإجابات!AE70=الإجابات!AE$2,1,0)</f>
        <v>0</v>
      </c>
      <c r="AF70" s="9" t="n">
        <f aca="false">SUM(B70:AE70)</f>
        <v>16</v>
      </c>
    </row>
    <row r="71" customFormat="false" ht="15" hidden="false" customHeight="false" outlineLevel="0" collapsed="false">
      <c r="A71" s="0" t="str">
        <f aca="false">الإجابات!A71</f>
        <v>S069</v>
      </c>
      <c r="B71" s="9" t="n">
        <f aca="false">IF(الإجابات!B71=الإجابات!B$2,1,0)</f>
        <v>0</v>
      </c>
      <c r="C71" s="9" t="n">
        <f aca="false">IF(الإجابات!C71=الإجابات!C$2,1,0)</f>
        <v>1</v>
      </c>
      <c r="D71" s="9" t="n">
        <f aca="false">IF(الإجابات!D71=الإجابات!D$2,1,0)</f>
        <v>1</v>
      </c>
      <c r="E71" s="9" t="n">
        <f aca="false">IF(الإجابات!E71=الإجابات!E$2,1,0)</f>
        <v>0</v>
      </c>
      <c r="F71" s="9" t="n">
        <f aca="false">IF(الإجابات!F71=الإجابات!F$2,1,0)</f>
        <v>0</v>
      </c>
      <c r="G71" s="9" t="n">
        <f aca="false">IF(الإجابات!G71=الإجابات!G$2,1,0)</f>
        <v>1</v>
      </c>
      <c r="H71" s="9" t="n">
        <f aca="false">IF(الإجابات!H71=الإجابات!H$2,1,0)</f>
        <v>1</v>
      </c>
      <c r="I71" s="9" t="n">
        <f aca="false">IF(الإجابات!I71=الإجابات!I$2,1,0)</f>
        <v>0</v>
      </c>
      <c r="J71" s="9" t="n">
        <f aca="false">IF(الإجابات!J71=الإجابات!J$2,1,0)</f>
        <v>1</v>
      </c>
      <c r="K71" s="9" t="n">
        <f aca="false">IF(الإجابات!K71=الإجابات!K$2,1,0)</f>
        <v>0</v>
      </c>
      <c r="L71" s="9" t="n">
        <f aca="false">IF(الإجابات!L71=الإجابات!L$2,1,0)</f>
        <v>0</v>
      </c>
      <c r="M71" s="9" t="n">
        <f aca="false">IF(الإجابات!M71=الإجابات!M$2,1,0)</f>
        <v>1</v>
      </c>
      <c r="N71" s="9" t="n">
        <f aca="false">IF(الإجابات!N71=الإجابات!N$2,1,0)</f>
        <v>0</v>
      </c>
      <c r="O71" s="9" t="n">
        <f aca="false">IF(الإجابات!O71=الإجابات!O$2,1,0)</f>
        <v>0</v>
      </c>
      <c r="P71" s="9" t="n">
        <f aca="false">IF(الإجابات!P71=الإجابات!P$2,1,0)</f>
        <v>0</v>
      </c>
      <c r="Q71" s="9" t="n">
        <f aca="false">IF(الإجابات!Q71=الإجابات!Q$2,1,0)</f>
        <v>1</v>
      </c>
      <c r="R71" s="9" t="n">
        <f aca="false">IF(الإجابات!R71=الإجابات!R$2,1,0)</f>
        <v>1</v>
      </c>
      <c r="S71" s="9" t="n">
        <f aca="false">IF(الإجابات!S71=الإجابات!S$2,1,0)</f>
        <v>0</v>
      </c>
      <c r="T71" s="9" t="n">
        <f aca="false">IF(الإجابات!T71=الإجابات!T$2,1,0)</f>
        <v>0</v>
      </c>
      <c r="U71" s="9" t="n">
        <f aca="false">IF(الإجابات!U71=الإجابات!U$2,1,0)</f>
        <v>0</v>
      </c>
      <c r="V71" s="9" t="n">
        <f aca="false">IF(الإجابات!V71=الإجابات!V$2,1,0)</f>
        <v>1</v>
      </c>
      <c r="W71" s="9" t="n">
        <f aca="false">IF(الإجابات!W71=الإجابات!W$2,1,0)</f>
        <v>0</v>
      </c>
      <c r="X71" s="9" t="n">
        <f aca="false">IF(الإجابات!X71=الإجابات!X$2,1,0)</f>
        <v>0</v>
      </c>
      <c r="Y71" s="9" t="n">
        <f aca="false">IF(الإجابات!Y71=الإجابات!Y$2,1,0)</f>
        <v>0</v>
      </c>
      <c r="Z71" s="9" t="n">
        <f aca="false">IF(الإجابات!Z71=الإجابات!Z$2,1,0)</f>
        <v>0</v>
      </c>
      <c r="AA71" s="9" t="n">
        <f aca="false">IF(الإجابات!AA71=الإجابات!AA$2,1,0)</f>
        <v>0</v>
      </c>
      <c r="AB71" s="9" t="n">
        <f aca="false">IF(الإجابات!AB71=الإجابات!AB$2,1,0)</f>
        <v>1</v>
      </c>
      <c r="AC71" s="9" t="n">
        <f aca="false">IF(الإجابات!AC71=الإجابات!AC$2,1,0)</f>
        <v>0</v>
      </c>
      <c r="AD71" s="9" t="n">
        <f aca="false">IF(الإجابات!AD71=الإجابات!AD$2,1,0)</f>
        <v>0</v>
      </c>
      <c r="AE71" s="9" t="n">
        <f aca="false">IF(الإجابات!AE71=الإجابات!AE$2,1,0)</f>
        <v>0</v>
      </c>
      <c r="AF71" s="9" t="n">
        <f aca="false">SUM(B71:AE71)</f>
        <v>10</v>
      </c>
    </row>
    <row r="72" customFormat="false" ht="15" hidden="false" customHeight="false" outlineLevel="0" collapsed="false">
      <c r="A72" s="0" t="str">
        <f aca="false">الإجابات!A72</f>
        <v>S070</v>
      </c>
      <c r="B72" s="9" t="n">
        <f aca="false">IF(الإجابات!B72=الإجابات!B$2,1,0)</f>
        <v>1</v>
      </c>
      <c r="C72" s="9" t="n">
        <f aca="false">IF(الإجابات!C72=الإجابات!C$2,1,0)</f>
        <v>1</v>
      </c>
      <c r="D72" s="9" t="n">
        <f aca="false">IF(الإجابات!D72=الإجابات!D$2,1,0)</f>
        <v>1</v>
      </c>
      <c r="E72" s="9" t="n">
        <f aca="false">IF(الإجابات!E72=الإجابات!E$2,1,0)</f>
        <v>1</v>
      </c>
      <c r="F72" s="9" t="n">
        <f aca="false">IF(الإجابات!F72=الإجابات!F$2,1,0)</f>
        <v>1</v>
      </c>
      <c r="G72" s="9" t="n">
        <f aca="false">IF(الإجابات!G72=الإجابات!G$2,1,0)</f>
        <v>0</v>
      </c>
      <c r="H72" s="9" t="n">
        <f aca="false">IF(الإجابات!H72=الإجابات!H$2,1,0)</f>
        <v>0</v>
      </c>
      <c r="I72" s="9" t="n">
        <f aca="false">IF(الإجابات!I72=الإجابات!I$2,1,0)</f>
        <v>1</v>
      </c>
      <c r="J72" s="9" t="n">
        <f aca="false">IF(الإجابات!J72=الإجابات!J$2,1,0)</f>
        <v>1</v>
      </c>
      <c r="K72" s="9" t="n">
        <f aca="false">IF(الإجابات!K72=الإجابات!K$2,1,0)</f>
        <v>0</v>
      </c>
      <c r="L72" s="9" t="n">
        <f aca="false">IF(الإجابات!L72=الإجابات!L$2,1,0)</f>
        <v>1</v>
      </c>
      <c r="M72" s="9" t="n">
        <f aca="false">IF(الإجابات!M72=الإجابات!M$2,1,0)</f>
        <v>1</v>
      </c>
      <c r="N72" s="9" t="n">
        <f aca="false">IF(الإجابات!N72=الإجابات!N$2,1,0)</f>
        <v>0</v>
      </c>
      <c r="O72" s="9" t="n">
        <f aca="false">IF(الإجابات!O72=الإجابات!O$2,1,0)</f>
        <v>1</v>
      </c>
      <c r="P72" s="9" t="n">
        <f aca="false">IF(الإجابات!P72=الإجابات!P$2,1,0)</f>
        <v>1</v>
      </c>
      <c r="Q72" s="9" t="n">
        <f aca="false">IF(الإجابات!Q72=الإجابات!Q$2,1,0)</f>
        <v>1</v>
      </c>
      <c r="R72" s="9" t="n">
        <f aca="false">IF(الإجابات!R72=الإجابات!R$2,1,0)</f>
        <v>1</v>
      </c>
      <c r="S72" s="9" t="n">
        <f aca="false">IF(الإجابات!S72=الإجابات!S$2,1,0)</f>
        <v>0</v>
      </c>
      <c r="T72" s="9" t="n">
        <f aca="false">IF(الإجابات!T72=الإجابات!T$2,1,0)</f>
        <v>0</v>
      </c>
      <c r="U72" s="9" t="n">
        <f aca="false">IF(الإجابات!U72=الإجابات!U$2,1,0)</f>
        <v>0</v>
      </c>
      <c r="V72" s="9" t="n">
        <f aca="false">IF(الإجابات!V72=الإجابات!V$2,1,0)</f>
        <v>1</v>
      </c>
      <c r="W72" s="9" t="n">
        <f aca="false">IF(الإجابات!W72=الإجابات!W$2,1,0)</f>
        <v>0</v>
      </c>
      <c r="X72" s="9" t="n">
        <f aca="false">IF(الإجابات!X72=الإجابات!X$2,1,0)</f>
        <v>1</v>
      </c>
      <c r="Y72" s="9" t="n">
        <f aca="false">IF(الإجابات!Y72=الإجابات!Y$2,1,0)</f>
        <v>0</v>
      </c>
      <c r="Z72" s="9" t="n">
        <f aca="false">IF(الإجابات!Z72=الإجابات!Z$2,1,0)</f>
        <v>0</v>
      </c>
      <c r="AA72" s="9" t="n">
        <f aca="false">IF(الإجابات!AA72=الإجابات!AA$2,1,0)</f>
        <v>0</v>
      </c>
      <c r="AB72" s="9" t="n">
        <f aca="false">IF(الإجابات!AB72=الإجابات!AB$2,1,0)</f>
        <v>1</v>
      </c>
      <c r="AC72" s="9" t="n">
        <f aca="false">IF(الإجابات!AC72=الإجابات!AC$2,1,0)</f>
        <v>0</v>
      </c>
      <c r="AD72" s="9" t="n">
        <f aca="false">IF(الإجابات!AD72=الإجابات!AD$2,1,0)</f>
        <v>1</v>
      </c>
      <c r="AE72" s="9" t="n">
        <f aca="false">IF(الإجابات!AE72=الإجابات!AE$2,1,0)</f>
        <v>1</v>
      </c>
      <c r="AF72" s="9" t="n">
        <f aca="false">SUM(B72:AE72)</f>
        <v>18</v>
      </c>
    </row>
    <row r="73" customFormat="false" ht="15" hidden="false" customHeight="false" outlineLevel="0" collapsed="false">
      <c r="A73" s="0" t="str">
        <f aca="false">الإجابات!A73</f>
        <v>S071</v>
      </c>
      <c r="B73" s="9" t="n">
        <f aca="false">IF(الإجابات!B73=الإجابات!B$2,1,0)</f>
        <v>0</v>
      </c>
      <c r="C73" s="9" t="n">
        <f aca="false">IF(الإجابات!C73=الإجابات!C$2,1,0)</f>
        <v>0</v>
      </c>
      <c r="D73" s="9" t="n">
        <f aca="false">IF(الإجابات!D73=الإجابات!D$2,1,0)</f>
        <v>0</v>
      </c>
      <c r="E73" s="9" t="n">
        <f aca="false">IF(الإجابات!E73=الإجابات!E$2,1,0)</f>
        <v>0</v>
      </c>
      <c r="F73" s="9" t="n">
        <f aca="false">IF(الإجابات!F73=الإجابات!F$2,1,0)</f>
        <v>0</v>
      </c>
      <c r="G73" s="9" t="n">
        <f aca="false">IF(الإجابات!G73=الإجابات!G$2,1,0)</f>
        <v>0</v>
      </c>
      <c r="H73" s="9" t="n">
        <f aca="false">IF(الإجابات!H73=الإجابات!H$2,1,0)</f>
        <v>1</v>
      </c>
      <c r="I73" s="9" t="n">
        <f aca="false">IF(الإجابات!I73=الإجابات!I$2,1,0)</f>
        <v>1</v>
      </c>
      <c r="J73" s="9" t="n">
        <f aca="false">IF(الإجابات!J73=الإجابات!J$2,1,0)</f>
        <v>1</v>
      </c>
      <c r="K73" s="9" t="n">
        <f aca="false">IF(الإجابات!K73=الإجابات!K$2,1,0)</f>
        <v>1</v>
      </c>
      <c r="L73" s="9" t="n">
        <f aca="false">IF(الإجابات!L73=الإجابات!L$2,1,0)</f>
        <v>0</v>
      </c>
      <c r="M73" s="9" t="n">
        <f aca="false">IF(الإجابات!M73=الإجابات!M$2,1,0)</f>
        <v>1</v>
      </c>
      <c r="N73" s="9" t="n">
        <f aca="false">IF(الإجابات!N73=الإجابات!N$2,1,0)</f>
        <v>0</v>
      </c>
      <c r="O73" s="9" t="n">
        <f aca="false">IF(الإجابات!O73=الإجابات!O$2,1,0)</f>
        <v>1</v>
      </c>
      <c r="P73" s="9" t="n">
        <f aca="false">IF(الإجابات!P73=الإجابات!P$2,1,0)</f>
        <v>1</v>
      </c>
      <c r="Q73" s="9" t="n">
        <f aca="false">IF(الإجابات!Q73=الإجابات!Q$2,1,0)</f>
        <v>1</v>
      </c>
      <c r="R73" s="9" t="n">
        <f aca="false">IF(الإجابات!R73=الإجابات!R$2,1,0)</f>
        <v>0</v>
      </c>
      <c r="S73" s="9" t="n">
        <f aca="false">IF(الإجابات!S73=الإجابات!S$2,1,0)</f>
        <v>0</v>
      </c>
      <c r="T73" s="9" t="n">
        <f aca="false">IF(الإجابات!T73=الإجابات!T$2,1,0)</f>
        <v>0</v>
      </c>
      <c r="U73" s="9" t="n">
        <f aca="false">IF(الإجابات!U73=الإجابات!U$2,1,0)</f>
        <v>0</v>
      </c>
      <c r="V73" s="9" t="n">
        <f aca="false">IF(الإجابات!V73=الإجابات!V$2,1,0)</f>
        <v>0</v>
      </c>
      <c r="W73" s="9" t="n">
        <f aca="false">IF(الإجابات!W73=الإجابات!W$2,1,0)</f>
        <v>0</v>
      </c>
      <c r="X73" s="9" t="n">
        <f aca="false">IF(الإجابات!X73=الإجابات!X$2,1,0)</f>
        <v>0</v>
      </c>
      <c r="Y73" s="9" t="n">
        <f aca="false">IF(الإجابات!Y73=الإجابات!Y$2,1,0)</f>
        <v>0</v>
      </c>
      <c r="Z73" s="9" t="n">
        <f aca="false">IF(الإجابات!Z73=الإجابات!Z$2,1,0)</f>
        <v>0</v>
      </c>
      <c r="AA73" s="9" t="n">
        <f aca="false">IF(الإجابات!AA73=الإجابات!AA$2,1,0)</f>
        <v>0</v>
      </c>
      <c r="AB73" s="9" t="n">
        <f aca="false">IF(الإجابات!AB73=الإجابات!AB$2,1,0)</f>
        <v>1</v>
      </c>
      <c r="AC73" s="9" t="n">
        <f aca="false">IF(الإجابات!AC73=الإجابات!AC$2,1,0)</f>
        <v>1</v>
      </c>
      <c r="AD73" s="9" t="n">
        <f aca="false">IF(الإجابات!AD73=الإجابات!AD$2,1,0)</f>
        <v>0</v>
      </c>
      <c r="AE73" s="9" t="n">
        <f aca="false">IF(الإجابات!AE73=الإجابات!AE$2,1,0)</f>
        <v>0</v>
      </c>
      <c r="AF73" s="9" t="n">
        <f aca="false">SUM(B73:AE73)</f>
        <v>10</v>
      </c>
    </row>
    <row r="74" customFormat="false" ht="15" hidden="false" customHeight="false" outlineLevel="0" collapsed="false">
      <c r="A74" s="0" t="str">
        <f aca="false">الإجابات!A74</f>
        <v>S072</v>
      </c>
      <c r="B74" s="9" t="n">
        <f aca="false">IF(الإجابات!B74=الإجابات!B$2,1,0)</f>
        <v>0</v>
      </c>
      <c r="C74" s="9" t="n">
        <f aca="false">IF(الإجابات!C74=الإجابات!C$2,1,0)</f>
        <v>1</v>
      </c>
      <c r="D74" s="9" t="n">
        <f aca="false">IF(الإجابات!D74=الإجابات!D$2,1,0)</f>
        <v>0</v>
      </c>
      <c r="E74" s="9" t="n">
        <f aca="false">IF(الإجابات!E74=الإجابات!E$2,1,0)</f>
        <v>0</v>
      </c>
      <c r="F74" s="9" t="n">
        <f aca="false">IF(الإجابات!F74=الإجابات!F$2,1,0)</f>
        <v>0</v>
      </c>
      <c r="G74" s="9" t="n">
        <f aca="false">IF(الإجابات!G74=الإجابات!G$2,1,0)</f>
        <v>1</v>
      </c>
      <c r="H74" s="9" t="n">
        <f aca="false">IF(الإجابات!H74=الإجابات!H$2,1,0)</f>
        <v>1</v>
      </c>
      <c r="I74" s="9" t="n">
        <f aca="false">IF(الإجابات!I74=الإجابات!I$2,1,0)</f>
        <v>0</v>
      </c>
      <c r="J74" s="9" t="n">
        <f aca="false">IF(الإجابات!J74=الإجابات!J$2,1,0)</f>
        <v>1</v>
      </c>
      <c r="K74" s="9" t="n">
        <f aca="false">IF(الإجابات!K74=الإجابات!K$2,1,0)</f>
        <v>0</v>
      </c>
      <c r="L74" s="9" t="n">
        <f aca="false">IF(الإجابات!L74=الإجابات!L$2,1,0)</f>
        <v>1</v>
      </c>
      <c r="M74" s="9" t="n">
        <f aca="false">IF(الإجابات!M74=الإجابات!M$2,1,0)</f>
        <v>1</v>
      </c>
      <c r="N74" s="9" t="n">
        <f aca="false">IF(الإجابات!N74=الإجابات!N$2,1,0)</f>
        <v>0</v>
      </c>
      <c r="O74" s="9" t="n">
        <f aca="false">IF(الإجابات!O74=الإجابات!O$2,1,0)</f>
        <v>1</v>
      </c>
      <c r="P74" s="9" t="n">
        <f aca="false">IF(الإجابات!P74=الإجابات!P$2,1,0)</f>
        <v>1</v>
      </c>
      <c r="Q74" s="9" t="n">
        <f aca="false">IF(الإجابات!Q74=الإجابات!Q$2,1,0)</f>
        <v>1</v>
      </c>
      <c r="R74" s="9" t="n">
        <f aca="false">IF(الإجابات!R74=الإجابات!R$2,1,0)</f>
        <v>1</v>
      </c>
      <c r="S74" s="9" t="n">
        <f aca="false">IF(الإجابات!S74=الإجابات!S$2,1,0)</f>
        <v>0</v>
      </c>
      <c r="T74" s="9" t="n">
        <f aca="false">IF(الإجابات!T74=الإجابات!T$2,1,0)</f>
        <v>0</v>
      </c>
      <c r="U74" s="9" t="n">
        <f aca="false">IF(الإجابات!U74=الإجابات!U$2,1,0)</f>
        <v>1</v>
      </c>
      <c r="V74" s="9" t="n">
        <f aca="false">IF(الإجابات!V74=الإجابات!V$2,1,0)</f>
        <v>1</v>
      </c>
      <c r="W74" s="9" t="n">
        <f aca="false">IF(الإجابات!W74=الإجابات!W$2,1,0)</f>
        <v>0</v>
      </c>
      <c r="X74" s="9" t="n">
        <f aca="false">IF(الإجابات!X74=الإجابات!X$2,1,0)</f>
        <v>0</v>
      </c>
      <c r="Y74" s="9" t="n">
        <f aca="false">IF(الإجابات!Y74=الإجابات!Y$2,1,0)</f>
        <v>0</v>
      </c>
      <c r="Z74" s="9" t="n">
        <f aca="false">IF(الإجابات!Z74=الإجابات!Z$2,1,0)</f>
        <v>0</v>
      </c>
      <c r="AA74" s="9" t="n">
        <f aca="false">IF(الإجابات!AA74=الإجابات!AA$2,1,0)</f>
        <v>1</v>
      </c>
      <c r="AB74" s="9" t="n">
        <f aca="false">IF(الإجابات!AB74=الإجابات!AB$2,1,0)</f>
        <v>1</v>
      </c>
      <c r="AC74" s="9" t="n">
        <f aca="false">IF(الإجابات!AC74=الإجابات!AC$2,1,0)</f>
        <v>1</v>
      </c>
      <c r="AD74" s="9" t="n">
        <f aca="false">IF(الإجابات!AD74=الإجابات!AD$2,1,0)</f>
        <v>0</v>
      </c>
      <c r="AE74" s="9" t="n">
        <f aca="false">IF(الإجابات!AE74=الإجابات!AE$2,1,0)</f>
        <v>0</v>
      </c>
      <c r="AF74" s="9" t="n">
        <f aca="false">SUM(B74:AE74)</f>
        <v>15</v>
      </c>
    </row>
    <row r="75" customFormat="false" ht="15" hidden="false" customHeight="false" outlineLevel="0" collapsed="false">
      <c r="A75" s="0" t="str">
        <f aca="false">الإجابات!A75</f>
        <v>S073</v>
      </c>
      <c r="B75" s="9" t="n">
        <f aca="false">IF(الإجابات!B75=الإجابات!B$2,1,0)</f>
        <v>1</v>
      </c>
      <c r="C75" s="9" t="n">
        <f aca="false">IF(الإجابات!C75=الإجابات!C$2,1,0)</f>
        <v>1</v>
      </c>
      <c r="D75" s="9" t="n">
        <f aca="false">IF(الإجابات!D75=الإجابات!D$2,1,0)</f>
        <v>1</v>
      </c>
      <c r="E75" s="9" t="n">
        <f aca="false">IF(الإجابات!E75=الإجابات!E$2,1,0)</f>
        <v>1</v>
      </c>
      <c r="F75" s="9" t="n">
        <f aca="false">IF(الإجابات!F75=الإجابات!F$2,1,0)</f>
        <v>1</v>
      </c>
      <c r="G75" s="9" t="n">
        <f aca="false">IF(الإجابات!G75=الإجابات!G$2,1,0)</f>
        <v>1</v>
      </c>
      <c r="H75" s="9" t="n">
        <f aca="false">IF(الإجابات!H75=الإجابات!H$2,1,0)</f>
        <v>0</v>
      </c>
      <c r="I75" s="9" t="n">
        <f aca="false">IF(الإجابات!I75=الإجابات!I$2,1,0)</f>
        <v>1</v>
      </c>
      <c r="J75" s="9" t="n">
        <f aca="false">IF(الإجابات!J75=الإجابات!J$2,1,0)</f>
        <v>1</v>
      </c>
      <c r="K75" s="9" t="n">
        <f aca="false">IF(الإجابات!K75=الإجابات!K$2,1,0)</f>
        <v>1</v>
      </c>
      <c r="L75" s="9" t="n">
        <f aca="false">IF(الإجابات!L75=الإجابات!L$2,1,0)</f>
        <v>1</v>
      </c>
      <c r="M75" s="9" t="n">
        <f aca="false">IF(الإجابات!M75=الإجابات!M$2,1,0)</f>
        <v>1</v>
      </c>
      <c r="N75" s="9" t="n">
        <f aca="false">IF(الإجابات!N75=الإجابات!N$2,1,0)</f>
        <v>1</v>
      </c>
      <c r="O75" s="9" t="n">
        <f aca="false">IF(الإجابات!O75=الإجابات!O$2,1,0)</f>
        <v>1</v>
      </c>
      <c r="P75" s="9" t="n">
        <f aca="false">IF(الإجابات!P75=الإجابات!P$2,1,0)</f>
        <v>0</v>
      </c>
      <c r="Q75" s="9" t="n">
        <f aca="false">IF(الإجابات!Q75=الإجابات!Q$2,1,0)</f>
        <v>1</v>
      </c>
      <c r="R75" s="9" t="n">
        <f aca="false">IF(الإجابات!R75=الإجابات!R$2,1,0)</f>
        <v>1</v>
      </c>
      <c r="S75" s="9" t="n">
        <f aca="false">IF(الإجابات!S75=الإجابات!S$2,1,0)</f>
        <v>0</v>
      </c>
      <c r="T75" s="9" t="n">
        <f aca="false">IF(الإجابات!T75=الإجابات!T$2,1,0)</f>
        <v>1</v>
      </c>
      <c r="U75" s="9" t="n">
        <f aca="false">IF(الإجابات!U75=الإجابات!U$2,1,0)</f>
        <v>1</v>
      </c>
      <c r="V75" s="9" t="n">
        <f aca="false">IF(الإجابات!V75=الإجابات!V$2,1,0)</f>
        <v>1</v>
      </c>
      <c r="W75" s="9" t="n">
        <f aca="false">IF(الإجابات!W75=الإجابات!W$2,1,0)</f>
        <v>1</v>
      </c>
      <c r="X75" s="9" t="n">
        <f aca="false">IF(الإجابات!X75=الإجابات!X$2,1,0)</f>
        <v>1</v>
      </c>
      <c r="Y75" s="9" t="n">
        <f aca="false">IF(الإجابات!Y75=الإجابات!Y$2,1,0)</f>
        <v>1</v>
      </c>
      <c r="Z75" s="9" t="n">
        <f aca="false">IF(الإجابات!Z75=الإجابات!Z$2,1,0)</f>
        <v>1</v>
      </c>
      <c r="AA75" s="9" t="n">
        <f aca="false">IF(الإجابات!AA75=الإجابات!AA$2,1,0)</f>
        <v>1</v>
      </c>
      <c r="AB75" s="9" t="n">
        <f aca="false">IF(الإجابات!AB75=الإجابات!AB$2,1,0)</f>
        <v>1</v>
      </c>
      <c r="AC75" s="9" t="n">
        <f aca="false">IF(الإجابات!AC75=الإجابات!AC$2,1,0)</f>
        <v>1</v>
      </c>
      <c r="AD75" s="9" t="n">
        <f aca="false">IF(الإجابات!AD75=الإجابات!AD$2,1,0)</f>
        <v>1</v>
      </c>
      <c r="AE75" s="9" t="n">
        <f aca="false">IF(الإجابات!AE75=الإجابات!AE$2,1,0)</f>
        <v>1</v>
      </c>
      <c r="AF75" s="9" t="n">
        <f aca="false">SUM(B75:AE75)</f>
        <v>27</v>
      </c>
    </row>
    <row r="76" customFormat="false" ht="15" hidden="false" customHeight="false" outlineLevel="0" collapsed="false">
      <c r="A76" s="0" t="str">
        <f aca="false">الإجابات!A76</f>
        <v>S074</v>
      </c>
      <c r="B76" s="9" t="n">
        <f aca="false">IF(الإجابات!B76=الإجابات!B$2,1,0)</f>
        <v>0</v>
      </c>
      <c r="C76" s="9" t="n">
        <f aca="false">IF(الإجابات!C76=الإجابات!C$2,1,0)</f>
        <v>0</v>
      </c>
      <c r="D76" s="9" t="n">
        <f aca="false">IF(الإجابات!D76=الإجابات!D$2,1,0)</f>
        <v>0</v>
      </c>
      <c r="E76" s="9" t="n">
        <f aca="false">IF(الإجابات!E76=الإجابات!E$2,1,0)</f>
        <v>1</v>
      </c>
      <c r="F76" s="9" t="n">
        <f aca="false">IF(الإجابات!F76=الإجابات!F$2,1,0)</f>
        <v>1</v>
      </c>
      <c r="G76" s="9" t="n">
        <f aca="false">IF(الإجابات!G76=الإجابات!G$2,1,0)</f>
        <v>0</v>
      </c>
      <c r="H76" s="9" t="n">
        <f aca="false">IF(الإجابات!H76=الإجابات!H$2,1,0)</f>
        <v>0</v>
      </c>
      <c r="I76" s="9" t="n">
        <f aca="false">IF(الإجابات!I76=الإجابات!I$2,1,0)</f>
        <v>1</v>
      </c>
      <c r="J76" s="9" t="n">
        <f aca="false">IF(الإجابات!J76=الإجابات!J$2,1,0)</f>
        <v>1</v>
      </c>
      <c r="K76" s="9" t="n">
        <f aca="false">IF(الإجابات!K76=الإجابات!K$2,1,0)</f>
        <v>0</v>
      </c>
      <c r="L76" s="9" t="n">
        <f aca="false">IF(الإجابات!L76=الإجابات!L$2,1,0)</f>
        <v>0</v>
      </c>
      <c r="M76" s="9" t="n">
        <f aca="false">IF(الإجابات!M76=الإجابات!M$2,1,0)</f>
        <v>1</v>
      </c>
      <c r="N76" s="9" t="n">
        <f aca="false">IF(الإجابات!N76=الإجابات!N$2,1,0)</f>
        <v>0</v>
      </c>
      <c r="O76" s="9" t="n">
        <f aca="false">IF(الإجابات!O76=الإجابات!O$2,1,0)</f>
        <v>0</v>
      </c>
      <c r="P76" s="9" t="n">
        <f aca="false">IF(الإجابات!P76=الإجابات!P$2,1,0)</f>
        <v>0</v>
      </c>
      <c r="Q76" s="9" t="n">
        <f aca="false">IF(الإجابات!Q76=الإجابات!Q$2,1,0)</f>
        <v>0</v>
      </c>
      <c r="R76" s="9" t="n">
        <f aca="false">IF(الإجابات!R76=الإجابات!R$2,1,0)</f>
        <v>1</v>
      </c>
      <c r="S76" s="9" t="n">
        <f aca="false">IF(الإجابات!S76=الإجابات!S$2,1,0)</f>
        <v>0</v>
      </c>
      <c r="T76" s="9" t="n">
        <f aca="false">IF(الإجابات!T76=الإجابات!T$2,1,0)</f>
        <v>1</v>
      </c>
      <c r="U76" s="9" t="n">
        <f aca="false">IF(الإجابات!U76=الإجابات!U$2,1,0)</f>
        <v>0</v>
      </c>
      <c r="V76" s="9" t="n">
        <f aca="false">IF(الإجابات!V76=الإجابات!V$2,1,0)</f>
        <v>0</v>
      </c>
      <c r="W76" s="9" t="n">
        <f aca="false">IF(الإجابات!W76=الإجابات!W$2,1,0)</f>
        <v>0</v>
      </c>
      <c r="X76" s="9" t="n">
        <f aca="false">IF(الإجابات!X76=الإجابات!X$2,1,0)</f>
        <v>1</v>
      </c>
      <c r="Y76" s="9" t="n">
        <f aca="false">IF(الإجابات!Y76=الإجابات!Y$2,1,0)</f>
        <v>0</v>
      </c>
      <c r="Z76" s="9" t="n">
        <f aca="false">IF(الإجابات!Z76=الإجابات!Z$2,1,0)</f>
        <v>1</v>
      </c>
      <c r="AA76" s="9" t="n">
        <f aca="false">IF(الإجابات!AA76=الإجابات!AA$2,1,0)</f>
        <v>0</v>
      </c>
      <c r="AB76" s="9" t="n">
        <f aca="false">IF(الإجابات!AB76=الإجابات!AB$2,1,0)</f>
        <v>1</v>
      </c>
      <c r="AC76" s="9" t="n">
        <f aca="false">IF(الإجابات!AC76=الإجابات!AC$2,1,0)</f>
        <v>0</v>
      </c>
      <c r="AD76" s="9" t="n">
        <f aca="false">IF(الإجابات!AD76=الإجابات!AD$2,1,0)</f>
        <v>0</v>
      </c>
      <c r="AE76" s="9" t="n">
        <f aca="false">IF(الإجابات!AE76=الإجابات!AE$2,1,0)</f>
        <v>0</v>
      </c>
      <c r="AF76" s="9" t="n">
        <f aca="false">SUM(B76:AE76)</f>
        <v>10</v>
      </c>
    </row>
    <row r="77" customFormat="false" ht="15" hidden="false" customHeight="false" outlineLevel="0" collapsed="false">
      <c r="A77" s="0" t="str">
        <f aca="false">الإجابات!A77</f>
        <v>S075</v>
      </c>
      <c r="B77" s="9" t="n">
        <f aca="false">IF(الإجابات!B77=الإجابات!B$2,1,0)</f>
        <v>1</v>
      </c>
      <c r="C77" s="9" t="n">
        <f aca="false">IF(الإجابات!C77=الإجابات!C$2,1,0)</f>
        <v>1</v>
      </c>
      <c r="D77" s="9" t="n">
        <f aca="false">IF(الإجابات!D77=الإجابات!D$2,1,0)</f>
        <v>1</v>
      </c>
      <c r="E77" s="9" t="n">
        <f aca="false">IF(الإجابات!E77=الإجابات!E$2,1,0)</f>
        <v>1</v>
      </c>
      <c r="F77" s="9" t="n">
        <f aca="false">IF(الإجابات!F77=الإجابات!F$2,1,0)</f>
        <v>1</v>
      </c>
      <c r="G77" s="9" t="n">
        <f aca="false">IF(الإجابات!G77=الإجابات!G$2,1,0)</f>
        <v>1</v>
      </c>
      <c r="H77" s="9" t="n">
        <f aca="false">IF(الإجابات!H77=الإجابات!H$2,1,0)</f>
        <v>0</v>
      </c>
      <c r="I77" s="9" t="n">
        <f aca="false">IF(الإجابات!I77=الإجابات!I$2,1,0)</f>
        <v>1</v>
      </c>
      <c r="J77" s="9" t="n">
        <f aca="false">IF(الإجابات!J77=الإجابات!J$2,1,0)</f>
        <v>1</v>
      </c>
      <c r="K77" s="9" t="n">
        <f aca="false">IF(الإجابات!K77=الإجابات!K$2,1,0)</f>
        <v>1</v>
      </c>
      <c r="L77" s="9" t="n">
        <f aca="false">IF(الإجابات!L77=الإجابات!L$2,1,0)</f>
        <v>1</v>
      </c>
      <c r="M77" s="9" t="n">
        <f aca="false">IF(الإجابات!M77=الإجابات!M$2,1,0)</f>
        <v>1</v>
      </c>
      <c r="N77" s="9" t="n">
        <f aca="false">IF(الإجابات!N77=الإجابات!N$2,1,0)</f>
        <v>1</v>
      </c>
      <c r="O77" s="9" t="n">
        <f aca="false">IF(الإجابات!O77=الإجابات!O$2,1,0)</f>
        <v>1</v>
      </c>
      <c r="P77" s="9" t="n">
        <f aca="false">IF(الإجابات!P77=الإجابات!P$2,1,0)</f>
        <v>0</v>
      </c>
      <c r="Q77" s="9" t="n">
        <f aca="false">IF(الإجابات!Q77=الإجابات!Q$2,1,0)</f>
        <v>1</v>
      </c>
      <c r="R77" s="9" t="n">
        <f aca="false">IF(الإجابات!R77=الإجابات!R$2,1,0)</f>
        <v>1</v>
      </c>
      <c r="S77" s="9" t="n">
        <f aca="false">IF(الإجابات!S77=الإجابات!S$2,1,0)</f>
        <v>0</v>
      </c>
      <c r="T77" s="9" t="n">
        <f aca="false">IF(الإجابات!T77=الإجابات!T$2,1,0)</f>
        <v>1</v>
      </c>
      <c r="U77" s="9" t="n">
        <f aca="false">IF(الإجابات!U77=الإجابات!U$2,1,0)</f>
        <v>1</v>
      </c>
      <c r="V77" s="9" t="n">
        <f aca="false">IF(الإجابات!V77=الإجابات!V$2,1,0)</f>
        <v>1</v>
      </c>
      <c r="W77" s="9" t="n">
        <f aca="false">IF(الإجابات!W77=الإجابات!W$2,1,0)</f>
        <v>1</v>
      </c>
      <c r="X77" s="9" t="n">
        <f aca="false">IF(الإجابات!X77=الإجابات!X$2,1,0)</f>
        <v>1</v>
      </c>
      <c r="Y77" s="9" t="n">
        <f aca="false">IF(الإجابات!Y77=الإجابات!Y$2,1,0)</f>
        <v>1</v>
      </c>
      <c r="Z77" s="9" t="n">
        <f aca="false">IF(الإجابات!Z77=الإجابات!Z$2,1,0)</f>
        <v>1</v>
      </c>
      <c r="AA77" s="9" t="n">
        <f aca="false">IF(الإجابات!AA77=الإجابات!AA$2,1,0)</f>
        <v>1</v>
      </c>
      <c r="AB77" s="9" t="n">
        <f aca="false">IF(الإجابات!AB77=الإجابات!AB$2,1,0)</f>
        <v>1</v>
      </c>
      <c r="AC77" s="9" t="n">
        <f aca="false">IF(الإجابات!AC77=الإجابات!AC$2,1,0)</f>
        <v>1</v>
      </c>
      <c r="AD77" s="9" t="n">
        <f aca="false">IF(الإجابات!AD77=الإجابات!AD$2,1,0)</f>
        <v>1</v>
      </c>
      <c r="AE77" s="9" t="n">
        <f aca="false">IF(الإجابات!AE77=الإجابات!AE$2,1,0)</f>
        <v>1</v>
      </c>
      <c r="AF77" s="9" t="n">
        <f aca="false">SUM(B77:AE77)</f>
        <v>27</v>
      </c>
    </row>
    <row r="78" customFormat="false" ht="15" hidden="false" customHeight="false" outlineLevel="0" collapsed="false">
      <c r="A78" s="0" t="str">
        <f aca="false">الإجابات!A78</f>
        <v>S076</v>
      </c>
      <c r="B78" s="9" t="n">
        <f aca="false">IF(الإجابات!B78=الإجابات!B$2,1,0)</f>
        <v>1</v>
      </c>
      <c r="C78" s="9" t="n">
        <f aca="false">IF(الإجابات!C78=الإجابات!C$2,1,0)</f>
        <v>1</v>
      </c>
      <c r="D78" s="9" t="n">
        <f aca="false">IF(الإجابات!D78=الإجابات!D$2,1,0)</f>
        <v>0</v>
      </c>
      <c r="E78" s="9" t="n">
        <f aca="false">IF(الإجابات!E78=الإجابات!E$2,1,0)</f>
        <v>1</v>
      </c>
      <c r="F78" s="9" t="n">
        <f aca="false">IF(الإجابات!F78=الإجابات!F$2,1,0)</f>
        <v>1</v>
      </c>
      <c r="G78" s="9" t="n">
        <f aca="false">IF(الإجابات!G78=الإجابات!G$2,1,0)</f>
        <v>0</v>
      </c>
      <c r="H78" s="9" t="n">
        <f aca="false">IF(الإجابات!H78=الإجابات!H$2,1,0)</f>
        <v>1</v>
      </c>
      <c r="I78" s="9" t="n">
        <f aca="false">IF(الإجابات!I78=الإجابات!I$2,1,0)</f>
        <v>1</v>
      </c>
      <c r="J78" s="9" t="n">
        <f aca="false">IF(الإجابات!J78=الإجابات!J$2,1,0)</f>
        <v>1</v>
      </c>
      <c r="K78" s="9" t="n">
        <f aca="false">IF(الإجابات!K78=الإجابات!K$2,1,0)</f>
        <v>0</v>
      </c>
      <c r="L78" s="9" t="n">
        <f aca="false">IF(الإجابات!L78=الإجابات!L$2,1,0)</f>
        <v>1</v>
      </c>
      <c r="M78" s="9" t="n">
        <f aca="false">IF(الإجابات!M78=الإجابات!M$2,1,0)</f>
        <v>1</v>
      </c>
      <c r="N78" s="9" t="n">
        <f aca="false">IF(الإجابات!N78=الإجابات!N$2,1,0)</f>
        <v>0</v>
      </c>
      <c r="O78" s="9" t="n">
        <f aca="false">IF(الإجابات!O78=الإجابات!O$2,1,0)</f>
        <v>0</v>
      </c>
      <c r="P78" s="9" t="n">
        <f aca="false">IF(الإجابات!P78=الإجابات!P$2,1,0)</f>
        <v>0</v>
      </c>
      <c r="Q78" s="9" t="n">
        <f aca="false">IF(الإجابات!Q78=الإجابات!Q$2,1,0)</f>
        <v>1</v>
      </c>
      <c r="R78" s="9" t="n">
        <f aca="false">IF(الإجابات!R78=الإجابات!R$2,1,0)</f>
        <v>1</v>
      </c>
      <c r="S78" s="9" t="n">
        <f aca="false">IF(الإجابات!S78=الإجابات!S$2,1,0)</f>
        <v>0</v>
      </c>
      <c r="T78" s="9" t="n">
        <f aca="false">IF(الإجابات!T78=الإجابات!T$2,1,0)</f>
        <v>1</v>
      </c>
      <c r="U78" s="9" t="n">
        <f aca="false">IF(الإجابات!U78=الإجابات!U$2,1,0)</f>
        <v>1</v>
      </c>
      <c r="V78" s="9" t="n">
        <f aca="false">IF(الإجابات!V78=الإجابات!V$2,1,0)</f>
        <v>1</v>
      </c>
      <c r="W78" s="9" t="n">
        <f aca="false">IF(الإجابات!W78=الإجابات!W$2,1,0)</f>
        <v>1</v>
      </c>
      <c r="X78" s="9" t="n">
        <f aca="false">IF(الإجابات!X78=الإجابات!X$2,1,0)</f>
        <v>0</v>
      </c>
      <c r="Y78" s="9" t="n">
        <f aca="false">IF(الإجابات!Y78=الإجابات!Y$2,1,0)</f>
        <v>1</v>
      </c>
      <c r="Z78" s="9" t="n">
        <f aca="false">IF(الإجابات!Z78=الإجابات!Z$2,1,0)</f>
        <v>1</v>
      </c>
      <c r="AA78" s="9" t="n">
        <f aca="false">IF(الإجابات!AA78=الإجابات!AA$2,1,0)</f>
        <v>0</v>
      </c>
      <c r="AB78" s="9" t="n">
        <f aca="false">IF(الإجابات!AB78=الإجابات!AB$2,1,0)</f>
        <v>1</v>
      </c>
      <c r="AC78" s="9" t="n">
        <f aca="false">IF(الإجابات!AC78=الإجابات!AC$2,1,0)</f>
        <v>0</v>
      </c>
      <c r="AD78" s="9" t="n">
        <f aca="false">IF(الإجابات!AD78=الإجابات!AD$2,1,0)</f>
        <v>1</v>
      </c>
      <c r="AE78" s="9" t="n">
        <f aca="false">IF(الإجابات!AE78=الإجابات!AE$2,1,0)</f>
        <v>0</v>
      </c>
      <c r="AF78" s="9" t="n">
        <f aca="false">SUM(B78:AE78)</f>
        <v>19</v>
      </c>
    </row>
    <row r="79" customFormat="false" ht="15" hidden="false" customHeight="false" outlineLevel="0" collapsed="false">
      <c r="A79" s="0" t="str">
        <f aca="false">الإجابات!A79</f>
        <v>S077</v>
      </c>
      <c r="B79" s="9" t="n">
        <f aca="false">IF(الإجابات!B79=الإجابات!B$2,1,0)</f>
        <v>1</v>
      </c>
      <c r="C79" s="9" t="n">
        <f aca="false">IF(الإجابات!C79=الإجابات!C$2,1,0)</f>
        <v>0</v>
      </c>
      <c r="D79" s="9" t="n">
        <f aca="false">IF(الإجابات!D79=الإجابات!D$2,1,0)</f>
        <v>0</v>
      </c>
      <c r="E79" s="9" t="n">
        <f aca="false">IF(الإجابات!E79=الإجابات!E$2,1,0)</f>
        <v>1</v>
      </c>
      <c r="F79" s="9" t="n">
        <f aca="false">IF(الإجابات!F79=الإجابات!F$2,1,0)</f>
        <v>1</v>
      </c>
      <c r="G79" s="9" t="n">
        <f aca="false">IF(الإجابات!G79=الإجابات!G$2,1,0)</f>
        <v>0</v>
      </c>
      <c r="H79" s="9" t="n">
        <f aca="false">IF(الإجابات!H79=الإجابات!H$2,1,0)</f>
        <v>0</v>
      </c>
      <c r="I79" s="9" t="n">
        <f aca="false">IF(الإجابات!I79=الإجابات!I$2,1,0)</f>
        <v>0</v>
      </c>
      <c r="J79" s="9" t="n">
        <f aca="false">IF(الإجابات!J79=الإجابات!J$2,1,0)</f>
        <v>1</v>
      </c>
      <c r="K79" s="9" t="n">
        <f aca="false">IF(الإجابات!K79=الإجابات!K$2,1,0)</f>
        <v>0</v>
      </c>
      <c r="L79" s="9" t="n">
        <f aca="false">IF(الإجابات!L79=الإجابات!L$2,1,0)</f>
        <v>1</v>
      </c>
      <c r="M79" s="9" t="n">
        <f aca="false">IF(الإجابات!M79=الإجابات!M$2,1,0)</f>
        <v>1</v>
      </c>
      <c r="N79" s="9" t="n">
        <f aca="false">IF(الإجابات!N79=الإجابات!N$2,1,0)</f>
        <v>0</v>
      </c>
      <c r="O79" s="9" t="n">
        <f aca="false">IF(الإجابات!O79=الإجابات!O$2,1,0)</f>
        <v>0</v>
      </c>
      <c r="P79" s="9" t="n">
        <f aca="false">IF(الإجابات!P79=الإجابات!P$2,1,0)</f>
        <v>0</v>
      </c>
      <c r="Q79" s="9" t="n">
        <f aca="false">IF(الإجابات!Q79=الإجابات!Q$2,1,0)</f>
        <v>1</v>
      </c>
      <c r="R79" s="9" t="n">
        <f aca="false">IF(الإجابات!R79=الإجابات!R$2,1,0)</f>
        <v>1</v>
      </c>
      <c r="S79" s="9" t="n">
        <f aca="false">IF(الإجابات!S79=الإجابات!S$2,1,0)</f>
        <v>1</v>
      </c>
      <c r="T79" s="9" t="n">
        <f aca="false">IF(الإجابات!T79=الإجابات!T$2,1,0)</f>
        <v>1</v>
      </c>
      <c r="U79" s="9" t="n">
        <f aca="false">IF(الإجابات!U79=الإجابات!U$2,1,0)</f>
        <v>0</v>
      </c>
      <c r="V79" s="9" t="n">
        <f aca="false">IF(الإجابات!V79=الإجابات!V$2,1,0)</f>
        <v>1</v>
      </c>
      <c r="W79" s="9" t="n">
        <f aca="false">IF(الإجابات!W79=الإجابات!W$2,1,0)</f>
        <v>1</v>
      </c>
      <c r="X79" s="9" t="n">
        <f aca="false">IF(الإجابات!X79=الإجابات!X$2,1,0)</f>
        <v>0</v>
      </c>
      <c r="Y79" s="9" t="n">
        <f aca="false">IF(الإجابات!Y79=الإجابات!Y$2,1,0)</f>
        <v>0</v>
      </c>
      <c r="Z79" s="9" t="n">
        <f aca="false">IF(الإجابات!Z79=الإجابات!Z$2,1,0)</f>
        <v>0</v>
      </c>
      <c r="AA79" s="9" t="n">
        <f aca="false">IF(الإجابات!AA79=الإجابات!AA$2,1,0)</f>
        <v>0</v>
      </c>
      <c r="AB79" s="9" t="n">
        <f aca="false">IF(الإجابات!AB79=الإجابات!AB$2,1,0)</f>
        <v>0</v>
      </c>
      <c r="AC79" s="9" t="n">
        <f aca="false">IF(الإجابات!AC79=الإجابات!AC$2,1,0)</f>
        <v>0</v>
      </c>
      <c r="AD79" s="9" t="n">
        <f aca="false">IF(الإجابات!AD79=الإجابات!AD$2,1,0)</f>
        <v>0</v>
      </c>
      <c r="AE79" s="9" t="n">
        <f aca="false">IF(الإجابات!AE79=الإجابات!AE$2,1,0)</f>
        <v>0</v>
      </c>
      <c r="AF79" s="9" t="n">
        <f aca="false">SUM(B79:AE79)</f>
        <v>12</v>
      </c>
    </row>
    <row r="80" customFormat="false" ht="15" hidden="false" customHeight="false" outlineLevel="0" collapsed="false">
      <c r="A80" s="0" t="str">
        <f aca="false">الإجابات!A80</f>
        <v>S078</v>
      </c>
      <c r="B80" s="9" t="n">
        <f aca="false">IF(الإجابات!B80=الإجابات!B$2,1,0)</f>
        <v>0</v>
      </c>
      <c r="C80" s="9" t="n">
        <f aca="false">IF(الإجابات!C80=الإجابات!C$2,1,0)</f>
        <v>0</v>
      </c>
      <c r="D80" s="9" t="n">
        <f aca="false">IF(الإجابات!D80=الإجابات!D$2,1,0)</f>
        <v>0</v>
      </c>
      <c r="E80" s="9" t="n">
        <f aca="false">IF(الإجابات!E80=الإجابات!E$2,1,0)</f>
        <v>1</v>
      </c>
      <c r="F80" s="9" t="n">
        <f aca="false">IF(الإجابات!F80=الإجابات!F$2,1,0)</f>
        <v>0</v>
      </c>
      <c r="G80" s="9" t="n">
        <f aca="false">IF(الإجابات!G80=الإجابات!G$2,1,0)</f>
        <v>0</v>
      </c>
      <c r="H80" s="9" t="n">
        <f aca="false">IF(الإجابات!H80=الإجابات!H$2,1,0)</f>
        <v>1</v>
      </c>
      <c r="I80" s="9" t="n">
        <f aca="false">IF(الإجابات!I80=الإجابات!I$2,1,0)</f>
        <v>1</v>
      </c>
      <c r="J80" s="9" t="n">
        <f aca="false">IF(الإجابات!J80=الإجابات!J$2,1,0)</f>
        <v>0</v>
      </c>
      <c r="K80" s="9" t="n">
        <f aca="false">IF(الإجابات!K80=الإجابات!K$2,1,0)</f>
        <v>0</v>
      </c>
      <c r="L80" s="9" t="n">
        <f aca="false">IF(الإجابات!L80=الإجابات!L$2,1,0)</f>
        <v>0</v>
      </c>
      <c r="M80" s="9" t="n">
        <f aca="false">IF(الإجابات!M80=الإجابات!M$2,1,0)</f>
        <v>1</v>
      </c>
      <c r="N80" s="9" t="n">
        <f aca="false">IF(الإجابات!N80=الإجابات!N$2,1,0)</f>
        <v>0</v>
      </c>
      <c r="O80" s="9" t="n">
        <f aca="false">IF(الإجابات!O80=الإجابات!O$2,1,0)</f>
        <v>1</v>
      </c>
      <c r="P80" s="9" t="n">
        <f aca="false">IF(الإجابات!P80=الإجابات!P$2,1,0)</f>
        <v>0</v>
      </c>
      <c r="Q80" s="9" t="n">
        <f aca="false">IF(الإجابات!Q80=الإجابات!Q$2,1,0)</f>
        <v>1</v>
      </c>
      <c r="R80" s="9" t="n">
        <f aca="false">IF(الإجابات!R80=الإجابات!R$2,1,0)</f>
        <v>1</v>
      </c>
      <c r="S80" s="9" t="n">
        <f aca="false">IF(الإجابات!S80=الإجابات!S$2,1,0)</f>
        <v>0</v>
      </c>
      <c r="T80" s="9" t="n">
        <f aca="false">IF(الإجابات!T80=الإجابات!T$2,1,0)</f>
        <v>1</v>
      </c>
      <c r="U80" s="9" t="n">
        <f aca="false">IF(الإجابات!U80=الإجابات!U$2,1,0)</f>
        <v>0</v>
      </c>
      <c r="V80" s="9" t="n">
        <f aca="false">IF(الإجابات!V80=الإجابات!V$2,1,0)</f>
        <v>0</v>
      </c>
      <c r="W80" s="9" t="n">
        <f aca="false">IF(الإجابات!W80=الإجابات!W$2,1,0)</f>
        <v>1</v>
      </c>
      <c r="X80" s="9" t="n">
        <f aca="false">IF(الإجابات!X80=الإجابات!X$2,1,0)</f>
        <v>0</v>
      </c>
      <c r="Y80" s="9" t="n">
        <f aca="false">IF(الإجابات!Y80=الإجابات!Y$2,1,0)</f>
        <v>0</v>
      </c>
      <c r="Z80" s="9" t="n">
        <f aca="false">IF(الإجابات!Z80=الإجابات!Z$2,1,0)</f>
        <v>1</v>
      </c>
      <c r="AA80" s="9" t="n">
        <f aca="false">IF(الإجابات!AA80=الإجابات!AA$2,1,0)</f>
        <v>1</v>
      </c>
      <c r="AB80" s="9" t="n">
        <f aca="false">IF(الإجابات!AB80=الإجابات!AB$2,1,0)</f>
        <v>1</v>
      </c>
      <c r="AC80" s="9" t="n">
        <f aca="false">IF(الإجابات!AC80=الإجابات!AC$2,1,0)</f>
        <v>0</v>
      </c>
      <c r="AD80" s="9" t="n">
        <f aca="false">IF(الإجابات!AD80=الإجابات!AD$2,1,0)</f>
        <v>1</v>
      </c>
      <c r="AE80" s="9" t="n">
        <f aca="false">IF(الإجابات!AE80=الإجابات!AE$2,1,0)</f>
        <v>1</v>
      </c>
      <c r="AF80" s="9" t="n">
        <f aca="false">SUM(B80:AE80)</f>
        <v>14</v>
      </c>
    </row>
    <row r="81" customFormat="false" ht="15" hidden="false" customHeight="false" outlineLevel="0" collapsed="false">
      <c r="A81" s="0" t="str">
        <f aca="false">الإجابات!A81</f>
        <v>S079</v>
      </c>
      <c r="B81" s="9" t="n">
        <f aca="false">IF(الإجابات!B81=الإجابات!B$2,1,0)</f>
        <v>1</v>
      </c>
      <c r="C81" s="9" t="n">
        <f aca="false">IF(الإجابات!C81=الإجابات!C$2,1,0)</f>
        <v>0</v>
      </c>
      <c r="D81" s="9" t="n">
        <f aca="false">IF(الإجابات!D81=الإجابات!D$2,1,0)</f>
        <v>1</v>
      </c>
      <c r="E81" s="9" t="n">
        <f aca="false">IF(الإجابات!E81=الإجابات!E$2,1,0)</f>
        <v>1</v>
      </c>
      <c r="F81" s="9" t="n">
        <f aca="false">IF(الإجابات!F81=الإجابات!F$2,1,0)</f>
        <v>1</v>
      </c>
      <c r="G81" s="9" t="n">
        <f aca="false">IF(الإجابات!G81=الإجابات!G$2,1,0)</f>
        <v>1</v>
      </c>
      <c r="H81" s="9" t="n">
        <f aca="false">IF(الإجابات!H81=الإجابات!H$2,1,0)</f>
        <v>0</v>
      </c>
      <c r="I81" s="9" t="n">
        <f aca="false">IF(الإجابات!I81=الإجابات!I$2,1,0)</f>
        <v>1</v>
      </c>
      <c r="J81" s="9" t="n">
        <f aca="false">IF(الإجابات!J81=الإجابات!J$2,1,0)</f>
        <v>1</v>
      </c>
      <c r="K81" s="9" t="n">
        <f aca="false">IF(الإجابات!K81=الإجابات!K$2,1,0)</f>
        <v>1</v>
      </c>
      <c r="L81" s="9" t="n">
        <f aca="false">IF(الإجابات!L81=الإجابات!L$2,1,0)</f>
        <v>1</v>
      </c>
      <c r="M81" s="9" t="n">
        <f aca="false">IF(الإجابات!M81=الإجابات!M$2,1,0)</f>
        <v>1</v>
      </c>
      <c r="N81" s="9" t="n">
        <f aca="false">IF(الإجابات!N81=الإجابات!N$2,1,0)</f>
        <v>0</v>
      </c>
      <c r="O81" s="9" t="n">
        <f aca="false">IF(الإجابات!O81=الإجابات!O$2,1,0)</f>
        <v>1</v>
      </c>
      <c r="P81" s="9" t="n">
        <f aca="false">IF(الإجابات!P81=الإجابات!P$2,1,0)</f>
        <v>0</v>
      </c>
      <c r="Q81" s="9" t="n">
        <f aca="false">IF(الإجابات!Q81=الإجابات!Q$2,1,0)</f>
        <v>1</v>
      </c>
      <c r="R81" s="9" t="n">
        <f aca="false">IF(الإجابات!R81=الإجابات!R$2,1,0)</f>
        <v>1</v>
      </c>
      <c r="S81" s="9" t="n">
        <f aca="false">IF(الإجابات!S81=الإجابات!S$2,1,0)</f>
        <v>1</v>
      </c>
      <c r="T81" s="9" t="n">
        <f aca="false">IF(الإجابات!T81=الإجابات!T$2,1,0)</f>
        <v>1</v>
      </c>
      <c r="U81" s="9" t="n">
        <f aca="false">IF(الإجابات!U81=الإجابات!U$2,1,0)</f>
        <v>1</v>
      </c>
      <c r="V81" s="9" t="n">
        <f aca="false">IF(الإجابات!V81=الإجابات!V$2,1,0)</f>
        <v>1</v>
      </c>
      <c r="W81" s="9" t="n">
        <f aca="false">IF(الإجابات!W81=الإجابات!W$2,1,0)</f>
        <v>1</v>
      </c>
      <c r="X81" s="9" t="n">
        <f aca="false">IF(الإجابات!X81=الإجابات!X$2,1,0)</f>
        <v>1</v>
      </c>
      <c r="Y81" s="9" t="n">
        <f aca="false">IF(الإجابات!Y81=الإجابات!Y$2,1,0)</f>
        <v>1</v>
      </c>
      <c r="Z81" s="9" t="n">
        <f aca="false">IF(الإجابات!Z81=الإجابات!Z$2,1,0)</f>
        <v>1</v>
      </c>
      <c r="AA81" s="9" t="n">
        <f aca="false">IF(الإجابات!AA81=الإجابات!AA$2,1,0)</f>
        <v>1</v>
      </c>
      <c r="AB81" s="9" t="n">
        <f aca="false">IF(الإجابات!AB81=الإجابات!AB$2,1,0)</f>
        <v>0</v>
      </c>
      <c r="AC81" s="9" t="n">
        <f aca="false">IF(الإجابات!AC81=الإجابات!AC$2,1,0)</f>
        <v>1</v>
      </c>
      <c r="AD81" s="9" t="n">
        <f aca="false">IF(الإجابات!AD81=الإجابات!AD$2,1,0)</f>
        <v>1</v>
      </c>
      <c r="AE81" s="9" t="n">
        <f aca="false">IF(الإجابات!AE81=الإجابات!AE$2,1,0)</f>
        <v>1</v>
      </c>
      <c r="AF81" s="9" t="n">
        <f aca="false">SUM(B81:AE81)</f>
        <v>25</v>
      </c>
    </row>
    <row r="82" customFormat="false" ht="15" hidden="false" customHeight="false" outlineLevel="0" collapsed="false">
      <c r="A82" s="0" t="str">
        <f aca="false">الإجابات!A82</f>
        <v>S080</v>
      </c>
      <c r="B82" s="9" t="n">
        <f aca="false">IF(الإجابات!B82=الإجابات!B$2,1,0)</f>
        <v>0</v>
      </c>
      <c r="C82" s="9" t="n">
        <f aca="false">IF(الإجابات!C82=الإجابات!C$2,1,0)</f>
        <v>0</v>
      </c>
      <c r="D82" s="9" t="n">
        <f aca="false">IF(الإجابات!D82=الإجابات!D$2,1,0)</f>
        <v>1</v>
      </c>
      <c r="E82" s="9" t="n">
        <f aca="false">IF(الإجابات!E82=الإجابات!E$2,1,0)</f>
        <v>0</v>
      </c>
      <c r="F82" s="9" t="n">
        <f aca="false">IF(الإجابات!F82=الإجابات!F$2,1,0)</f>
        <v>0</v>
      </c>
      <c r="G82" s="9" t="n">
        <f aca="false">IF(الإجابات!G82=الإجابات!G$2,1,0)</f>
        <v>0</v>
      </c>
      <c r="H82" s="9" t="n">
        <f aca="false">IF(الإجابات!H82=الإجابات!H$2,1,0)</f>
        <v>0</v>
      </c>
      <c r="I82" s="9" t="n">
        <f aca="false">IF(الإجابات!I82=الإجابات!I$2,1,0)</f>
        <v>0</v>
      </c>
      <c r="J82" s="9" t="n">
        <f aca="false">IF(الإجابات!J82=الإجابات!J$2,1,0)</f>
        <v>1</v>
      </c>
      <c r="K82" s="9" t="n">
        <f aca="false">IF(الإجابات!K82=الإجابات!K$2,1,0)</f>
        <v>0</v>
      </c>
      <c r="L82" s="9" t="n">
        <f aca="false">IF(الإجابات!L82=الإجابات!L$2,1,0)</f>
        <v>0</v>
      </c>
      <c r="M82" s="9" t="n">
        <f aca="false">IF(الإجابات!M82=الإجابات!M$2,1,0)</f>
        <v>1</v>
      </c>
      <c r="N82" s="9" t="n">
        <f aca="false">IF(الإجابات!N82=الإجابات!N$2,1,0)</f>
        <v>0</v>
      </c>
      <c r="O82" s="9" t="n">
        <f aca="false">IF(الإجابات!O82=الإجابات!O$2,1,0)</f>
        <v>0</v>
      </c>
      <c r="P82" s="9" t="n">
        <f aca="false">IF(الإجابات!P82=الإجابات!P$2,1,0)</f>
        <v>0</v>
      </c>
      <c r="Q82" s="9" t="n">
        <f aca="false">IF(الإجابات!Q82=الإجابات!Q$2,1,0)</f>
        <v>1</v>
      </c>
      <c r="R82" s="9" t="n">
        <f aca="false">IF(الإجابات!R82=الإجابات!R$2,1,0)</f>
        <v>1</v>
      </c>
      <c r="S82" s="9" t="n">
        <f aca="false">IF(الإجابات!S82=الإجابات!S$2,1,0)</f>
        <v>1</v>
      </c>
      <c r="T82" s="9" t="n">
        <f aca="false">IF(الإجابات!T82=الإجابات!T$2,1,0)</f>
        <v>1</v>
      </c>
      <c r="U82" s="9" t="n">
        <f aca="false">IF(الإجابات!U82=الإجابات!U$2,1,0)</f>
        <v>0</v>
      </c>
      <c r="V82" s="9" t="n">
        <f aca="false">IF(الإجابات!V82=الإجابات!V$2,1,0)</f>
        <v>1</v>
      </c>
      <c r="W82" s="9" t="n">
        <f aca="false">IF(الإجابات!W82=الإجابات!W$2,1,0)</f>
        <v>0</v>
      </c>
      <c r="X82" s="9" t="n">
        <f aca="false">IF(الإجابات!X82=الإجابات!X$2,1,0)</f>
        <v>1</v>
      </c>
      <c r="Y82" s="9" t="n">
        <f aca="false">IF(الإجابات!Y82=الإجابات!Y$2,1,0)</f>
        <v>1</v>
      </c>
      <c r="Z82" s="9" t="n">
        <f aca="false">IF(الإجابات!Z82=الإجابات!Z$2,1,0)</f>
        <v>0</v>
      </c>
      <c r="AA82" s="9" t="n">
        <f aca="false">IF(الإجابات!AA82=الإجابات!AA$2,1,0)</f>
        <v>0</v>
      </c>
      <c r="AB82" s="9" t="n">
        <f aca="false">IF(الإجابات!AB82=الإجابات!AB$2,1,0)</f>
        <v>0</v>
      </c>
      <c r="AC82" s="9" t="n">
        <f aca="false">IF(الإجابات!AC82=الإجابات!AC$2,1,0)</f>
        <v>0</v>
      </c>
      <c r="AD82" s="9" t="n">
        <f aca="false">IF(الإجابات!AD82=الإجابات!AD$2,1,0)</f>
        <v>1</v>
      </c>
      <c r="AE82" s="9" t="n">
        <f aca="false">IF(الإجابات!AE82=الإجابات!AE$2,1,0)</f>
        <v>0</v>
      </c>
      <c r="AF82" s="9" t="n">
        <f aca="false">SUM(B82:AE82)</f>
        <v>11</v>
      </c>
    </row>
    <row r="83" customFormat="false" ht="15" hidden="false" customHeight="false" outlineLevel="0" collapsed="false">
      <c r="A83" s="0" t="str">
        <f aca="false">الإجابات!A83</f>
        <v>S081</v>
      </c>
      <c r="B83" s="9" t="n">
        <f aca="false">IF(الإجابات!B83=الإجابات!B$2,1,0)</f>
        <v>1</v>
      </c>
      <c r="C83" s="9" t="n">
        <f aca="false">IF(الإجابات!C83=الإجابات!C$2,1,0)</f>
        <v>1</v>
      </c>
      <c r="D83" s="9" t="n">
        <f aca="false">IF(الإجابات!D83=الإجابات!D$2,1,0)</f>
        <v>0</v>
      </c>
      <c r="E83" s="9" t="n">
        <f aca="false">IF(الإجابات!E83=الإجابات!E$2,1,0)</f>
        <v>1</v>
      </c>
      <c r="F83" s="9" t="n">
        <f aca="false">IF(الإجابات!F83=الإجابات!F$2,1,0)</f>
        <v>1</v>
      </c>
      <c r="G83" s="9" t="n">
        <f aca="false">IF(الإجابات!G83=الإجابات!G$2,1,0)</f>
        <v>1</v>
      </c>
      <c r="H83" s="9" t="n">
        <f aca="false">IF(الإجابات!H83=الإجابات!H$2,1,0)</f>
        <v>0</v>
      </c>
      <c r="I83" s="9" t="n">
        <f aca="false">IF(الإجابات!I83=الإجابات!I$2,1,0)</f>
        <v>1</v>
      </c>
      <c r="J83" s="9" t="n">
        <f aca="false">IF(الإجابات!J83=الإجابات!J$2,1,0)</f>
        <v>1</v>
      </c>
      <c r="K83" s="9" t="n">
        <f aca="false">IF(الإجابات!K83=الإجابات!K$2,1,0)</f>
        <v>1</v>
      </c>
      <c r="L83" s="9" t="n">
        <f aca="false">IF(الإجابات!L83=الإجابات!L$2,1,0)</f>
        <v>1</v>
      </c>
      <c r="M83" s="9" t="n">
        <f aca="false">IF(الإجابات!M83=الإجابات!M$2,1,0)</f>
        <v>1</v>
      </c>
      <c r="N83" s="9" t="n">
        <f aca="false">IF(الإجابات!N83=الإجابات!N$2,1,0)</f>
        <v>1</v>
      </c>
      <c r="O83" s="9" t="n">
        <f aca="false">IF(الإجابات!O83=الإجابات!O$2,1,0)</f>
        <v>1</v>
      </c>
      <c r="P83" s="9" t="n">
        <f aca="false">IF(الإجابات!P83=الإجابات!P$2,1,0)</f>
        <v>0</v>
      </c>
      <c r="Q83" s="9" t="n">
        <f aca="false">IF(الإجابات!Q83=الإجابات!Q$2,1,0)</f>
        <v>1</v>
      </c>
      <c r="R83" s="9" t="n">
        <f aca="false">IF(الإجابات!R83=الإجابات!R$2,1,0)</f>
        <v>1</v>
      </c>
      <c r="S83" s="9" t="n">
        <f aca="false">IF(الإجابات!S83=الإجابات!S$2,1,0)</f>
        <v>0</v>
      </c>
      <c r="T83" s="9" t="n">
        <f aca="false">IF(الإجابات!T83=الإجابات!T$2,1,0)</f>
        <v>1</v>
      </c>
      <c r="U83" s="9" t="n">
        <f aca="false">IF(الإجابات!U83=الإجابات!U$2,1,0)</f>
        <v>1</v>
      </c>
      <c r="V83" s="9" t="n">
        <f aca="false">IF(الإجابات!V83=الإجابات!V$2,1,0)</f>
        <v>1</v>
      </c>
      <c r="W83" s="9" t="n">
        <f aca="false">IF(الإجابات!W83=الإجابات!W$2,1,0)</f>
        <v>1</v>
      </c>
      <c r="X83" s="9" t="n">
        <f aca="false">IF(الإجابات!X83=الإجابات!X$2,1,0)</f>
        <v>1</v>
      </c>
      <c r="Y83" s="9" t="n">
        <f aca="false">IF(الإجابات!Y83=الإجابات!Y$2,1,0)</f>
        <v>1</v>
      </c>
      <c r="Z83" s="9" t="n">
        <f aca="false">IF(الإجابات!Z83=الإجابات!Z$2,1,0)</f>
        <v>1</v>
      </c>
      <c r="AA83" s="9" t="n">
        <f aca="false">IF(الإجابات!AA83=الإجابات!AA$2,1,0)</f>
        <v>1</v>
      </c>
      <c r="AB83" s="9" t="n">
        <f aca="false">IF(الإجابات!AB83=الإجابات!AB$2,1,0)</f>
        <v>0</v>
      </c>
      <c r="AC83" s="9" t="n">
        <f aca="false">IF(الإجابات!AC83=الإجابات!AC$2,1,0)</f>
        <v>1</v>
      </c>
      <c r="AD83" s="9" t="n">
        <f aca="false">IF(الإجابات!AD83=الإجابات!AD$2,1,0)</f>
        <v>1</v>
      </c>
      <c r="AE83" s="9" t="n">
        <f aca="false">IF(الإجابات!AE83=الإجابات!AE$2,1,0)</f>
        <v>1</v>
      </c>
      <c r="AF83" s="9" t="n">
        <f aca="false">SUM(B83:AE83)</f>
        <v>25</v>
      </c>
    </row>
    <row r="84" customFormat="false" ht="15" hidden="false" customHeight="false" outlineLevel="0" collapsed="false">
      <c r="A84" s="0" t="str">
        <f aca="false">الإجابات!A84</f>
        <v>S082</v>
      </c>
      <c r="B84" s="9" t="n">
        <f aca="false">IF(الإجابات!B84=الإجابات!B$2,1,0)</f>
        <v>1</v>
      </c>
      <c r="C84" s="9" t="n">
        <f aca="false">IF(الإجابات!C84=الإجابات!C$2,1,0)</f>
        <v>0</v>
      </c>
      <c r="D84" s="9" t="n">
        <f aca="false">IF(الإجابات!D84=الإجابات!D$2,1,0)</f>
        <v>0</v>
      </c>
      <c r="E84" s="9" t="n">
        <f aca="false">IF(الإجابات!E84=الإجابات!E$2,1,0)</f>
        <v>0</v>
      </c>
      <c r="F84" s="9" t="n">
        <f aca="false">IF(الإجابات!F84=الإجابات!F$2,1,0)</f>
        <v>0</v>
      </c>
      <c r="G84" s="9" t="n">
        <f aca="false">IF(الإجابات!G84=الإجابات!G$2,1,0)</f>
        <v>1</v>
      </c>
      <c r="H84" s="9" t="n">
        <f aca="false">IF(الإجابات!H84=الإجابات!H$2,1,0)</f>
        <v>1</v>
      </c>
      <c r="I84" s="9" t="n">
        <f aca="false">IF(الإجابات!I84=الإجابات!I$2,1,0)</f>
        <v>0</v>
      </c>
      <c r="J84" s="9" t="n">
        <f aca="false">IF(الإجابات!J84=الإجابات!J$2,1,0)</f>
        <v>1</v>
      </c>
      <c r="K84" s="9" t="n">
        <f aca="false">IF(الإجابات!K84=الإجابات!K$2,1,0)</f>
        <v>1</v>
      </c>
      <c r="L84" s="9" t="n">
        <f aca="false">IF(الإجابات!L84=الإجابات!L$2,1,0)</f>
        <v>1</v>
      </c>
      <c r="M84" s="9" t="n">
        <f aca="false">IF(الإجابات!M84=الإجابات!M$2,1,0)</f>
        <v>1</v>
      </c>
      <c r="N84" s="9" t="n">
        <f aca="false">IF(الإجابات!N84=الإجابات!N$2,1,0)</f>
        <v>0</v>
      </c>
      <c r="O84" s="9" t="n">
        <f aca="false">IF(الإجابات!O84=الإجابات!O$2,1,0)</f>
        <v>1</v>
      </c>
      <c r="P84" s="9" t="n">
        <f aca="false">IF(الإجابات!P84=الإجابات!P$2,1,0)</f>
        <v>0</v>
      </c>
      <c r="Q84" s="9" t="n">
        <f aca="false">IF(الإجابات!Q84=الإجابات!Q$2,1,0)</f>
        <v>1</v>
      </c>
      <c r="R84" s="9" t="n">
        <f aca="false">IF(الإجابات!R84=الإجابات!R$2,1,0)</f>
        <v>1</v>
      </c>
      <c r="S84" s="9" t="n">
        <f aca="false">IF(الإجابات!S84=الإجابات!S$2,1,0)</f>
        <v>0</v>
      </c>
      <c r="T84" s="9" t="n">
        <f aca="false">IF(الإجابات!T84=الإجابات!T$2,1,0)</f>
        <v>1</v>
      </c>
      <c r="U84" s="9" t="n">
        <f aca="false">IF(الإجابات!U84=الإجابات!U$2,1,0)</f>
        <v>0</v>
      </c>
      <c r="V84" s="9" t="n">
        <f aca="false">IF(الإجابات!V84=الإجابات!V$2,1,0)</f>
        <v>0</v>
      </c>
      <c r="W84" s="9" t="n">
        <f aca="false">IF(الإجابات!W84=الإجابات!W$2,1,0)</f>
        <v>0</v>
      </c>
      <c r="X84" s="9" t="n">
        <f aca="false">IF(الإجابات!X84=الإجابات!X$2,1,0)</f>
        <v>0</v>
      </c>
      <c r="Y84" s="9" t="n">
        <f aca="false">IF(الإجابات!Y84=الإجابات!Y$2,1,0)</f>
        <v>0</v>
      </c>
      <c r="Z84" s="9" t="n">
        <f aca="false">IF(الإجابات!Z84=الإجابات!Z$2,1,0)</f>
        <v>0</v>
      </c>
      <c r="AA84" s="9" t="n">
        <f aca="false">IF(الإجابات!AA84=الإجابات!AA$2,1,0)</f>
        <v>0</v>
      </c>
      <c r="AB84" s="9" t="n">
        <f aca="false">IF(الإجابات!AB84=الإجابات!AB$2,1,0)</f>
        <v>1</v>
      </c>
      <c r="AC84" s="9" t="n">
        <f aca="false">IF(الإجابات!AC84=الإجابات!AC$2,1,0)</f>
        <v>0</v>
      </c>
      <c r="AD84" s="9" t="n">
        <f aca="false">IF(الإجابات!AD84=الإجابات!AD$2,1,0)</f>
        <v>0</v>
      </c>
      <c r="AE84" s="9" t="n">
        <f aca="false">IF(الإجابات!AE84=الإجابات!AE$2,1,0)</f>
        <v>0</v>
      </c>
      <c r="AF84" s="9" t="n">
        <f aca="false">SUM(B84:AE84)</f>
        <v>12</v>
      </c>
    </row>
    <row r="85" customFormat="false" ht="15" hidden="false" customHeight="false" outlineLevel="0" collapsed="false">
      <c r="A85" s="0" t="str">
        <f aca="false">الإجابات!A85</f>
        <v>S083</v>
      </c>
      <c r="B85" s="9" t="n">
        <f aca="false">IF(الإجابات!B85=الإجابات!B$2,1,0)</f>
        <v>0</v>
      </c>
      <c r="C85" s="9" t="n">
        <f aca="false">IF(الإجابات!C85=الإجابات!C$2,1,0)</f>
        <v>0</v>
      </c>
      <c r="D85" s="9" t="n">
        <f aca="false">IF(الإجابات!D85=الإجابات!D$2,1,0)</f>
        <v>0</v>
      </c>
      <c r="E85" s="9" t="n">
        <f aca="false">IF(الإجابات!E85=الإجابات!E$2,1,0)</f>
        <v>1</v>
      </c>
      <c r="F85" s="9" t="n">
        <f aca="false">IF(الإجابات!F85=الإجابات!F$2,1,0)</f>
        <v>0</v>
      </c>
      <c r="G85" s="9" t="n">
        <f aca="false">IF(الإجابات!G85=الإجابات!G$2,1,0)</f>
        <v>0</v>
      </c>
      <c r="H85" s="9" t="n">
        <f aca="false">IF(الإجابات!H85=الإجابات!H$2,1,0)</f>
        <v>0</v>
      </c>
      <c r="I85" s="9" t="n">
        <f aca="false">IF(الإجابات!I85=الإجابات!I$2,1,0)</f>
        <v>0</v>
      </c>
      <c r="J85" s="9" t="n">
        <f aca="false">IF(الإجابات!J85=الإجابات!J$2,1,0)</f>
        <v>1</v>
      </c>
      <c r="K85" s="9" t="n">
        <f aca="false">IF(الإجابات!K85=الإجابات!K$2,1,0)</f>
        <v>0</v>
      </c>
      <c r="L85" s="9" t="n">
        <f aca="false">IF(الإجابات!L85=الإجابات!L$2,1,0)</f>
        <v>1</v>
      </c>
      <c r="M85" s="9" t="n">
        <f aca="false">IF(الإجابات!M85=الإجابات!M$2,1,0)</f>
        <v>1</v>
      </c>
      <c r="N85" s="9" t="n">
        <f aca="false">IF(الإجابات!N85=الإجابات!N$2,1,0)</f>
        <v>1</v>
      </c>
      <c r="O85" s="9" t="n">
        <f aca="false">IF(الإجابات!O85=الإجابات!O$2,1,0)</f>
        <v>0</v>
      </c>
      <c r="P85" s="9" t="n">
        <f aca="false">IF(الإجابات!P85=الإجابات!P$2,1,0)</f>
        <v>0</v>
      </c>
      <c r="Q85" s="9" t="n">
        <f aca="false">IF(الإجابات!Q85=الإجابات!Q$2,1,0)</f>
        <v>1</v>
      </c>
      <c r="R85" s="9" t="n">
        <f aca="false">IF(الإجابات!R85=الإجابات!R$2,1,0)</f>
        <v>1</v>
      </c>
      <c r="S85" s="9" t="n">
        <f aca="false">IF(الإجابات!S85=الإجابات!S$2,1,0)</f>
        <v>1</v>
      </c>
      <c r="T85" s="9" t="n">
        <f aca="false">IF(الإجابات!T85=الإجابات!T$2,1,0)</f>
        <v>1</v>
      </c>
      <c r="U85" s="9" t="n">
        <f aca="false">IF(الإجابات!U85=الإجابات!U$2,1,0)</f>
        <v>0</v>
      </c>
      <c r="V85" s="9" t="n">
        <f aca="false">IF(الإجابات!V85=الإجابات!V$2,1,0)</f>
        <v>1</v>
      </c>
      <c r="W85" s="9" t="n">
        <f aca="false">IF(الإجابات!W85=الإجابات!W$2,1,0)</f>
        <v>0</v>
      </c>
      <c r="X85" s="9" t="n">
        <f aca="false">IF(الإجابات!X85=الإجابات!X$2,1,0)</f>
        <v>1</v>
      </c>
      <c r="Y85" s="9" t="n">
        <f aca="false">IF(الإجابات!Y85=الإجابات!Y$2,1,0)</f>
        <v>0</v>
      </c>
      <c r="Z85" s="9" t="n">
        <f aca="false">IF(الإجابات!Z85=الإجابات!Z$2,1,0)</f>
        <v>1</v>
      </c>
      <c r="AA85" s="9" t="n">
        <f aca="false">IF(الإجابات!AA85=الإجابات!AA$2,1,0)</f>
        <v>1</v>
      </c>
      <c r="AB85" s="9" t="n">
        <f aca="false">IF(الإجابات!AB85=الإجابات!AB$2,1,0)</f>
        <v>0</v>
      </c>
      <c r="AC85" s="9" t="n">
        <f aca="false">IF(الإجابات!AC85=الإجابات!AC$2,1,0)</f>
        <v>0</v>
      </c>
      <c r="AD85" s="9" t="n">
        <f aca="false">IF(الإجابات!AD85=الإجابات!AD$2,1,0)</f>
        <v>1</v>
      </c>
      <c r="AE85" s="9" t="n">
        <f aca="false">IF(الإجابات!AE85=الإجابات!AE$2,1,0)</f>
        <v>1</v>
      </c>
      <c r="AF85" s="9" t="n">
        <f aca="false">SUM(B85:AE85)</f>
        <v>15</v>
      </c>
    </row>
    <row r="86" customFormat="false" ht="15" hidden="false" customHeight="false" outlineLevel="0" collapsed="false">
      <c r="A86" s="0" t="str">
        <f aca="false">الإجابات!A86</f>
        <v>S084</v>
      </c>
      <c r="B86" s="9" t="n">
        <f aca="false">IF(الإجابات!B86=الإجابات!B$2,1,0)</f>
        <v>1</v>
      </c>
      <c r="C86" s="9" t="n">
        <f aca="false">IF(الإجابات!C86=الإجابات!C$2,1,0)</f>
        <v>0</v>
      </c>
      <c r="D86" s="9" t="n">
        <f aca="false">IF(الإجابات!D86=الإجابات!D$2,1,0)</f>
        <v>1</v>
      </c>
      <c r="E86" s="9" t="n">
        <f aca="false">IF(الإجابات!E86=الإجابات!E$2,1,0)</f>
        <v>1</v>
      </c>
      <c r="F86" s="9" t="n">
        <f aca="false">IF(الإجابات!F86=الإجابات!F$2,1,0)</f>
        <v>1</v>
      </c>
      <c r="G86" s="9" t="n">
        <f aca="false">IF(الإجابات!G86=الإجابات!G$2,1,0)</f>
        <v>0</v>
      </c>
      <c r="H86" s="9" t="n">
        <f aca="false">IF(الإجابات!H86=الإجابات!H$2,1,0)</f>
        <v>0</v>
      </c>
      <c r="I86" s="9" t="n">
        <f aca="false">IF(الإجابات!I86=الإجابات!I$2,1,0)</f>
        <v>1</v>
      </c>
      <c r="J86" s="9" t="n">
        <f aca="false">IF(الإجابات!J86=الإجابات!J$2,1,0)</f>
        <v>1</v>
      </c>
      <c r="K86" s="9" t="n">
        <f aca="false">IF(الإجابات!K86=الإجابات!K$2,1,0)</f>
        <v>1</v>
      </c>
      <c r="L86" s="9" t="n">
        <f aca="false">IF(الإجابات!L86=الإجابات!L$2,1,0)</f>
        <v>1</v>
      </c>
      <c r="M86" s="9" t="n">
        <f aca="false">IF(الإجابات!M86=الإجابات!M$2,1,0)</f>
        <v>1</v>
      </c>
      <c r="N86" s="9" t="n">
        <f aca="false">IF(الإجابات!N86=الإجابات!N$2,1,0)</f>
        <v>0</v>
      </c>
      <c r="O86" s="9" t="n">
        <f aca="false">IF(الإجابات!O86=الإجابات!O$2,1,0)</f>
        <v>1</v>
      </c>
      <c r="P86" s="9" t="n">
        <f aca="false">IF(الإجابات!P86=الإجابات!P$2,1,0)</f>
        <v>1</v>
      </c>
      <c r="Q86" s="9" t="n">
        <f aca="false">IF(الإجابات!Q86=الإجابات!Q$2,1,0)</f>
        <v>1</v>
      </c>
      <c r="R86" s="9" t="n">
        <f aca="false">IF(الإجابات!R86=الإجابات!R$2,1,0)</f>
        <v>1</v>
      </c>
      <c r="S86" s="9" t="n">
        <f aca="false">IF(الإجابات!S86=الإجابات!S$2,1,0)</f>
        <v>0</v>
      </c>
      <c r="T86" s="9" t="n">
        <f aca="false">IF(الإجابات!T86=الإجابات!T$2,1,0)</f>
        <v>1</v>
      </c>
      <c r="U86" s="9" t="n">
        <f aca="false">IF(الإجابات!U86=الإجابات!U$2,1,0)</f>
        <v>0</v>
      </c>
      <c r="V86" s="9" t="n">
        <f aca="false">IF(الإجابات!V86=الإجابات!V$2,1,0)</f>
        <v>1</v>
      </c>
      <c r="W86" s="9" t="n">
        <f aca="false">IF(الإجابات!W86=الإجابات!W$2,1,0)</f>
        <v>1</v>
      </c>
      <c r="X86" s="9" t="n">
        <f aca="false">IF(الإجابات!X86=الإجابات!X$2,1,0)</f>
        <v>0</v>
      </c>
      <c r="Y86" s="9" t="n">
        <f aca="false">IF(الإجابات!Y86=الإجابات!Y$2,1,0)</f>
        <v>0</v>
      </c>
      <c r="Z86" s="9" t="n">
        <f aca="false">IF(الإجابات!Z86=الإجابات!Z$2,1,0)</f>
        <v>1</v>
      </c>
      <c r="AA86" s="9" t="n">
        <f aca="false">IF(الإجابات!AA86=الإجابات!AA$2,1,0)</f>
        <v>0</v>
      </c>
      <c r="AB86" s="9" t="n">
        <f aca="false">IF(الإجابات!AB86=الإجابات!AB$2,1,0)</f>
        <v>0</v>
      </c>
      <c r="AC86" s="9" t="n">
        <f aca="false">IF(الإجابات!AC86=الإجابات!AC$2,1,0)</f>
        <v>1</v>
      </c>
      <c r="AD86" s="9" t="n">
        <f aca="false">IF(الإجابات!AD86=الإجابات!AD$2,1,0)</f>
        <v>0</v>
      </c>
      <c r="AE86" s="9" t="n">
        <f aca="false">IF(الإجابات!AE86=الإجابات!AE$2,1,0)</f>
        <v>0</v>
      </c>
      <c r="AF86" s="9" t="n">
        <f aca="false">SUM(B86:AE86)</f>
        <v>18</v>
      </c>
    </row>
    <row r="87" customFormat="false" ht="15" hidden="false" customHeight="false" outlineLevel="0" collapsed="false">
      <c r="A87" s="0" t="str">
        <f aca="false">الإجابات!A87</f>
        <v>S085</v>
      </c>
      <c r="B87" s="9" t="n">
        <f aca="false">IF(الإجابات!B87=الإجابات!B$2,1,0)</f>
        <v>0</v>
      </c>
      <c r="C87" s="9" t="n">
        <f aca="false">IF(الإجابات!C87=الإجابات!C$2,1,0)</f>
        <v>1</v>
      </c>
      <c r="D87" s="9" t="n">
        <f aca="false">IF(الإجابات!D87=الإجابات!D$2,1,0)</f>
        <v>0</v>
      </c>
      <c r="E87" s="9" t="n">
        <f aca="false">IF(الإجابات!E87=الإجابات!E$2,1,0)</f>
        <v>1</v>
      </c>
      <c r="F87" s="9" t="n">
        <f aca="false">IF(الإجابات!F87=الإجابات!F$2,1,0)</f>
        <v>0</v>
      </c>
      <c r="G87" s="9" t="n">
        <f aca="false">IF(الإجابات!G87=الإجابات!G$2,1,0)</f>
        <v>1</v>
      </c>
      <c r="H87" s="9" t="n">
        <f aca="false">IF(الإجابات!H87=الإجابات!H$2,1,0)</f>
        <v>0</v>
      </c>
      <c r="I87" s="9" t="n">
        <f aca="false">IF(الإجابات!I87=الإجابات!I$2,1,0)</f>
        <v>1</v>
      </c>
      <c r="J87" s="9" t="n">
        <f aca="false">IF(الإجابات!J87=الإجابات!J$2,1,0)</f>
        <v>1</v>
      </c>
      <c r="K87" s="9" t="n">
        <f aca="false">IF(الإجابات!K87=الإجابات!K$2,1,0)</f>
        <v>0</v>
      </c>
      <c r="L87" s="9" t="n">
        <f aca="false">IF(الإجابات!L87=الإجابات!L$2,1,0)</f>
        <v>0</v>
      </c>
      <c r="M87" s="9" t="n">
        <f aca="false">IF(الإجابات!M87=الإجابات!M$2,1,0)</f>
        <v>1</v>
      </c>
      <c r="N87" s="9" t="n">
        <f aca="false">IF(الإجابات!N87=الإجابات!N$2,1,0)</f>
        <v>1</v>
      </c>
      <c r="O87" s="9" t="n">
        <f aca="false">IF(الإجابات!O87=الإجابات!O$2,1,0)</f>
        <v>0</v>
      </c>
      <c r="P87" s="9" t="n">
        <f aca="false">IF(الإجابات!P87=الإجابات!P$2,1,0)</f>
        <v>0</v>
      </c>
      <c r="Q87" s="9" t="n">
        <f aca="false">IF(الإجابات!Q87=الإجابات!Q$2,1,0)</f>
        <v>1</v>
      </c>
      <c r="R87" s="9" t="n">
        <f aca="false">IF(الإجابات!R87=الإجابات!R$2,1,0)</f>
        <v>1</v>
      </c>
      <c r="S87" s="9" t="n">
        <f aca="false">IF(الإجابات!S87=الإجابات!S$2,1,0)</f>
        <v>0</v>
      </c>
      <c r="T87" s="9" t="n">
        <f aca="false">IF(الإجابات!T87=الإجابات!T$2,1,0)</f>
        <v>0</v>
      </c>
      <c r="U87" s="9" t="n">
        <f aca="false">IF(الإجابات!U87=الإجابات!U$2,1,0)</f>
        <v>1</v>
      </c>
      <c r="V87" s="9" t="n">
        <f aca="false">IF(الإجابات!V87=الإجابات!V$2,1,0)</f>
        <v>0</v>
      </c>
      <c r="W87" s="9" t="n">
        <f aca="false">IF(الإجابات!W87=الإجابات!W$2,1,0)</f>
        <v>0</v>
      </c>
      <c r="X87" s="9" t="n">
        <f aca="false">IF(الإجابات!X87=الإجابات!X$2,1,0)</f>
        <v>0</v>
      </c>
      <c r="Y87" s="9" t="n">
        <f aca="false">IF(الإجابات!Y87=الإجابات!Y$2,1,0)</f>
        <v>0</v>
      </c>
      <c r="Z87" s="9" t="n">
        <f aca="false">IF(الإجابات!Z87=الإجابات!Z$2,1,0)</f>
        <v>1</v>
      </c>
      <c r="AA87" s="9" t="n">
        <f aca="false">IF(الإجابات!AA87=الإجابات!AA$2,1,0)</f>
        <v>0</v>
      </c>
      <c r="AB87" s="9" t="n">
        <f aca="false">IF(الإجابات!AB87=الإجابات!AB$2,1,0)</f>
        <v>1</v>
      </c>
      <c r="AC87" s="9" t="n">
        <f aca="false">IF(الإجابات!AC87=الإجابات!AC$2,1,0)</f>
        <v>1</v>
      </c>
      <c r="AD87" s="9" t="n">
        <f aca="false">IF(الإجابات!AD87=الإجابات!AD$2,1,0)</f>
        <v>0</v>
      </c>
      <c r="AE87" s="9" t="n">
        <f aca="false">IF(الإجابات!AE87=الإجابات!AE$2,1,0)</f>
        <v>1</v>
      </c>
      <c r="AF87" s="9" t="n">
        <f aca="false">SUM(B87:AE87)</f>
        <v>14</v>
      </c>
    </row>
    <row r="88" customFormat="false" ht="15" hidden="false" customHeight="false" outlineLevel="0" collapsed="false">
      <c r="A88" s="0" t="str">
        <f aca="false">الإجابات!A88</f>
        <v>S086</v>
      </c>
      <c r="B88" s="9" t="n">
        <f aca="false">IF(الإجابات!B88=الإجابات!B$2,1,0)</f>
        <v>0</v>
      </c>
      <c r="C88" s="9" t="n">
        <f aca="false">IF(الإجابات!C88=الإجابات!C$2,1,0)</f>
        <v>1</v>
      </c>
      <c r="D88" s="9" t="n">
        <f aca="false">IF(الإجابات!D88=الإجابات!D$2,1,0)</f>
        <v>0</v>
      </c>
      <c r="E88" s="9" t="n">
        <f aca="false">IF(الإجابات!E88=الإجابات!E$2,1,0)</f>
        <v>0</v>
      </c>
      <c r="F88" s="9" t="n">
        <f aca="false">IF(الإجابات!F88=الإجابات!F$2,1,0)</f>
        <v>0</v>
      </c>
      <c r="G88" s="9" t="n">
        <f aca="false">IF(الإجابات!G88=الإجابات!G$2,1,0)</f>
        <v>0</v>
      </c>
      <c r="H88" s="9" t="n">
        <f aca="false">IF(الإجابات!H88=الإجابات!H$2,1,0)</f>
        <v>1</v>
      </c>
      <c r="I88" s="9" t="n">
        <f aca="false">IF(الإجابات!I88=الإجابات!I$2,1,0)</f>
        <v>0</v>
      </c>
      <c r="J88" s="9" t="n">
        <f aca="false">IF(الإجابات!J88=الإجابات!J$2,1,0)</f>
        <v>1</v>
      </c>
      <c r="K88" s="9" t="n">
        <f aca="false">IF(الإجابات!K88=الإجابات!K$2,1,0)</f>
        <v>0</v>
      </c>
      <c r="L88" s="9" t="n">
        <f aca="false">IF(الإجابات!L88=الإجابات!L$2,1,0)</f>
        <v>0</v>
      </c>
      <c r="M88" s="9" t="n">
        <f aca="false">IF(الإجابات!M88=الإجابات!M$2,1,0)</f>
        <v>1</v>
      </c>
      <c r="N88" s="9" t="n">
        <f aca="false">IF(الإجابات!N88=الإجابات!N$2,1,0)</f>
        <v>0</v>
      </c>
      <c r="O88" s="9" t="n">
        <f aca="false">IF(الإجابات!O88=الإجابات!O$2,1,0)</f>
        <v>0</v>
      </c>
      <c r="P88" s="9" t="n">
        <f aca="false">IF(الإجابات!P88=الإجابات!P$2,1,0)</f>
        <v>1</v>
      </c>
      <c r="Q88" s="9" t="n">
        <f aca="false">IF(الإجابات!Q88=الإجابات!Q$2,1,0)</f>
        <v>1</v>
      </c>
      <c r="R88" s="9" t="n">
        <f aca="false">IF(الإجابات!R88=الإجابات!R$2,1,0)</f>
        <v>0</v>
      </c>
      <c r="S88" s="9" t="n">
        <f aca="false">IF(الإجابات!S88=الإجابات!S$2,1,0)</f>
        <v>0</v>
      </c>
      <c r="T88" s="9" t="n">
        <f aca="false">IF(الإجابات!T88=الإجابات!T$2,1,0)</f>
        <v>1</v>
      </c>
      <c r="U88" s="9" t="n">
        <f aca="false">IF(الإجابات!U88=الإجابات!U$2,1,0)</f>
        <v>0</v>
      </c>
      <c r="V88" s="9" t="n">
        <f aca="false">IF(الإجابات!V88=الإجابات!V$2,1,0)</f>
        <v>0</v>
      </c>
      <c r="W88" s="9" t="n">
        <f aca="false">IF(الإجابات!W88=الإجابات!W$2,1,0)</f>
        <v>1</v>
      </c>
      <c r="X88" s="9" t="n">
        <f aca="false">IF(الإجابات!X88=الإجابات!X$2,1,0)</f>
        <v>0</v>
      </c>
      <c r="Y88" s="9" t="n">
        <f aca="false">IF(الإجابات!Y88=الإجابات!Y$2,1,0)</f>
        <v>0</v>
      </c>
      <c r="Z88" s="9" t="n">
        <f aca="false">IF(الإجابات!Z88=الإجابات!Z$2,1,0)</f>
        <v>1</v>
      </c>
      <c r="AA88" s="9" t="n">
        <f aca="false">IF(الإجابات!AA88=الإجابات!AA$2,1,0)</f>
        <v>0</v>
      </c>
      <c r="AB88" s="9" t="n">
        <f aca="false">IF(الإجابات!AB88=الإجابات!AB$2,1,0)</f>
        <v>1</v>
      </c>
      <c r="AC88" s="9" t="n">
        <f aca="false">IF(الإجابات!AC88=الإجابات!AC$2,1,0)</f>
        <v>0</v>
      </c>
      <c r="AD88" s="9" t="n">
        <f aca="false">IF(الإجابات!AD88=الإجابات!AD$2,1,0)</f>
        <v>0</v>
      </c>
      <c r="AE88" s="9" t="n">
        <f aca="false">IF(الإجابات!AE88=الإجابات!AE$2,1,0)</f>
        <v>1</v>
      </c>
      <c r="AF88" s="9" t="n">
        <f aca="false">SUM(B88:AE88)</f>
        <v>11</v>
      </c>
    </row>
    <row r="89" customFormat="false" ht="15" hidden="false" customHeight="false" outlineLevel="0" collapsed="false">
      <c r="A89" s="0" t="str">
        <f aca="false">الإجابات!A89</f>
        <v>S087</v>
      </c>
      <c r="B89" s="9" t="n">
        <f aca="false">IF(الإجابات!B89=الإجابات!B$2,1,0)</f>
        <v>0</v>
      </c>
      <c r="C89" s="9" t="n">
        <f aca="false">IF(الإجابات!C89=الإجابات!C$2,1,0)</f>
        <v>0</v>
      </c>
      <c r="D89" s="9" t="n">
        <f aca="false">IF(الإجابات!D89=الإجابات!D$2,1,0)</f>
        <v>1</v>
      </c>
      <c r="E89" s="9" t="n">
        <f aca="false">IF(الإجابات!E89=الإجابات!E$2,1,0)</f>
        <v>0</v>
      </c>
      <c r="F89" s="9" t="n">
        <f aca="false">IF(الإجابات!F89=الإجابات!F$2,1,0)</f>
        <v>1</v>
      </c>
      <c r="G89" s="9" t="n">
        <f aca="false">IF(الإجابات!G89=الإجابات!G$2,1,0)</f>
        <v>0</v>
      </c>
      <c r="H89" s="9" t="n">
        <f aca="false">IF(الإجابات!H89=الإجابات!H$2,1,0)</f>
        <v>1</v>
      </c>
      <c r="I89" s="9" t="n">
        <f aca="false">IF(الإجابات!I89=الإجابات!I$2,1,0)</f>
        <v>0</v>
      </c>
      <c r="J89" s="9" t="n">
        <f aca="false">IF(الإجابات!J89=الإجابات!J$2,1,0)</f>
        <v>0</v>
      </c>
      <c r="K89" s="9" t="n">
        <f aca="false">IF(الإجابات!K89=الإجابات!K$2,1,0)</f>
        <v>0</v>
      </c>
      <c r="L89" s="9" t="n">
        <f aca="false">IF(الإجابات!L89=الإجابات!L$2,1,0)</f>
        <v>0</v>
      </c>
      <c r="M89" s="9" t="n">
        <f aca="false">IF(الإجابات!M89=الإجابات!M$2,1,0)</f>
        <v>1</v>
      </c>
      <c r="N89" s="9" t="n">
        <f aca="false">IF(الإجابات!N89=الإجابات!N$2,1,0)</f>
        <v>0</v>
      </c>
      <c r="O89" s="9" t="n">
        <f aca="false">IF(الإجابات!O89=الإجابات!O$2,1,0)</f>
        <v>0</v>
      </c>
      <c r="P89" s="9" t="n">
        <f aca="false">IF(الإجابات!P89=الإجابات!P$2,1,0)</f>
        <v>0</v>
      </c>
      <c r="Q89" s="9" t="n">
        <f aca="false">IF(الإجابات!Q89=الإجابات!Q$2,1,0)</f>
        <v>1</v>
      </c>
      <c r="R89" s="9" t="n">
        <f aca="false">IF(الإجابات!R89=الإجابات!R$2,1,0)</f>
        <v>1</v>
      </c>
      <c r="S89" s="9" t="n">
        <f aca="false">IF(الإجابات!S89=الإجابات!S$2,1,0)</f>
        <v>0</v>
      </c>
      <c r="T89" s="9" t="n">
        <f aca="false">IF(الإجابات!T89=الإجابات!T$2,1,0)</f>
        <v>0</v>
      </c>
      <c r="U89" s="9" t="n">
        <f aca="false">IF(الإجابات!U89=الإجابات!U$2,1,0)</f>
        <v>1</v>
      </c>
      <c r="V89" s="9" t="n">
        <f aca="false">IF(الإجابات!V89=الإجابات!V$2,1,0)</f>
        <v>0</v>
      </c>
      <c r="W89" s="9" t="n">
        <f aca="false">IF(الإجابات!W89=الإجابات!W$2,1,0)</f>
        <v>0</v>
      </c>
      <c r="X89" s="9" t="n">
        <f aca="false">IF(الإجابات!X89=الإجابات!X$2,1,0)</f>
        <v>0</v>
      </c>
      <c r="Y89" s="9" t="n">
        <f aca="false">IF(الإجابات!Y89=الإجابات!Y$2,1,0)</f>
        <v>1</v>
      </c>
      <c r="Z89" s="9" t="n">
        <f aca="false">IF(الإجابات!Z89=الإجابات!Z$2,1,0)</f>
        <v>0</v>
      </c>
      <c r="AA89" s="9" t="n">
        <f aca="false">IF(الإجابات!AA89=الإجابات!AA$2,1,0)</f>
        <v>0</v>
      </c>
      <c r="AB89" s="9" t="n">
        <f aca="false">IF(الإجابات!AB89=الإجابات!AB$2,1,0)</f>
        <v>1</v>
      </c>
      <c r="AC89" s="9" t="n">
        <f aca="false">IF(الإجابات!AC89=الإجابات!AC$2,1,0)</f>
        <v>0</v>
      </c>
      <c r="AD89" s="9" t="n">
        <f aca="false">IF(الإجابات!AD89=الإجابات!AD$2,1,0)</f>
        <v>1</v>
      </c>
      <c r="AE89" s="9" t="n">
        <f aca="false">IF(الإجابات!AE89=الإجابات!AE$2,1,0)</f>
        <v>1</v>
      </c>
      <c r="AF89" s="9" t="n">
        <f aca="false">SUM(B89:AE89)</f>
        <v>11</v>
      </c>
    </row>
    <row r="90" customFormat="false" ht="15" hidden="false" customHeight="false" outlineLevel="0" collapsed="false">
      <c r="A90" s="0" t="str">
        <f aca="false">الإجابات!A90</f>
        <v>S088</v>
      </c>
      <c r="B90" s="9" t="n">
        <f aca="false">IF(الإجابات!B90=الإجابات!B$2,1,0)</f>
        <v>0</v>
      </c>
      <c r="C90" s="9" t="n">
        <f aca="false">IF(الإجابات!C90=الإجابات!C$2,1,0)</f>
        <v>1</v>
      </c>
      <c r="D90" s="9" t="n">
        <f aca="false">IF(الإجابات!D90=الإجابات!D$2,1,0)</f>
        <v>1</v>
      </c>
      <c r="E90" s="9" t="n">
        <f aca="false">IF(الإجابات!E90=الإجابات!E$2,1,0)</f>
        <v>0</v>
      </c>
      <c r="F90" s="9" t="n">
        <f aca="false">IF(الإجابات!F90=الإجابات!F$2,1,0)</f>
        <v>0</v>
      </c>
      <c r="G90" s="9" t="n">
        <f aca="false">IF(الإجابات!G90=الإجابات!G$2,1,0)</f>
        <v>1</v>
      </c>
      <c r="H90" s="9" t="n">
        <f aca="false">IF(الإجابات!H90=الإجابات!H$2,1,0)</f>
        <v>0</v>
      </c>
      <c r="I90" s="9" t="n">
        <f aca="false">IF(الإجابات!I90=الإجابات!I$2,1,0)</f>
        <v>1</v>
      </c>
      <c r="J90" s="9" t="n">
        <f aca="false">IF(الإجابات!J90=الإجابات!J$2,1,0)</f>
        <v>1</v>
      </c>
      <c r="K90" s="9" t="n">
        <f aca="false">IF(الإجابات!K90=الإجابات!K$2,1,0)</f>
        <v>0</v>
      </c>
      <c r="L90" s="9" t="n">
        <f aca="false">IF(الإجابات!L90=الإجابات!L$2,1,0)</f>
        <v>0</v>
      </c>
      <c r="M90" s="9" t="n">
        <f aca="false">IF(الإجابات!M90=الإجابات!M$2,1,0)</f>
        <v>1</v>
      </c>
      <c r="N90" s="9" t="n">
        <f aca="false">IF(الإجابات!N90=الإجابات!N$2,1,0)</f>
        <v>1</v>
      </c>
      <c r="O90" s="9" t="n">
        <f aca="false">IF(الإجابات!O90=الإجابات!O$2,1,0)</f>
        <v>1</v>
      </c>
      <c r="P90" s="9" t="n">
        <f aca="false">IF(الإجابات!P90=الإجابات!P$2,1,0)</f>
        <v>1</v>
      </c>
      <c r="Q90" s="9" t="n">
        <f aca="false">IF(الإجابات!Q90=الإجابات!Q$2,1,0)</f>
        <v>1</v>
      </c>
      <c r="R90" s="9" t="n">
        <f aca="false">IF(الإجابات!R90=الإجابات!R$2,1,0)</f>
        <v>1</v>
      </c>
      <c r="S90" s="9" t="n">
        <f aca="false">IF(الإجابات!S90=الإجابات!S$2,1,0)</f>
        <v>0</v>
      </c>
      <c r="T90" s="9" t="n">
        <f aca="false">IF(الإجابات!T90=الإجابات!T$2,1,0)</f>
        <v>0</v>
      </c>
      <c r="U90" s="9" t="n">
        <f aca="false">IF(الإجابات!U90=الإجابات!U$2,1,0)</f>
        <v>1</v>
      </c>
      <c r="V90" s="9" t="n">
        <f aca="false">IF(الإجابات!V90=الإجابات!V$2,1,0)</f>
        <v>1</v>
      </c>
      <c r="W90" s="9" t="n">
        <f aca="false">IF(الإجابات!W90=الإجابات!W$2,1,0)</f>
        <v>0</v>
      </c>
      <c r="X90" s="9" t="n">
        <f aca="false">IF(الإجابات!X90=الإجابات!X$2,1,0)</f>
        <v>0</v>
      </c>
      <c r="Y90" s="9" t="n">
        <f aca="false">IF(الإجابات!Y90=الإجابات!Y$2,1,0)</f>
        <v>0</v>
      </c>
      <c r="Z90" s="9" t="n">
        <f aca="false">IF(الإجابات!Z90=الإجابات!Z$2,1,0)</f>
        <v>0</v>
      </c>
      <c r="AA90" s="9" t="n">
        <f aca="false">IF(الإجابات!AA90=الإجابات!AA$2,1,0)</f>
        <v>0</v>
      </c>
      <c r="AB90" s="9" t="n">
        <f aca="false">IF(الإجابات!AB90=الإجابات!AB$2,1,0)</f>
        <v>1</v>
      </c>
      <c r="AC90" s="9" t="n">
        <f aca="false">IF(الإجابات!AC90=الإجابات!AC$2,1,0)</f>
        <v>1</v>
      </c>
      <c r="AD90" s="9" t="n">
        <f aca="false">IF(الإجابات!AD90=الإجابات!AD$2,1,0)</f>
        <v>0</v>
      </c>
      <c r="AE90" s="9" t="n">
        <f aca="false">IF(الإجابات!AE90=الإجابات!AE$2,1,0)</f>
        <v>0</v>
      </c>
      <c r="AF90" s="9" t="n">
        <f aca="false">SUM(B90:AE90)</f>
        <v>15</v>
      </c>
    </row>
    <row r="91" customFormat="false" ht="15" hidden="false" customHeight="false" outlineLevel="0" collapsed="false">
      <c r="A91" s="0" t="str">
        <f aca="false">الإجابات!A91</f>
        <v>S089</v>
      </c>
      <c r="B91" s="9" t="n">
        <f aca="false">IF(الإجابات!B91=الإجابات!B$2,1,0)</f>
        <v>0</v>
      </c>
      <c r="C91" s="9" t="n">
        <f aca="false">IF(الإجابات!C91=الإجابات!C$2,1,0)</f>
        <v>1</v>
      </c>
      <c r="D91" s="9" t="n">
        <f aca="false">IF(الإجابات!D91=الإجابات!D$2,1,0)</f>
        <v>0</v>
      </c>
      <c r="E91" s="9" t="n">
        <f aca="false">IF(الإجابات!E91=الإجابات!E$2,1,0)</f>
        <v>1</v>
      </c>
      <c r="F91" s="9" t="n">
        <f aca="false">IF(الإجابات!F91=الإجابات!F$2,1,0)</f>
        <v>0</v>
      </c>
      <c r="G91" s="9" t="n">
        <f aca="false">IF(الإجابات!G91=الإجابات!G$2,1,0)</f>
        <v>0</v>
      </c>
      <c r="H91" s="9" t="n">
        <f aca="false">IF(الإجابات!H91=الإجابات!H$2,1,0)</f>
        <v>1</v>
      </c>
      <c r="I91" s="9" t="n">
        <f aca="false">IF(الإجابات!I91=الإجابات!I$2,1,0)</f>
        <v>0</v>
      </c>
      <c r="J91" s="9" t="n">
        <f aca="false">IF(الإجابات!J91=الإجابات!J$2,1,0)</f>
        <v>1</v>
      </c>
      <c r="K91" s="9" t="n">
        <f aca="false">IF(الإجابات!K91=الإجابات!K$2,1,0)</f>
        <v>1</v>
      </c>
      <c r="L91" s="9" t="n">
        <f aca="false">IF(الإجابات!L91=الإجابات!L$2,1,0)</f>
        <v>0</v>
      </c>
      <c r="M91" s="9" t="n">
        <f aca="false">IF(الإجابات!M91=الإجابات!M$2,1,0)</f>
        <v>1</v>
      </c>
      <c r="N91" s="9" t="n">
        <f aca="false">IF(الإجابات!N91=الإجابات!N$2,1,0)</f>
        <v>0</v>
      </c>
      <c r="O91" s="9" t="n">
        <f aca="false">IF(الإجابات!O91=الإجابات!O$2,1,0)</f>
        <v>1</v>
      </c>
      <c r="P91" s="9" t="n">
        <f aca="false">IF(الإجابات!P91=الإجابات!P$2,1,0)</f>
        <v>0</v>
      </c>
      <c r="Q91" s="9" t="n">
        <f aca="false">IF(الإجابات!Q91=الإجابات!Q$2,1,0)</f>
        <v>0</v>
      </c>
      <c r="R91" s="9" t="n">
        <f aca="false">IF(الإجابات!R91=الإجابات!R$2,1,0)</f>
        <v>1</v>
      </c>
      <c r="S91" s="9" t="n">
        <f aca="false">IF(الإجابات!S91=الإجابات!S$2,1,0)</f>
        <v>0</v>
      </c>
      <c r="T91" s="9" t="n">
        <f aca="false">IF(الإجابات!T91=الإجابات!T$2,1,0)</f>
        <v>1</v>
      </c>
      <c r="U91" s="9" t="n">
        <f aca="false">IF(الإجابات!U91=الإجابات!U$2,1,0)</f>
        <v>0</v>
      </c>
      <c r="V91" s="9" t="n">
        <f aca="false">IF(الإجابات!V91=الإجابات!V$2,1,0)</f>
        <v>1</v>
      </c>
      <c r="W91" s="9" t="n">
        <f aca="false">IF(الإجابات!W91=الإجابات!W$2,1,0)</f>
        <v>0</v>
      </c>
      <c r="X91" s="9" t="n">
        <f aca="false">IF(الإجابات!X91=الإجابات!X$2,1,0)</f>
        <v>0</v>
      </c>
      <c r="Y91" s="9" t="n">
        <f aca="false">IF(الإجابات!Y91=الإجابات!Y$2,1,0)</f>
        <v>0</v>
      </c>
      <c r="Z91" s="9" t="n">
        <f aca="false">IF(الإجابات!Z91=الإجابات!Z$2,1,0)</f>
        <v>1</v>
      </c>
      <c r="AA91" s="9" t="n">
        <f aca="false">IF(الإجابات!AA91=الإجابات!AA$2,1,0)</f>
        <v>0</v>
      </c>
      <c r="AB91" s="9" t="n">
        <f aca="false">IF(الإجابات!AB91=الإجابات!AB$2,1,0)</f>
        <v>1</v>
      </c>
      <c r="AC91" s="9" t="n">
        <f aca="false">IF(الإجابات!AC91=الإجابات!AC$2,1,0)</f>
        <v>0</v>
      </c>
      <c r="AD91" s="9" t="n">
        <f aca="false">IF(الإجابات!AD91=الإجابات!AD$2,1,0)</f>
        <v>1</v>
      </c>
      <c r="AE91" s="9" t="n">
        <f aca="false">IF(الإجابات!AE91=الإجابات!AE$2,1,0)</f>
        <v>0</v>
      </c>
      <c r="AF91" s="9" t="n">
        <f aca="false">SUM(B91:AE91)</f>
        <v>13</v>
      </c>
    </row>
    <row r="92" customFormat="false" ht="15" hidden="false" customHeight="false" outlineLevel="0" collapsed="false">
      <c r="A92" s="0" t="str">
        <f aca="false">الإجابات!A92</f>
        <v>S090</v>
      </c>
      <c r="B92" s="9" t="n">
        <f aca="false">IF(الإجابات!B92=الإجابات!B$2,1,0)</f>
        <v>1</v>
      </c>
      <c r="C92" s="9" t="n">
        <f aca="false">IF(الإجابات!C92=الإجابات!C$2,1,0)</f>
        <v>1</v>
      </c>
      <c r="D92" s="9" t="n">
        <f aca="false">IF(الإجابات!D92=الإجابات!D$2,1,0)</f>
        <v>0</v>
      </c>
      <c r="E92" s="9" t="n">
        <f aca="false">IF(الإجابات!E92=الإجابات!E$2,1,0)</f>
        <v>1</v>
      </c>
      <c r="F92" s="9" t="n">
        <f aca="false">IF(الإجابات!F92=الإجابات!F$2,1,0)</f>
        <v>1</v>
      </c>
      <c r="G92" s="9" t="n">
        <f aca="false">IF(الإجابات!G92=الإجابات!G$2,1,0)</f>
        <v>0</v>
      </c>
      <c r="H92" s="9" t="n">
        <f aca="false">IF(الإجابات!H92=الإجابات!H$2,1,0)</f>
        <v>1</v>
      </c>
      <c r="I92" s="9" t="n">
        <f aca="false">IF(الإجابات!I92=الإجابات!I$2,1,0)</f>
        <v>1</v>
      </c>
      <c r="J92" s="9" t="n">
        <f aca="false">IF(الإجابات!J92=الإجابات!J$2,1,0)</f>
        <v>1</v>
      </c>
      <c r="K92" s="9" t="n">
        <f aca="false">IF(الإجابات!K92=الإجابات!K$2,1,0)</f>
        <v>1</v>
      </c>
      <c r="L92" s="9" t="n">
        <f aca="false">IF(الإجابات!L92=الإجابات!L$2,1,0)</f>
        <v>1</v>
      </c>
      <c r="M92" s="9" t="n">
        <f aca="false">IF(الإجابات!M92=الإجابات!M$2,1,0)</f>
        <v>1</v>
      </c>
      <c r="N92" s="9" t="n">
        <f aca="false">IF(الإجابات!N92=الإجابات!N$2,1,0)</f>
        <v>0</v>
      </c>
      <c r="O92" s="9" t="n">
        <f aca="false">IF(الإجابات!O92=الإجابات!O$2,1,0)</f>
        <v>1</v>
      </c>
      <c r="P92" s="9" t="n">
        <f aca="false">IF(الإجابات!P92=الإجابات!P$2,1,0)</f>
        <v>1</v>
      </c>
      <c r="Q92" s="9" t="n">
        <f aca="false">IF(الإجابات!Q92=الإجابات!Q$2,1,0)</f>
        <v>1</v>
      </c>
      <c r="R92" s="9" t="n">
        <f aca="false">IF(الإجابات!R92=الإجابات!R$2,1,0)</f>
        <v>1</v>
      </c>
      <c r="S92" s="9" t="n">
        <f aca="false">IF(الإجابات!S92=الإجابات!S$2,1,0)</f>
        <v>0</v>
      </c>
      <c r="T92" s="9" t="n">
        <f aca="false">IF(الإجابات!T92=الإجابات!T$2,1,0)</f>
        <v>0</v>
      </c>
      <c r="U92" s="9" t="n">
        <f aca="false">IF(الإجابات!U92=الإجابات!U$2,1,0)</f>
        <v>0</v>
      </c>
      <c r="V92" s="9" t="n">
        <f aca="false">IF(الإجابات!V92=الإجابات!V$2,1,0)</f>
        <v>1</v>
      </c>
      <c r="W92" s="9" t="n">
        <f aca="false">IF(الإجابات!W92=الإجابات!W$2,1,0)</f>
        <v>1</v>
      </c>
      <c r="X92" s="9" t="n">
        <f aca="false">IF(الإجابات!X92=الإجابات!X$2,1,0)</f>
        <v>0</v>
      </c>
      <c r="Y92" s="9" t="n">
        <f aca="false">IF(الإجابات!Y92=الإجابات!Y$2,1,0)</f>
        <v>1</v>
      </c>
      <c r="Z92" s="9" t="n">
        <f aca="false">IF(الإجابات!Z92=الإجابات!Z$2,1,0)</f>
        <v>1</v>
      </c>
      <c r="AA92" s="9" t="n">
        <f aca="false">IF(الإجابات!AA92=الإجابات!AA$2,1,0)</f>
        <v>1</v>
      </c>
      <c r="AB92" s="9" t="n">
        <f aca="false">IF(الإجابات!AB92=الإجابات!AB$2,1,0)</f>
        <v>0</v>
      </c>
      <c r="AC92" s="9" t="n">
        <f aca="false">IF(الإجابات!AC92=الإجابات!AC$2,1,0)</f>
        <v>0</v>
      </c>
      <c r="AD92" s="9" t="n">
        <f aca="false">IF(الإجابات!AD92=الإجابات!AD$2,1,0)</f>
        <v>1</v>
      </c>
      <c r="AE92" s="9" t="n">
        <f aca="false">IF(الإجابات!AE92=الإجابات!AE$2,1,0)</f>
        <v>1</v>
      </c>
      <c r="AF92" s="9" t="n">
        <f aca="false">SUM(B92:AE92)</f>
        <v>21</v>
      </c>
    </row>
    <row r="93" customFormat="false" ht="15" hidden="false" customHeight="false" outlineLevel="0" collapsed="false">
      <c r="A93" s="0" t="str">
        <f aca="false">الإجابات!A93</f>
        <v>S091</v>
      </c>
      <c r="B93" s="9" t="n">
        <f aca="false">IF(الإجابات!B93=الإجابات!B$2,1,0)</f>
        <v>0</v>
      </c>
      <c r="C93" s="9" t="n">
        <f aca="false">IF(الإجابات!C93=الإجابات!C$2,1,0)</f>
        <v>1</v>
      </c>
      <c r="D93" s="9" t="n">
        <f aca="false">IF(الإجابات!D93=الإجابات!D$2,1,0)</f>
        <v>1</v>
      </c>
      <c r="E93" s="9" t="n">
        <f aca="false">IF(الإجابات!E93=الإجابات!E$2,1,0)</f>
        <v>1</v>
      </c>
      <c r="F93" s="9" t="n">
        <f aca="false">IF(الإجابات!F93=الإجابات!F$2,1,0)</f>
        <v>0</v>
      </c>
      <c r="G93" s="9" t="n">
        <f aca="false">IF(الإجابات!G93=الإجابات!G$2,1,0)</f>
        <v>0</v>
      </c>
      <c r="H93" s="9" t="n">
        <f aca="false">IF(الإجابات!H93=الإجابات!H$2,1,0)</f>
        <v>0</v>
      </c>
      <c r="I93" s="9" t="n">
        <f aca="false">IF(الإجابات!I93=الإجابات!I$2,1,0)</f>
        <v>1</v>
      </c>
      <c r="J93" s="9" t="n">
        <f aca="false">IF(الإجابات!J93=الإجابات!J$2,1,0)</f>
        <v>1</v>
      </c>
      <c r="K93" s="9" t="n">
        <f aca="false">IF(الإجابات!K93=الإجابات!K$2,1,0)</f>
        <v>0</v>
      </c>
      <c r="L93" s="9" t="n">
        <f aca="false">IF(الإجابات!L93=الإجابات!L$2,1,0)</f>
        <v>0</v>
      </c>
      <c r="M93" s="9" t="n">
        <f aca="false">IF(الإجابات!M93=الإجابات!M$2,1,0)</f>
        <v>1</v>
      </c>
      <c r="N93" s="9" t="n">
        <f aca="false">IF(الإجابات!N93=الإجابات!N$2,1,0)</f>
        <v>1</v>
      </c>
      <c r="O93" s="9" t="n">
        <f aca="false">IF(الإجابات!O93=الإجابات!O$2,1,0)</f>
        <v>1</v>
      </c>
      <c r="P93" s="9" t="n">
        <f aca="false">IF(الإجابات!P93=الإجابات!P$2,1,0)</f>
        <v>0</v>
      </c>
      <c r="Q93" s="9" t="n">
        <f aca="false">IF(الإجابات!Q93=الإجابات!Q$2,1,0)</f>
        <v>1</v>
      </c>
      <c r="R93" s="9" t="n">
        <f aca="false">IF(الإجابات!R93=الإجابات!R$2,1,0)</f>
        <v>1</v>
      </c>
      <c r="S93" s="9" t="n">
        <f aca="false">IF(الإجابات!S93=الإجابات!S$2,1,0)</f>
        <v>0</v>
      </c>
      <c r="T93" s="9" t="n">
        <f aca="false">IF(الإجابات!T93=الإجابات!T$2,1,0)</f>
        <v>1</v>
      </c>
      <c r="U93" s="9" t="n">
        <f aca="false">IF(الإجابات!U93=الإجابات!U$2,1,0)</f>
        <v>0</v>
      </c>
      <c r="V93" s="9" t="n">
        <f aca="false">IF(الإجابات!V93=الإجابات!V$2,1,0)</f>
        <v>1</v>
      </c>
      <c r="W93" s="9" t="n">
        <f aca="false">IF(الإجابات!W93=الإجابات!W$2,1,0)</f>
        <v>0</v>
      </c>
      <c r="X93" s="9" t="n">
        <f aca="false">IF(الإجابات!X93=الإجابات!X$2,1,0)</f>
        <v>1</v>
      </c>
      <c r="Y93" s="9" t="n">
        <f aca="false">IF(الإجابات!Y93=الإجابات!Y$2,1,0)</f>
        <v>1</v>
      </c>
      <c r="Z93" s="9" t="n">
        <f aca="false">IF(الإجابات!Z93=الإجابات!Z$2,1,0)</f>
        <v>1</v>
      </c>
      <c r="AA93" s="9" t="n">
        <f aca="false">IF(الإجابات!AA93=الإجابات!AA$2,1,0)</f>
        <v>1</v>
      </c>
      <c r="AB93" s="9" t="n">
        <f aca="false">IF(الإجابات!AB93=الإجابات!AB$2,1,0)</f>
        <v>0</v>
      </c>
      <c r="AC93" s="9" t="n">
        <f aca="false">IF(الإجابات!AC93=الإجابات!AC$2,1,0)</f>
        <v>1</v>
      </c>
      <c r="AD93" s="9" t="n">
        <f aca="false">IF(الإجابات!AD93=الإجابات!AD$2,1,0)</f>
        <v>1</v>
      </c>
      <c r="AE93" s="9" t="n">
        <f aca="false">IF(الإجابات!AE93=الإجابات!AE$2,1,0)</f>
        <v>1</v>
      </c>
      <c r="AF93" s="9" t="n">
        <f aca="false">SUM(B93:AE93)</f>
        <v>19</v>
      </c>
    </row>
    <row r="94" customFormat="false" ht="15" hidden="false" customHeight="false" outlineLevel="0" collapsed="false">
      <c r="A94" s="0" t="str">
        <f aca="false">الإجابات!A94</f>
        <v>S092</v>
      </c>
      <c r="B94" s="9" t="n">
        <f aca="false">IF(الإجابات!B94=الإجابات!B$2,1,0)</f>
        <v>0</v>
      </c>
      <c r="C94" s="9" t="n">
        <f aca="false">IF(الإجابات!C94=الإجابات!C$2,1,0)</f>
        <v>0</v>
      </c>
      <c r="D94" s="9" t="n">
        <f aca="false">IF(الإجابات!D94=الإجابات!D$2,1,0)</f>
        <v>1</v>
      </c>
      <c r="E94" s="9" t="n">
        <f aca="false">IF(الإجابات!E94=الإجابات!E$2,1,0)</f>
        <v>1</v>
      </c>
      <c r="F94" s="9" t="n">
        <f aca="false">IF(الإجابات!F94=الإجابات!F$2,1,0)</f>
        <v>0</v>
      </c>
      <c r="G94" s="9" t="n">
        <f aca="false">IF(الإجابات!G94=الإجابات!G$2,1,0)</f>
        <v>0</v>
      </c>
      <c r="H94" s="9" t="n">
        <f aca="false">IF(الإجابات!H94=الإجابات!H$2,1,0)</f>
        <v>1</v>
      </c>
      <c r="I94" s="9" t="n">
        <f aca="false">IF(الإجابات!I94=الإجابات!I$2,1,0)</f>
        <v>0</v>
      </c>
      <c r="J94" s="9" t="n">
        <f aca="false">IF(الإجابات!J94=الإجابات!J$2,1,0)</f>
        <v>1</v>
      </c>
      <c r="K94" s="9" t="n">
        <f aca="false">IF(الإجابات!K94=الإجابات!K$2,1,0)</f>
        <v>0</v>
      </c>
      <c r="L94" s="9" t="n">
        <f aca="false">IF(الإجابات!L94=الإجابات!L$2,1,0)</f>
        <v>1</v>
      </c>
      <c r="M94" s="9" t="n">
        <f aca="false">IF(الإجابات!M94=الإجابات!M$2,1,0)</f>
        <v>0</v>
      </c>
      <c r="N94" s="9" t="n">
        <f aca="false">IF(الإجابات!N94=الإجابات!N$2,1,0)</f>
        <v>1</v>
      </c>
      <c r="O94" s="9" t="n">
        <f aca="false">IF(الإجابات!O94=الإجابات!O$2,1,0)</f>
        <v>0</v>
      </c>
      <c r="P94" s="9" t="n">
        <f aca="false">IF(الإجابات!P94=الإجابات!P$2,1,0)</f>
        <v>0</v>
      </c>
      <c r="Q94" s="9" t="n">
        <f aca="false">IF(الإجابات!Q94=الإجابات!Q$2,1,0)</f>
        <v>0</v>
      </c>
      <c r="R94" s="9" t="n">
        <f aca="false">IF(الإجابات!R94=الإجابات!R$2,1,0)</f>
        <v>0</v>
      </c>
      <c r="S94" s="9" t="n">
        <f aca="false">IF(الإجابات!S94=الإجابات!S$2,1,0)</f>
        <v>0</v>
      </c>
      <c r="T94" s="9" t="n">
        <f aca="false">IF(الإجابات!T94=الإجابات!T$2,1,0)</f>
        <v>0</v>
      </c>
      <c r="U94" s="9" t="n">
        <f aca="false">IF(الإجابات!U94=الإجابات!U$2,1,0)</f>
        <v>0</v>
      </c>
      <c r="V94" s="9" t="n">
        <f aca="false">IF(الإجابات!V94=الإجابات!V$2,1,0)</f>
        <v>0</v>
      </c>
      <c r="W94" s="9" t="n">
        <f aca="false">IF(الإجابات!W94=الإجابات!W$2,1,0)</f>
        <v>0</v>
      </c>
      <c r="X94" s="9" t="n">
        <f aca="false">IF(الإجابات!X94=الإجابات!X$2,1,0)</f>
        <v>0</v>
      </c>
      <c r="Y94" s="9" t="n">
        <f aca="false">IF(الإجابات!Y94=الإجابات!Y$2,1,0)</f>
        <v>0</v>
      </c>
      <c r="Z94" s="9" t="n">
        <f aca="false">IF(الإجابات!Z94=الإجابات!Z$2,1,0)</f>
        <v>0</v>
      </c>
      <c r="AA94" s="9" t="n">
        <f aca="false">IF(الإجابات!AA94=الإجابات!AA$2,1,0)</f>
        <v>0</v>
      </c>
      <c r="AB94" s="9" t="n">
        <f aca="false">IF(الإجابات!AB94=الإجابات!AB$2,1,0)</f>
        <v>0</v>
      </c>
      <c r="AC94" s="9" t="n">
        <f aca="false">IF(الإجابات!AC94=الإجابات!AC$2,1,0)</f>
        <v>0</v>
      </c>
      <c r="AD94" s="9" t="n">
        <f aca="false">IF(الإجابات!AD94=الإجابات!AD$2,1,0)</f>
        <v>0</v>
      </c>
      <c r="AE94" s="9" t="n">
        <f aca="false">IF(الإجابات!AE94=الإجابات!AE$2,1,0)</f>
        <v>0</v>
      </c>
      <c r="AF94" s="9" t="n">
        <f aca="false">SUM(B94:AE94)</f>
        <v>6</v>
      </c>
    </row>
    <row r="95" customFormat="false" ht="15" hidden="false" customHeight="false" outlineLevel="0" collapsed="false">
      <c r="A95" s="0" t="str">
        <f aca="false">الإجابات!A95</f>
        <v>S093</v>
      </c>
      <c r="B95" s="9" t="n">
        <f aca="false">IF(الإجابات!B95=الإجابات!B$2,1,0)</f>
        <v>0</v>
      </c>
      <c r="C95" s="9" t="n">
        <f aca="false">IF(الإجابات!C95=الإجابات!C$2,1,0)</f>
        <v>1</v>
      </c>
      <c r="D95" s="9" t="n">
        <f aca="false">IF(الإجابات!D95=الإجابات!D$2,1,0)</f>
        <v>0</v>
      </c>
      <c r="E95" s="9" t="n">
        <f aca="false">IF(الإجابات!E95=الإجابات!E$2,1,0)</f>
        <v>0</v>
      </c>
      <c r="F95" s="9" t="n">
        <f aca="false">IF(الإجابات!F95=الإجابات!F$2,1,0)</f>
        <v>0</v>
      </c>
      <c r="G95" s="9" t="n">
        <f aca="false">IF(الإجابات!G95=الإجابات!G$2,1,0)</f>
        <v>0</v>
      </c>
      <c r="H95" s="9" t="n">
        <f aca="false">IF(الإجابات!H95=الإجابات!H$2,1,0)</f>
        <v>1</v>
      </c>
      <c r="I95" s="9" t="n">
        <f aca="false">IF(الإجابات!I95=الإجابات!I$2,1,0)</f>
        <v>0</v>
      </c>
      <c r="J95" s="9" t="n">
        <f aca="false">IF(الإجابات!J95=الإجابات!J$2,1,0)</f>
        <v>1</v>
      </c>
      <c r="K95" s="9" t="n">
        <f aca="false">IF(الإجابات!K95=الإجابات!K$2,1,0)</f>
        <v>0</v>
      </c>
      <c r="L95" s="9" t="n">
        <f aca="false">IF(الإجابات!L95=الإجابات!L$2,1,0)</f>
        <v>1</v>
      </c>
      <c r="M95" s="9" t="n">
        <f aca="false">IF(الإجابات!M95=الإجابات!M$2,1,0)</f>
        <v>1</v>
      </c>
      <c r="N95" s="9" t="n">
        <f aca="false">IF(الإجابات!N95=الإجابات!N$2,1,0)</f>
        <v>0</v>
      </c>
      <c r="O95" s="9" t="n">
        <f aca="false">IF(الإجابات!O95=الإجابات!O$2,1,0)</f>
        <v>0</v>
      </c>
      <c r="P95" s="9" t="n">
        <f aca="false">IF(الإجابات!P95=الإجابات!P$2,1,0)</f>
        <v>1</v>
      </c>
      <c r="Q95" s="9" t="n">
        <f aca="false">IF(الإجابات!Q95=الإجابات!Q$2,1,0)</f>
        <v>0</v>
      </c>
      <c r="R95" s="9" t="n">
        <f aca="false">IF(الإجابات!R95=الإجابات!R$2,1,0)</f>
        <v>1</v>
      </c>
      <c r="S95" s="9" t="n">
        <f aca="false">IF(الإجابات!S95=الإجابات!S$2,1,0)</f>
        <v>0</v>
      </c>
      <c r="T95" s="9" t="n">
        <f aca="false">IF(الإجابات!T95=الإجابات!T$2,1,0)</f>
        <v>0</v>
      </c>
      <c r="U95" s="9" t="n">
        <f aca="false">IF(الإجابات!U95=الإجابات!U$2,1,0)</f>
        <v>0</v>
      </c>
      <c r="V95" s="9" t="n">
        <f aca="false">IF(الإجابات!V95=الإجابات!V$2,1,0)</f>
        <v>0</v>
      </c>
      <c r="W95" s="9" t="n">
        <f aca="false">IF(الإجابات!W95=الإجابات!W$2,1,0)</f>
        <v>0</v>
      </c>
      <c r="X95" s="9" t="n">
        <f aca="false">IF(الإجابات!X95=الإجابات!X$2,1,0)</f>
        <v>0</v>
      </c>
      <c r="Y95" s="9" t="n">
        <f aca="false">IF(الإجابات!Y95=الإجابات!Y$2,1,0)</f>
        <v>1</v>
      </c>
      <c r="Z95" s="9" t="n">
        <f aca="false">IF(الإجابات!Z95=الإجابات!Z$2,1,0)</f>
        <v>0</v>
      </c>
      <c r="AA95" s="9" t="n">
        <f aca="false">IF(الإجابات!AA95=الإجابات!AA$2,1,0)</f>
        <v>0</v>
      </c>
      <c r="AB95" s="9" t="n">
        <f aca="false">IF(الإجابات!AB95=الإجابات!AB$2,1,0)</f>
        <v>0</v>
      </c>
      <c r="AC95" s="9" t="n">
        <f aca="false">IF(الإجابات!AC95=الإجابات!AC$2,1,0)</f>
        <v>0</v>
      </c>
      <c r="AD95" s="9" t="n">
        <f aca="false">IF(الإجابات!AD95=الإجابات!AD$2,1,0)</f>
        <v>0</v>
      </c>
      <c r="AE95" s="9" t="n">
        <f aca="false">IF(الإجابات!AE95=الإجابات!AE$2,1,0)</f>
        <v>0</v>
      </c>
      <c r="AF95" s="9" t="n">
        <f aca="false">SUM(B95:AE95)</f>
        <v>8</v>
      </c>
    </row>
    <row r="96" customFormat="false" ht="15" hidden="false" customHeight="false" outlineLevel="0" collapsed="false">
      <c r="A96" s="0" t="str">
        <f aca="false">الإجابات!A96</f>
        <v>S094</v>
      </c>
      <c r="B96" s="9" t="n">
        <f aca="false">IF(الإجابات!B96=الإجابات!B$2,1,0)</f>
        <v>0</v>
      </c>
      <c r="C96" s="9" t="n">
        <f aca="false">IF(الإجابات!C96=الإجابات!C$2,1,0)</f>
        <v>0</v>
      </c>
      <c r="D96" s="9" t="n">
        <f aca="false">IF(الإجابات!D96=الإجابات!D$2,1,0)</f>
        <v>0</v>
      </c>
      <c r="E96" s="9" t="n">
        <f aca="false">IF(الإجابات!E96=الإجابات!E$2,1,0)</f>
        <v>1</v>
      </c>
      <c r="F96" s="9" t="n">
        <f aca="false">IF(الإجابات!F96=الإجابات!F$2,1,0)</f>
        <v>1</v>
      </c>
      <c r="G96" s="9" t="n">
        <f aca="false">IF(الإجابات!G96=الإجابات!G$2,1,0)</f>
        <v>0</v>
      </c>
      <c r="H96" s="9" t="n">
        <f aca="false">IF(الإجابات!H96=الإجابات!H$2,1,0)</f>
        <v>0</v>
      </c>
      <c r="I96" s="9" t="n">
        <f aca="false">IF(الإجابات!I96=الإجابات!I$2,1,0)</f>
        <v>0</v>
      </c>
      <c r="J96" s="9" t="n">
        <f aca="false">IF(الإجابات!J96=الإجابات!J$2,1,0)</f>
        <v>0</v>
      </c>
      <c r="K96" s="9" t="n">
        <f aca="false">IF(الإجابات!K96=الإجابات!K$2,1,0)</f>
        <v>0</v>
      </c>
      <c r="L96" s="9" t="n">
        <f aca="false">IF(الإجابات!L96=الإجابات!L$2,1,0)</f>
        <v>0</v>
      </c>
      <c r="M96" s="9" t="n">
        <f aca="false">IF(الإجابات!M96=الإجابات!M$2,1,0)</f>
        <v>0</v>
      </c>
      <c r="N96" s="9" t="n">
        <f aca="false">IF(الإجابات!N96=الإجابات!N$2,1,0)</f>
        <v>0</v>
      </c>
      <c r="O96" s="9" t="n">
        <f aca="false">IF(الإجابات!O96=الإجابات!O$2,1,0)</f>
        <v>0</v>
      </c>
      <c r="P96" s="9" t="n">
        <f aca="false">IF(الإجابات!P96=الإجابات!P$2,1,0)</f>
        <v>0</v>
      </c>
      <c r="Q96" s="9" t="n">
        <f aca="false">IF(الإجابات!Q96=الإجابات!Q$2,1,0)</f>
        <v>0</v>
      </c>
      <c r="R96" s="9" t="n">
        <f aca="false">IF(الإجابات!R96=الإجابات!R$2,1,0)</f>
        <v>0</v>
      </c>
      <c r="S96" s="9" t="n">
        <f aca="false">IF(الإجابات!S96=الإجابات!S$2,1,0)</f>
        <v>0</v>
      </c>
      <c r="T96" s="9" t="n">
        <f aca="false">IF(الإجابات!T96=الإجابات!T$2,1,0)</f>
        <v>1</v>
      </c>
      <c r="U96" s="9" t="n">
        <f aca="false">IF(الإجابات!U96=الإجابات!U$2,1,0)</f>
        <v>0</v>
      </c>
      <c r="V96" s="9" t="n">
        <f aca="false">IF(الإجابات!V96=الإجابات!V$2,1,0)</f>
        <v>0</v>
      </c>
      <c r="W96" s="9" t="n">
        <f aca="false">IF(الإجابات!W96=الإجابات!W$2,1,0)</f>
        <v>0</v>
      </c>
      <c r="X96" s="9" t="n">
        <f aca="false">IF(الإجابات!X96=الإجابات!X$2,1,0)</f>
        <v>0</v>
      </c>
      <c r="Y96" s="9" t="n">
        <f aca="false">IF(الإجابات!Y96=الإجابات!Y$2,1,0)</f>
        <v>0</v>
      </c>
      <c r="Z96" s="9" t="n">
        <f aca="false">IF(الإجابات!Z96=الإجابات!Z$2,1,0)</f>
        <v>0</v>
      </c>
      <c r="AA96" s="9" t="n">
        <f aca="false">IF(الإجابات!AA96=الإجابات!AA$2,1,0)</f>
        <v>0</v>
      </c>
      <c r="AB96" s="9" t="n">
        <f aca="false">IF(الإجابات!AB96=الإجابات!AB$2,1,0)</f>
        <v>1</v>
      </c>
      <c r="AC96" s="9" t="n">
        <f aca="false">IF(الإجابات!AC96=الإجابات!AC$2,1,0)</f>
        <v>0</v>
      </c>
      <c r="AD96" s="9" t="n">
        <f aca="false">IF(الإجابات!AD96=الإجابات!AD$2,1,0)</f>
        <v>1</v>
      </c>
      <c r="AE96" s="9" t="n">
        <f aca="false">IF(الإجابات!AE96=الإجابات!AE$2,1,0)</f>
        <v>0</v>
      </c>
      <c r="AF96" s="9" t="n">
        <f aca="false">SUM(B96:AE96)</f>
        <v>5</v>
      </c>
    </row>
    <row r="97" customFormat="false" ht="15" hidden="false" customHeight="false" outlineLevel="0" collapsed="false">
      <c r="A97" s="0" t="str">
        <f aca="false">الإجابات!A97</f>
        <v>S095</v>
      </c>
      <c r="B97" s="9" t="n">
        <f aca="false">IF(الإجابات!B97=الإجابات!B$2,1,0)</f>
        <v>0</v>
      </c>
      <c r="C97" s="9" t="n">
        <f aca="false">IF(الإجابات!C97=الإجابات!C$2,1,0)</f>
        <v>0</v>
      </c>
      <c r="D97" s="9" t="n">
        <f aca="false">IF(الإجابات!D97=الإجابات!D$2,1,0)</f>
        <v>0</v>
      </c>
      <c r="E97" s="9" t="n">
        <f aca="false">IF(الإجابات!E97=الإجابات!E$2,1,0)</f>
        <v>1</v>
      </c>
      <c r="F97" s="9" t="n">
        <f aca="false">IF(الإجابات!F97=الإجابات!F$2,1,0)</f>
        <v>0</v>
      </c>
      <c r="G97" s="9" t="n">
        <f aca="false">IF(الإجابات!G97=الإجابات!G$2,1,0)</f>
        <v>0</v>
      </c>
      <c r="H97" s="9" t="n">
        <f aca="false">IF(الإجابات!H97=الإجابات!H$2,1,0)</f>
        <v>0</v>
      </c>
      <c r="I97" s="9" t="n">
        <f aca="false">IF(الإجابات!I97=الإجابات!I$2,1,0)</f>
        <v>1</v>
      </c>
      <c r="J97" s="9" t="n">
        <f aca="false">IF(الإجابات!J97=الإجابات!J$2,1,0)</f>
        <v>1</v>
      </c>
      <c r="K97" s="9" t="n">
        <f aca="false">IF(الإجابات!K97=الإجابات!K$2,1,0)</f>
        <v>1</v>
      </c>
      <c r="L97" s="9" t="n">
        <f aca="false">IF(الإجابات!L97=الإجابات!L$2,1,0)</f>
        <v>1</v>
      </c>
      <c r="M97" s="9" t="n">
        <f aca="false">IF(الإجابات!M97=الإجابات!M$2,1,0)</f>
        <v>1</v>
      </c>
      <c r="N97" s="9" t="n">
        <f aca="false">IF(الإجابات!N97=الإجابات!N$2,1,0)</f>
        <v>0</v>
      </c>
      <c r="O97" s="9" t="n">
        <f aca="false">IF(الإجابات!O97=الإجابات!O$2,1,0)</f>
        <v>0</v>
      </c>
      <c r="P97" s="9" t="n">
        <f aca="false">IF(الإجابات!P97=الإجابات!P$2,1,0)</f>
        <v>1</v>
      </c>
      <c r="Q97" s="9" t="n">
        <f aca="false">IF(الإجابات!Q97=الإجابات!Q$2,1,0)</f>
        <v>1</v>
      </c>
      <c r="R97" s="9" t="n">
        <f aca="false">IF(الإجابات!R97=الإجابات!R$2,1,0)</f>
        <v>1</v>
      </c>
      <c r="S97" s="9" t="n">
        <f aca="false">IF(الإجابات!S97=الإجابات!S$2,1,0)</f>
        <v>0</v>
      </c>
      <c r="T97" s="9" t="n">
        <f aca="false">IF(الإجابات!T97=الإجابات!T$2,1,0)</f>
        <v>0</v>
      </c>
      <c r="U97" s="9" t="n">
        <f aca="false">IF(الإجابات!U97=الإجابات!U$2,1,0)</f>
        <v>1</v>
      </c>
      <c r="V97" s="9" t="n">
        <f aca="false">IF(الإجابات!V97=الإجابات!V$2,1,0)</f>
        <v>0</v>
      </c>
      <c r="W97" s="9" t="n">
        <f aca="false">IF(الإجابات!W97=الإجابات!W$2,1,0)</f>
        <v>0</v>
      </c>
      <c r="X97" s="9" t="n">
        <f aca="false">IF(الإجابات!X97=الإجابات!X$2,1,0)</f>
        <v>1</v>
      </c>
      <c r="Y97" s="9" t="n">
        <f aca="false">IF(الإجابات!Y97=الإجابات!Y$2,1,0)</f>
        <v>1</v>
      </c>
      <c r="Z97" s="9" t="n">
        <f aca="false">IF(الإجابات!Z97=الإجابات!Z$2,1,0)</f>
        <v>1</v>
      </c>
      <c r="AA97" s="9" t="n">
        <f aca="false">IF(الإجابات!AA97=الإجابات!AA$2,1,0)</f>
        <v>0</v>
      </c>
      <c r="AB97" s="9" t="n">
        <f aca="false">IF(الإجابات!AB97=الإجابات!AB$2,1,0)</f>
        <v>1</v>
      </c>
      <c r="AC97" s="9" t="n">
        <f aca="false">IF(الإجابات!AC97=الإجابات!AC$2,1,0)</f>
        <v>0</v>
      </c>
      <c r="AD97" s="9" t="n">
        <f aca="false">IF(الإجابات!AD97=الإجابات!AD$2,1,0)</f>
        <v>0</v>
      </c>
      <c r="AE97" s="9" t="n">
        <f aca="false">IF(الإجابات!AE97=الإجابات!AE$2,1,0)</f>
        <v>1</v>
      </c>
      <c r="AF97" s="9" t="n">
        <f aca="false">SUM(B97:AE97)</f>
        <v>15</v>
      </c>
    </row>
    <row r="98" customFormat="false" ht="15" hidden="false" customHeight="false" outlineLevel="0" collapsed="false">
      <c r="A98" s="0" t="str">
        <f aca="false">الإجابات!A98</f>
        <v>S096</v>
      </c>
      <c r="B98" s="9" t="n">
        <f aca="false">IF(الإجابات!B98=الإجابات!B$2,1,0)</f>
        <v>1</v>
      </c>
      <c r="C98" s="9" t="n">
        <f aca="false">IF(الإجابات!C98=الإجابات!C$2,1,0)</f>
        <v>1</v>
      </c>
      <c r="D98" s="9" t="n">
        <f aca="false">IF(الإجابات!D98=الإجابات!D$2,1,0)</f>
        <v>1</v>
      </c>
      <c r="E98" s="9" t="n">
        <f aca="false">IF(الإجابات!E98=الإجابات!E$2,1,0)</f>
        <v>1</v>
      </c>
      <c r="F98" s="9" t="n">
        <f aca="false">IF(الإجابات!F98=الإجابات!F$2,1,0)</f>
        <v>1</v>
      </c>
      <c r="G98" s="9" t="n">
        <f aca="false">IF(الإجابات!G98=الإجابات!G$2,1,0)</f>
        <v>1</v>
      </c>
      <c r="H98" s="9" t="n">
        <f aca="false">IF(الإجابات!H98=الإجابات!H$2,1,0)</f>
        <v>0</v>
      </c>
      <c r="I98" s="9" t="n">
        <f aca="false">IF(الإجابات!I98=الإجابات!I$2,1,0)</f>
        <v>1</v>
      </c>
      <c r="J98" s="9" t="n">
        <f aca="false">IF(الإجابات!J98=الإجابات!J$2,1,0)</f>
        <v>1</v>
      </c>
      <c r="K98" s="9" t="n">
        <f aca="false">IF(الإجابات!K98=الإجابات!K$2,1,0)</f>
        <v>1</v>
      </c>
      <c r="L98" s="9" t="n">
        <f aca="false">IF(الإجابات!L98=الإجابات!L$2,1,0)</f>
        <v>1</v>
      </c>
      <c r="M98" s="9" t="n">
        <f aca="false">IF(الإجابات!M98=الإجابات!M$2,1,0)</f>
        <v>1</v>
      </c>
      <c r="N98" s="9" t="n">
        <f aca="false">IF(الإجابات!N98=الإجابات!N$2,1,0)</f>
        <v>1</v>
      </c>
      <c r="O98" s="9" t="n">
        <f aca="false">IF(الإجابات!O98=الإجابات!O$2,1,0)</f>
        <v>1</v>
      </c>
      <c r="P98" s="9" t="n">
        <f aca="false">IF(الإجابات!P98=الإجابات!P$2,1,0)</f>
        <v>1</v>
      </c>
      <c r="Q98" s="9" t="n">
        <f aca="false">IF(الإجابات!Q98=الإجابات!Q$2,1,0)</f>
        <v>1</v>
      </c>
      <c r="R98" s="9" t="n">
        <f aca="false">IF(الإجابات!R98=الإجابات!R$2,1,0)</f>
        <v>1</v>
      </c>
      <c r="S98" s="9" t="n">
        <f aca="false">IF(الإجابات!S98=الإجابات!S$2,1,0)</f>
        <v>0</v>
      </c>
      <c r="T98" s="9" t="n">
        <f aca="false">IF(الإجابات!T98=الإجابات!T$2,1,0)</f>
        <v>1</v>
      </c>
      <c r="U98" s="9" t="n">
        <f aca="false">IF(الإجابات!U98=الإجابات!U$2,1,0)</f>
        <v>1</v>
      </c>
      <c r="V98" s="9" t="n">
        <f aca="false">IF(الإجابات!V98=الإجابات!V$2,1,0)</f>
        <v>1</v>
      </c>
      <c r="W98" s="9" t="n">
        <f aca="false">IF(الإجابات!W98=الإجابات!W$2,1,0)</f>
        <v>1</v>
      </c>
      <c r="X98" s="9" t="n">
        <f aca="false">IF(الإجابات!X98=الإجابات!X$2,1,0)</f>
        <v>1</v>
      </c>
      <c r="Y98" s="9" t="n">
        <f aca="false">IF(الإجابات!Y98=الإجابات!Y$2,1,0)</f>
        <v>1</v>
      </c>
      <c r="Z98" s="9" t="n">
        <f aca="false">IF(الإجابات!Z98=الإجابات!Z$2,1,0)</f>
        <v>1</v>
      </c>
      <c r="AA98" s="9" t="n">
        <f aca="false">IF(الإجابات!AA98=الإجابات!AA$2,1,0)</f>
        <v>1</v>
      </c>
      <c r="AB98" s="9" t="n">
        <f aca="false">IF(الإجابات!AB98=الإجابات!AB$2,1,0)</f>
        <v>0</v>
      </c>
      <c r="AC98" s="9" t="n">
        <f aca="false">IF(الإجابات!AC98=الإجابات!AC$2,1,0)</f>
        <v>1</v>
      </c>
      <c r="AD98" s="9" t="n">
        <f aca="false">IF(الإجابات!AD98=الإجابات!AD$2,1,0)</f>
        <v>1</v>
      </c>
      <c r="AE98" s="9" t="n">
        <f aca="false">IF(الإجابات!AE98=الإجابات!AE$2,1,0)</f>
        <v>1</v>
      </c>
      <c r="AF98" s="9" t="n">
        <f aca="false">SUM(B98:AE98)</f>
        <v>27</v>
      </c>
    </row>
    <row r="99" customFormat="false" ht="15" hidden="false" customHeight="false" outlineLevel="0" collapsed="false">
      <c r="A99" s="0" t="str">
        <f aca="false">الإجابات!A99</f>
        <v>S097</v>
      </c>
      <c r="B99" s="9" t="n">
        <f aca="false">IF(الإجابات!B99=الإجابات!B$2,1,0)</f>
        <v>0</v>
      </c>
      <c r="C99" s="9" t="n">
        <f aca="false">IF(الإجابات!C99=الإجابات!C$2,1,0)</f>
        <v>0</v>
      </c>
      <c r="D99" s="9" t="n">
        <f aca="false">IF(الإجابات!D99=الإجابات!D$2,1,0)</f>
        <v>1</v>
      </c>
      <c r="E99" s="9" t="n">
        <f aca="false">IF(الإجابات!E99=الإجابات!E$2,1,0)</f>
        <v>1</v>
      </c>
      <c r="F99" s="9" t="n">
        <f aca="false">IF(الإجابات!F99=الإجابات!F$2,1,0)</f>
        <v>0</v>
      </c>
      <c r="G99" s="9" t="n">
        <f aca="false">IF(الإجابات!G99=الإجابات!G$2,1,0)</f>
        <v>0</v>
      </c>
      <c r="H99" s="9" t="n">
        <f aca="false">IF(الإجابات!H99=الإجابات!H$2,1,0)</f>
        <v>0</v>
      </c>
      <c r="I99" s="9" t="n">
        <f aca="false">IF(الإجابات!I99=الإجابات!I$2,1,0)</f>
        <v>1</v>
      </c>
      <c r="J99" s="9" t="n">
        <f aca="false">IF(الإجابات!J99=الإجابات!J$2,1,0)</f>
        <v>1</v>
      </c>
      <c r="K99" s="9" t="n">
        <f aca="false">IF(الإجابات!K99=الإجابات!K$2,1,0)</f>
        <v>0</v>
      </c>
      <c r="L99" s="9" t="n">
        <f aca="false">IF(الإجابات!L99=الإجابات!L$2,1,0)</f>
        <v>1</v>
      </c>
      <c r="M99" s="9" t="n">
        <f aca="false">IF(الإجابات!M99=الإجابات!M$2,1,0)</f>
        <v>1</v>
      </c>
      <c r="N99" s="9" t="n">
        <f aca="false">IF(الإجابات!N99=الإجابات!N$2,1,0)</f>
        <v>0</v>
      </c>
      <c r="O99" s="9" t="n">
        <f aca="false">IF(الإجابات!O99=الإجابات!O$2,1,0)</f>
        <v>0</v>
      </c>
      <c r="P99" s="9" t="n">
        <f aca="false">IF(الإجابات!P99=الإجابات!P$2,1,0)</f>
        <v>0</v>
      </c>
      <c r="Q99" s="9" t="n">
        <f aca="false">IF(الإجابات!Q99=الإجابات!Q$2,1,0)</f>
        <v>1</v>
      </c>
      <c r="R99" s="9" t="n">
        <f aca="false">IF(الإجابات!R99=الإجابات!R$2,1,0)</f>
        <v>1</v>
      </c>
      <c r="S99" s="9" t="n">
        <f aca="false">IF(الإجابات!S99=الإجابات!S$2,1,0)</f>
        <v>0</v>
      </c>
      <c r="T99" s="9" t="n">
        <f aca="false">IF(الإجابات!T99=الإجابات!T$2,1,0)</f>
        <v>1</v>
      </c>
      <c r="U99" s="9" t="n">
        <f aca="false">IF(الإجابات!U99=الإجابات!U$2,1,0)</f>
        <v>1</v>
      </c>
      <c r="V99" s="9" t="n">
        <f aca="false">IF(الإجابات!V99=الإجابات!V$2,1,0)</f>
        <v>0</v>
      </c>
      <c r="W99" s="9" t="n">
        <f aca="false">IF(الإجابات!W99=الإجابات!W$2,1,0)</f>
        <v>0</v>
      </c>
      <c r="X99" s="9" t="n">
        <f aca="false">IF(الإجابات!X99=الإجابات!X$2,1,0)</f>
        <v>1</v>
      </c>
      <c r="Y99" s="9" t="n">
        <f aca="false">IF(الإجابات!Y99=الإجابات!Y$2,1,0)</f>
        <v>0</v>
      </c>
      <c r="Z99" s="9" t="n">
        <f aca="false">IF(الإجابات!Z99=الإجابات!Z$2,1,0)</f>
        <v>0</v>
      </c>
      <c r="AA99" s="9" t="n">
        <f aca="false">IF(الإجابات!AA99=الإجابات!AA$2,1,0)</f>
        <v>0</v>
      </c>
      <c r="AB99" s="9" t="n">
        <f aca="false">IF(الإجابات!AB99=الإجابات!AB$2,1,0)</f>
        <v>0</v>
      </c>
      <c r="AC99" s="9" t="n">
        <f aca="false">IF(الإجابات!AC99=الإجابات!AC$2,1,0)</f>
        <v>1</v>
      </c>
      <c r="AD99" s="9" t="n">
        <f aca="false">IF(الإجابات!AD99=الإجابات!AD$2,1,0)</f>
        <v>0</v>
      </c>
      <c r="AE99" s="9" t="n">
        <f aca="false">IF(الإجابات!AE99=الإجابات!AE$2,1,0)</f>
        <v>0</v>
      </c>
      <c r="AF99" s="9" t="n">
        <f aca="false">SUM(B99:AE99)</f>
        <v>12</v>
      </c>
    </row>
    <row r="100" customFormat="false" ht="15" hidden="false" customHeight="false" outlineLevel="0" collapsed="false">
      <c r="A100" s="0" t="str">
        <f aca="false">الإجابات!A100</f>
        <v>S098</v>
      </c>
      <c r="B100" s="9" t="n">
        <f aca="false">IF(الإجابات!B100=الإجابات!B$2,1,0)</f>
        <v>1</v>
      </c>
      <c r="C100" s="9" t="n">
        <f aca="false">IF(الإجابات!C100=الإجابات!C$2,1,0)</f>
        <v>0</v>
      </c>
      <c r="D100" s="9" t="n">
        <f aca="false">IF(الإجابات!D100=الإجابات!D$2,1,0)</f>
        <v>0</v>
      </c>
      <c r="E100" s="9" t="n">
        <f aca="false">IF(الإجابات!E100=الإجابات!E$2,1,0)</f>
        <v>0</v>
      </c>
      <c r="F100" s="9" t="n">
        <f aca="false">IF(الإجابات!F100=الإجابات!F$2,1,0)</f>
        <v>0</v>
      </c>
      <c r="G100" s="9" t="n">
        <f aca="false">IF(الإجابات!G100=الإجابات!G$2,1,0)</f>
        <v>1</v>
      </c>
      <c r="H100" s="9" t="n">
        <f aca="false">IF(الإجابات!H100=الإجابات!H$2,1,0)</f>
        <v>0</v>
      </c>
      <c r="I100" s="9" t="n">
        <f aca="false">IF(الإجابات!I100=الإجابات!I$2,1,0)</f>
        <v>0</v>
      </c>
      <c r="J100" s="9" t="n">
        <f aca="false">IF(الإجابات!J100=الإجابات!J$2,1,0)</f>
        <v>1</v>
      </c>
      <c r="K100" s="9" t="n">
        <f aca="false">IF(الإجابات!K100=الإجابات!K$2,1,0)</f>
        <v>1</v>
      </c>
      <c r="L100" s="9" t="n">
        <f aca="false">IF(الإجابات!L100=الإجابات!L$2,1,0)</f>
        <v>1</v>
      </c>
      <c r="M100" s="9" t="n">
        <f aca="false">IF(الإجابات!M100=الإجابات!M$2,1,0)</f>
        <v>1</v>
      </c>
      <c r="N100" s="9" t="n">
        <f aca="false">IF(الإجابات!N100=الإجابات!N$2,1,0)</f>
        <v>0</v>
      </c>
      <c r="O100" s="9" t="n">
        <f aca="false">IF(الإجابات!O100=الإجابات!O$2,1,0)</f>
        <v>1</v>
      </c>
      <c r="P100" s="9" t="n">
        <f aca="false">IF(الإجابات!P100=الإجابات!P$2,1,0)</f>
        <v>1</v>
      </c>
      <c r="Q100" s="9" t="n">
        <f aca="false">IF(الإجابات!Q100=الإجابات!Q$2,1,0)</f>
        <v>1</v>
      </c>
      <c r="R100" s="9" t="n">
        <f aca="false">IF(الإجابات!R100=الإجابات!R$2,1,0)</f>
        <v>1</v>
      </c>
      <c r="S100" s="9" t="n">
        <f aca="false">IF(الإجابات!S100=الإجابات!S$2,1,0)</f>
        <v>0</v>
      </c>
      <c r="T100" s="9" t="n">
        <f aca="false">IF(الإجابات!T100=الإجابات!T$2,1,0)</f>
        <v>0</v>
      </c>
      <c r="U100" s="9" t="n">
        <f aca="false">IF(الإجابات!U100=الإجابات!U$2,1,0)</f>
        <v>1</v>
      </c>
      <c r="V100" s="9" t="n">
        <f aca="false">IF(الإجابات!V100=الإجابات!V$2,1,0)</f>
        <v>0</v>
      </c>
      <c r="W100" s="9" t="n">
        <f aca="false">IF(الإجابات!W100=الإجابات!W$2,1,0)</f>
        <v>0</v>
      </c>
      <c r="X100" s="9" t="n">
        <f aca="false">IF(الإجابات!X100=الإجابات!X$2,1,0)</f>
        <v>1</v>
      </c>
      <c r="Y100" s="9" t="n">
        <f aca="false">IF(الإجابات!Y100=الإجابات!Y$2,1,0)</f>
        <v>0</v>
      </c>
      <c r="Z100" s="9" t="n">
        <f aca="false">IF(الإجابات!Z100=الإجابات!Z$2,1,0)</f>
        <v>1</v>
      </c>
      <c r="AA100" s="9" t="n">
        <f aca="false">IF(الإجابات!AA100=الإجابات!AA$2,1,0)</f>
        <v>1</v>
      </c>
      <c r="AB100" s="9" t="n">
        <f aca="false">IF(الإجابات!AB100=الإجابات!AB$2,1,0)</f>
        <v>0</v>
      </c>
      <c r="AC100" s="9" t="n">
        <f aca="false">IF(الإجابات!AC100=الإجابات!AC$2,1,0)</f>
        <v>1</v>
      </c>
      <c r="AD100" s="9" t="n">
        <f aca="false">IF(الإجابات!AD100=الإجابات!AD$2,1,0)</f>
        <v>1</v>
      </c>
      <c r="AE100" s="9" t="n">
        <f aca="false">IF(الإجابات!AE100=الإجابات!AE$2,1,0)</f>
        <v>1</v>
      </c>
      <c r="AF100" s="9" t="n">
        <f aca="false">SUM(B100:AE100)</f>
        <v>17</v>
      </c>
    </row>
    <row r="101" customFormat="false" ht="15" hidden="false" customHeight="false" outlineLevel="0" collapsed="false">
      <c r="A101" s="0" t="str">
        <f aca="false">الإجابات!A101</f>
        <v>S099</v>
      </c>
      <c r="B101" s="9" t="n">
        <f aca="false">IF(الإجابات!B101=الإجابات!B$2,1,0)</f>
        <v>0</v>
      </c>
      <c r="C101" s="9" t="n">
        <f aca="false">IF(الإجابات!C101=الإجابات!C$2,1,0)</f>
        <v>0</v>
      </c>
      <c r="D101" s="9" t="n">
        <f aca="false">IF(الإجابات!D101=الإجابات!D$2,1,0)</f>
        <v>1</v>
      </c>
      <c r="E101" s="9" t="n">
        <f aca="false">IF(الإجابات!E101=الإجابات!E$2,1,0)</f>
        <v>0</v>
      </c>
      <c r="F101" s="9" t="n">
        <f aca="false">IF(الإجابات!F101=الإجابات!F$2,1,0)</f>
        <v>0</v>
      </c>
      <c r="G101" s="9" t="n">
        <f aca="false">IF(الإجابات!G101=الإجابات!G$2,1,0)</f>
        <v>0</v>
      </c>
      <c r="H101" s="9" t="n">
        <f aca="false">IF(الإجابات!H101=الإجابات!H$2,1,0)</f>
        <v>0</v>
      </c>
      <c r="I101" s="9" t="n">
        <f aca="false">IF(الإجابات!I101=الإجابات!I$2,1,0)</f>
        <v>1</v>
      </c>
      <c r="J101" s="9" t="n">
        <f aca="false">IF(الإجابات!J101=الإجابات!J$2,1,0)</f>
        <v>1</v>
      </c>
      <c r="K101" s="9" t="n">
        <f aca="false">IF(الإجابات!K101=الإجابات!K$2,1,0)</f>
        <v>0</v>
      </c>
      <c r="L101" s="9" t="n">
        <f aca="false">IF(الإجابات!L101=الإجابات!L$2,1,0)</f>
        <v>0</v>
      </c>
      <c r="M101" s="9" t="n">
        <f aca="false">IF(الإجابات!M101=الإجابات!M$2,1,0)</f>
        <v>1</v>
      </c>
      <c r="N101" s="9" t="n">
        <f aca="false">IF(الإجابات!N101=الإجابات!N$2,1,0)</f>
        <v>0</v>
      </c>
      <c r="O101" s="9" t="n">
        <f aca="false">IF(الإجابات!O101=الإجابات!O$2,1,0)</f>
        <v>0</v>
      </c>
      <c r="P101" s="9" t="n">
        <f aca="false">IF(الإجابات!P101=الإجابات!P$2,1,0)</f>
        <v>0</v>
      </c>
      <c r="Q101" s="9" t="n">
        <f aca="false">IF(الإجابات!Q101=الإجابات!Q$2,1,0)</f>
        <v>0</v>
      </c>
      <c r="R101" s="9" t="n">
        <f aca="false">IF(الإجابات!R101=الإجابات!R$2,1,0)</f>
        <v>1</v>
      </c>
      <c r="S101" s="9" t="n">
        <f aca="false">IF(الإجابات!S101=الإجابات!S$2,1,0)</f>
        <v>0</v>
      </c>
      <c r="T101" s="9" t="n">
        <f aca="false">IF(الإجابات!T101=الإجابات!T$2,1,0)</f>
        <v>0</v>
      </c>
      <c r="U101" s="9" t="n">
        <f aca="false">IF(الإجابات!U101=الإجابات!U$2,1,0)</f>
        <v>1</v>
      </c>
      <c r="V101" s="9" t="n">
        <f aca="false">IF(الإجابات!V101=الإجابات!V$2,1,0)</f>
        <v>0</v>
      </c>
      <c r="W101" s="9" t="n">
        <f aca="false">IF(الإجابات!W101=الإجابات!W$2,1,0)</f>
        <v>0</v>
      </c>
      <c r="X101" s="9" t="n">
        <f aca="false">IF(الإجابات!X101=الإجابات!X$2,1,0)</f>
        <v>0</v>
      </c>
      <c r="Y101" s="9" t="n">
        <f aca="false">IF(الإجابات!Y101=الإجابات!Y$2,1,0)</f>
        <v>1</v>
      </c>
      <c r="Z101" s="9" t="n">
        <f aca="false">IF(الإجابات!Z101=الإجابات!Z$2,1,0)</f>
        <v>0</v>
      </c>
      <c r="AA101" s="9" t="n">
        <f aca="false">IF(الإجابات!AA101=الإجابات!AA$2,1,0)</f>
        <v>0</v>
      </c>
      <c r="AB101" s="9" t="n">
        <f aca="false">IF(الإجابات!AB101=الإجابات!AB$2,1,0)</f>
        <v>1</v>
      </c>
      <c r="AC101" s="9" t="n">
        <f aca="false">IF(الإجابات!AC101=الإجابات!AC$2,1,0)</f>
        <v>0</v>
      </c>
      <c r="AD101" s="9" t="n">
        <f aca="false">IF(الإجابات!AD101=الإجابات!AD$2,1,0)</f>
        <v>0</v>
      </c>
      <c r="AE101" s="9" t="n">
        <f aca="false">IF(الإجابات!AE101=الإجابات!AE$2,1,0)</f>
        <v>0</v>
      </c>
      <c r="AF101" s="9" t="n">
        <f aca="false">SUM(B101:AE101)</f>
        <v>8</v>
      </c>
    </row>
    <row r="102" customFormat="false" ht="15" hidden="false" customHeight="false" outlineLevel="0" collapsed="false">
      <c r="A102" s="0" t="str">
        <f aca="false">الإجابات!A102</f>
        <v>S100</v>
      </c>
      <c r="B102" s="9" t="n">
        <f aca="false">IF(الإجابات!B102=الإجابات!B$2,1,0)</f>
        <v>0</v>
      </c>
      <c r="C102" s="9" t="n">
        <f aca="false">IF(الإجابات!C102=الإجابات!C$2,1,0)</f>
        <v>0</v>
      </c>
      <c r="D102" s="9" t="n">
        <f aca="false">IF(الإجابات!D102=الإجابات!D$2,1,0)</f>
        <v>1</v>
      </c>
      <c r="E102" s="9" t="n">
        <f aca="false">IF(الإجابات!E102=الإجابات!E$2,1,0)</f>
        <v>0</v>
      </c>
      <c r="F102" s="9" t="n">
        <f aca="false">IF(الإجابات!F102=الإجابات!F$2,1,0)</f>
        <v>0</v>
      </c>
      <c r="G102" s="9" t="n">
        <f aca="false">IF(الإجابات!G102=الإجابات!G$2,1,0)</f>
        <v>0</v>
      </c>
      <c r="H102" s="9" t="n">
        <f aca="false">IF(الإجابات!H102=الإجابات!H$2,1,0)</f>
        <v>1</v>
      </c>
      <c r="I102" s="9" t="n">
        <f aca="false">IF(الإجابات!I102=الإجابات!I$2,1,0)</f>
        <v>0</v>
      </c>
      <c r="J102" s="9" t="n">
        <f aca="false">IF(الإجابات!J102=الإجابات!J$2,1,0)</f>
        <v>1</v>
      </c>
      <c r="K102" s="9" t="n">
        <f aca="false">IF(الإجابات!K102=الإجابات!K$2,1,0)</f>
        <v>1</v>
      </c>
      <c r="L102" s="9" t="n">
        <f aca="false">IF(الإجابات!L102=الإجابات!L$2,1,0)</f>
        <v>0</v>
      </c>
      <c r="M102" s="9" t="n">
        <f aca="false">IF(الإجابات!M102=الإجابات!M$2,1,0)</f>
        <v>1</v>
      </c>
      <c r="N102" s="9" t="n">
        <f aca="false">IF(الإجابات!N102=الإجابات!N$2,1,0)</f>
        <v>1</v>
      </c>
      <c r="O102" s="9" t="n">
        <f aca="false">IF(الإجابات!O102=الإجابات!O$2,1,0)</f>
        <v>1</v>
      </c>
      <c r="P102" s="9" t="n">
        <f aca="false">IF(الإجابات!P102=الإجابات!P$2,1,0)</f>
        <v>1</v>
      </c>
      <c r="Q102" s="9" t="n">
        <f aca="false">IF(الإجابات!Q102=الإجابات!Q$2,1,0)</f>
        <v>1</v>
      </c>
      <c r="R102" s="9" t="n">
        <f aca="false">IF(الإجابات!R102=الإجابات!R$2,1,0)</f>
        <v>1</v>
      </c>
      <c r="S102" s="9" t="n">
        <f aca="false">IF(الإجابات!S102=الإجابات!S$2,1,0)</f>
        <v>0</v>
      </c>
      <c r="T102" s="9" t="n">
        <f aca="false">IF(الإجابات!T102=الإجابات!T$2,1,0)</f>
        <v>0</v>
      </c>
      <c r="U102" s="9" t="n">
        <f aca="false">IF(الإجابات!U102=الإجابات!U$2,1,0)</f>
        <v>0</v>
      </c>
      <c r="V102" s="9" t="n">
        <f aca="false">IF(الإجابات!V102=الإجابات!V$2,1,0)</f>
        <v>0</v>
      </c>
      <c r="W102" s="9" t="n">
        <f aca="false">IF(الإجابات!W102=الإجابات!W$2,1,0)</f>
        <v>1</v>
      </c>
      <c r="X102" s="9" t="n">
        <f aca="false">IF(الإجابات!X102=الإجابات!X$2,1,0)</f>
        <v>0</v>
      </c>
      <c r="Y102" s="9" t="n">
        <f aca="false">IF(الإجابات!Y102=الإجابات!Y$2,1,0)</f>
        <v>0</v>
      </c>
      <c r="Z102" s="9" t="n">
        <f aca="false">IF(الإجابات!Z102=الإجابات!Z$2,1,0)</f>
        <v>0</v>
      </c>
      <c r="AA102" s="9" t="n">
        <f aca="false">IF(الإجابات!AA102=الإجابات!AA$2,1,0)</f>
        <v>0</v>
      </c>
      <c r="AB102" s="9" t="n">
        <f aca="false">IF(الإجابات!AB102=الإجابات!AB$2,1,0)</f>
        <v>1</v>
      </c>
      <c r="AC102" s="9" t="n">
        <f aca="false">IF(الإجابات!AC102=الإجابات!AC$2,1,0)</f>
        <v>0</v>
      </c>
      <c r="AD102" s="9" t="n">
        <f aca="false">IF(الإجابات!AD102=الإجابات!AD$2,1,0)</f>
        <v>1</v>
      </c>
      <c r="AE102" s="9" t="n">
        <f aca="false">IF(الإجابات!AE102=الإجابات!AE$2,1,0)</f>
        <v>0</v>
      </c>
      <c r="AF102" s="9" t="n">
        <f aca="false">SUM(B102:AE102)</f>
        <v>13</v>
      </c>
    </row>
    <row r="103" customFormat="false" ht="15" hidden="false" customHeight="false" outlineLevel="0" collapsed="false">
      <c r="A103" s="0" t="str">
        <f aca="false">الإجابات!A103</f>
        <v>S101</v>
      </c>
      <c r="B103" s="9" t="n">
        <f aca="false">IF(الإجابات!B103=الإجابات!B$2,1,0)</f>
        <v>0</v>
      </c>
      <c r="C103" s="9" t="n">
        <f aca="false">IF(الإجابات!C103=الإجابات!C$2,1,0)</f>
        <v>0</v>
      </c>
      <c r="D103" s="9" t="n">
        <f aca="false">IF(الإجابات!D103=الإجابات!D$2,1,0)</f>
        <v>0</v>
      </c>
      <c r="E103" s="9" t="n">
        <f aca="false">IF(الإجابات!E103=الإجابات!E$2,1,0)</f>
        <v>0</v>
      </c>
      <c r="F103" s="9" t="n">
        <f aca="false">IF(الإجابات!F103=الإجابات!F$2,1,0)</f>
        <v>0</v>
      </c>
      <c r="G103" s="9" t="n">
        <f aca="false">IF(الإجابات!G103=الإجابات!G$2,1,0)</f>
        <v>0</v>
      </c>
      <c r="H103" s="9" t="n">
        <f aca="false">IF(الإجابات!H103=الإجابات!H$2,1,0)</f>
        <v>1</v>
      </c>
      <c r="I103" s="9" t="n">
        <f aca="false">IF(الإجابات!I103=الإجابات!I$2,1,0)</f>
        <v>0</v>
      </c>
      <c r="J103" s="9" t="n">
        <f aca="false">IF(الإجابات!J103=الإجابات!J$2,1,0)</f>
        <v>1</v>
      </c>
      <c r="K103" s="9" t="n">
        <f aca="false">IF(الإجابات!K103=الإجابات!K$2,1,0)</f>
        <v>0</v>
      </c>
      <c r="L103" s="9" t="n">
        <f aca="false">IF(الإجابات!L103=الإجابات!L$2,1,0)</f>
        <v>0</v>
      </c>
      <c r="M103" s="9" t="n">
        <f aca="false">IF(الإجابات!M103=الإجابات!M$2,1,0)</f>
        <v>1</v>
      </c>
      <c r="N103" s="9" t="n">
        <f aca="false">IF(الإجابات!N103=الإجابات!N$2,1,0)</f>
        <v>0</v>
      </c>
      <c r="O103" s="9" t="n">
        <f aca="false">IF(الإجابات!O103=الإجابات!O$2,1,0)</f>
        <v>0</v>
      </c>
      <c r="P103" s="9" t="n">
        <f aca="false">IF(الإجابات!P103=الإجابات!P$2,1,0)</f>
        <v>0</v>
      </c>
      <c r="Q103" s="9" t="n">
        <f aca="false">IF(الإجابات!Q103=الإجابات!Q$2,1,0)</f>
        <v>0</v>
      </c>
      <c r="R103" s="9" t="n">
        <f aca="false">IF(الإجابات!R103=الإجابات!R$2,1,0)</f>
        <v>0</v>
      </c>
      <c r="S103" s="9" t="n">
        <f aca="false">IF(الإجابات!S103=الإجابات!S$2,1,0)</f>
        <v>0</v>
      </c>
      <c r="T103" s="9" t="n">
        <f aca="false">IF(الإجابات!T103=الإجابات!T$2,1,0)</f>
        <v>1</v>
      </c>
      <c r="U103" s="9" t="n">
        <f aca="false">IF(الإجابات!U103=الإجابات!U$2,1,0)</f>
        <v>0</v>
      </c>
      <c r="V103" s="9" t="n">
        <f aca="false">IF(الإجابات!V103=الإجابات!V$2,1,0)</f>
        <v>0</v>
      </c>
      <c r="W103" s="9" t="n">
        <f aca="false">IF(الإجابات!W103=الإجابات!W$2,1,0)</f>
        <v>0</v>
      </c>
      <c r="X103" s="9" t="n">
        <f aca="false">IF(الإجابات!X103=الإجابات!X$2,1,0)</f>
        <v>0</v>
      </c>
      <c r="Y103" s="9" t="n">
        <f aca="false">IF(الإجابات!Y103=الإجابات!Y$2,1,0)</f>
        <v>1</v>
      </c>
      <c r="Z103" s="9" t="n">
        <f aca="false">IF(الإجابات!Z103=الإجابات!Z$2,1,0)</f>
        <v>0</v>
      </c>
      <c r="AA103" s="9" t="n">
        <f aca="false">IF(الإجابات!AA103=الإجابات!AA$2,1,0)</f>
        <v>1</v>
      </c>
      <c r="AB103" s="9" t="n">
        <f aca="false">IF(الإجابات!AB103=الإجابات!AB$2,1,0)</f>
        <v>0</v>
      </c>
      <c r="AC103" s="9" t="n">
        <f aca="false">IF(الإجابات!AC103=الإجابات!AC$2,1,0)</f>
        <v>0</v>
      </c>
      <c r="AD103" s="9" t="n">
        <f aca="false">IF(الإجابات!AD103=الإجابات!AD$2,1,0)</f>
        <v>0</v>
      </c>
      <c r="AE103" s="9" t="n">
        <f aca="false">IF(الإجابات!AE103=الإجابات!AE$2,1,0)</f>
        <v>0</v>
      </c>
      <c r="AF103" s="9" t="n">
        <f aca="false">SUM(B103:AE103)</f>
        <v>6</v>
      </c>
    </row>
    <row r="104" customFormat="false" ht="15" hidden="false" customHeight="false" outlineLevel="0" collapsed="false">
      <c r="A104" s="0" t="str">
        <f aca="false">الإجابات!A104</f>
        <v>S102</v>
      </c>
      <c r="B104" s="9" t="n">
        <f aca="false">IF(الإجابات!B104=الإجابات!B$2,1,0)</f>
        <v>0</v>
      </c>
      <c r="C104" s="9" t="n">
        <f aca="false">IF(الإجابات!C104=الإجابات!C$2,1,0)</f>
        <v>0</v>
      </c>
      <c r="D104" s="9" t="n">
        <f aca="false">IF(الإجابات!D104=الإجابات!D$2,1,0)</f>
        <v>0</v>
      </c>
      <c r="E104" s="9" t="n">
        <f aca="false">IF(الإجابات!E104=الإجابات!E$2,1,0)</f>
        <v>1</v>
      </c>
      <c r="F104" s="9" t="n">
        <f aca="false">IF(الإجابات!F104=الإجابات!F$2,1,0)</f>
        <v>1</v>
      </c>
      <c r="G104" s="9" t="n">
        <f aca="false">IF(الإجابات!G104=الإجابات!G$2,1,0)</f>
        <v>0</v>
      </c>
      <c r="H104" s="9" t="n">
        <f aca="false">IF(الإجابات!H104=الإجابات!H$2,1,0)</f>
        <v>0</v>
      </c>
      <c r="I104" s="9" t="n">
        <f aca="false">IF(الإجابات!I104=الإجابات!I$2,1,0)</f>
        <v>1</v>
      </c>
      <c r="J104" s="9" t="n">
        <f aca="false">IF(الإجابات!J104=الإجابات!J$2,1,0)</f>
        <v>1</v>
      </c>
      <c r="K104" s="9" t="n">
        <f aca="false">IF(الإجابات!K104=الإجابات!K$2,1,0)</f>
        <v>0</v>
      </c>
      <c r="L104" s="9" t="n">
        <f aca="false">IF(الإجابات!L104=الإجابات!L$2,1,0)</f>
        <v>1</v>
      </c>
      <c r="M104" s="9" t="n">
        <f aca="false">IF(الإجابات!M104=الإجابات!M$2,1,0)</f>
        <v>1</v>
      </c>
      <c r="N104" s="9" t="n">
        <f aca="false">IF(الإجابات!N104=الإجابات!N$2,1,0)</f>
        <v>1</v>
      </c>
      <c r="O104" s="9" t="n">
        <f aca="false">IF(الإجابات!O104=الإجابات!O$2,1,0)</f>
        <v>1</v>
      </c>
      <c r="P104" s="9" t="n">
        <f aca="false">IF(الإجابات!P104=الإجابات!P$2,1,0)</f>
        <v>1</v>
      </c>
      <c r="Q104" s="9" t="n">
        <f aca="false">IF(الإجابات!Q104=الإجابات!Q$2,1,0)</f>
        <v>1</v>
      </c>
      <c r="R104" s="9" t="n">
        <f aca="false">IF(الإجابات!R104=الإجابات!R$2,1,0)</f>
        <v>1</v>
      </c>
      <c r="S104" s="9" t="n">
        <f aca="false">IF(الإجابات!S104=الإجابات!S$2,1,0)</f>
        <v>1</v>
      </c>
      <c r="T104" s="9" t="n">
        <f aca="false">IF(الإجابات!T104=الإجابات!T$2,1,0)</f>
        <v>1</v>
      </c>
      <c r="U104" s="9" t="n">
        <f aca="false">IF(الإجابات!U104=الإجابات!U$2,1,0)</f>
        <v>1</v>
      </c>
      <c r="V104" s="9" t="n">
        <f aca="false">IF(الإجابات!V104=الإجابات!V$2,1,0)</f>
        <v>1</v>
      </c>
      <c r="W104" s="9" t="n">
        <f aca="false">IF(الإجابات!W104=الإجابات!W$2,1,0)</f>
        <v>0</v>
      </c>
      <c r="X104" s="9" t="n">
        <f aca="false">IF(الإجابات!X104=الإجابات!X$2,1,0)</f>
        <v>1</v>
      </c>
      <c r="Y104" s="9" t="n">
        <f aca="false">IF(الإجابات!Y104=الإجابات!Y$2,1,0)</f>
        <v>0</v>
      </c>
      <c r="Z104" s="9" t="n">
        <f aca="false">IF(الإجابات!Z104=الإجابات!Z$2,1,0)</f>
        <v>0</v>
      </c>
      <c r="AA104" s="9" t="n">
        <f aca="false">IF(الإجابات!AA104=الإجابات!AA$2,1,0)</f>
        <v>0</v>
      </c>
      <c r="AB104" s="9" t="n">
        <f aca="false">IF(الإجابات!AB104=الإجابات!AB$2,1,0)</f>
        <v>0</v>
      </c>
      <c r="AC104" s="9" t="n">
        <f aca="false">IF(الإجابات!AC104=الإجابات!AC$2,1,0)</f>
        <v>0</v>
      </c>
      <c r="AD104" s="9" t="n">
        <f aca="false">IF(الإجابات!AD104=الإجابات!AD$2,1,0)</f>
        <v>1</v>
      </c>
      <c r="AE104" s="9" t="n">
        <f aca="false">IF(الإجابات!AE104=الإجابات!AE$2,1,0)</f>
        <v>1</v>
      </c>
      <c r="AF104" s="9" t="n">
        <f aca="false">SUM(B104:AE104)</f>
        <v>18</v>
      </c>
    </row>
    <row r="105" customFormat="false" ht="15" hidden="false" customHeight="false" outlineLevel="0" collapsed="false">
      <c r="A105" s="0" t="str">
        <f aca="false">الإجابات!A105</f>
        <v>S103</v>
      </c>
      <c r="B105" s="9" t="n">
        <f aca="false">IF(الإجابات!B105=الإجابات!B$2,1,0)</f>
        <v>1</v>
      </c>
      <c r="C105" s="9" t="n">
        <f aca="false">IF(الإجابات!C105=الإجابات!C$2,1,0)</f>
        <v>1</v>
      </c>
      <c r="D105" s="9" t="n">
        <f aca="false">IF(الإجابات!D105=الإجابات!D$2,1,0)</f>
        <v>0</v>
      </c>
      <c r="E105" s="9" t="n">
        <f aca="false">IF(الإجابات!E105=الإجابات!E$2,1,0)</f>
        <v>1</v>
      </c>
      <c r="F105" s="9" t="n">
        <f aca="false">IF(الإجابات!F105=الإجابات!F$2,1,0)</f>
        <v>0</v>
      </c>
      <c r="G105" s="9" t="n">
        <f aca="false">IF(الإجابات!G105=الإجابات!G$2,1,0)</f>
        <v>0</v>
      </c>
      <c r="H105" s="9" t="n">
        <f aca="false">IF(الإجابات!H105=الإجابات!H$2,1,0)</f>
        <v>0</v>
      </c>
      <c r="I105" s="9" t="n">
        <f aca="false">IF(الإجابات!I105=الإجابات!I$2,1,0)</f>
        <v>1</v>
      </c>
      <c r="J105" s="9" t="n">
        <f aca="false">IF(الإجابات!J105=الإجابات!J$2,1,0)</f>
        <v>1</v>
      </c>
      <c r="K105" s="9" t="n">
        <f aca="false">IF(الإجابات!K105=الإجابات!K$2,1,0)</f>
        <v>1</v>
      </c>
      <c r="L105" s="9" t="n">
        <f aca="false">IF(الإجابات!L105=الإجابات!L$2,1,0)</f>
        <v>1</v>
      </c>
      <c r="M105" s="9" t="n">
        <f aca="false">IF(الإجابات!M105=الإجابات!M$2,1,0)</f>
        <v>1</v>
      </c>
      <c r="N105" s="9" t="n">
        <f aca="false">IF(الإجابات!N105=الإجابات!N$2,1,0)</f>
        <v>1</v>
      </c>
      <c r="O105" s="9" t="n">
        <f aca="false">IF(الإجابات!O105=الإجابات!O$2,1,0)</f>
        <v>1</v>
      </c>
      <c r="P105" s="9" t="n">
        <f aca="false">IF(الإجابات!P105=الإجابات!P$2,1,0)</f>
        <v>1</v>
      </c>
      <c r="Q105" s="9" t="n">
        <f aca="false">IF(الإجابات!Q105=الإجابات!Q$2,1,0)</f>
        <v>0</v>
      </c>
      <c r="R105" s="9" t="n">
        <f aca="false">IF(الإجابات!R105=الإجابات!R$2,1,0)</f>
        <v>1</v>
      </c>
      <c r="S105" s="9" t="n">
        <f aca="false">IF(الإجابات!S105=الإجابات!S$2,1,0)</f>
        <v>0</v>
      </c>
      <c r="T105" s="9" t="n">
        <f aca="false">IF(الإجابات!T105=الإجابات!T$2,1,0)</f>
        <v>0</v>
      </c>
      <c r="U105" s="9" t="n">
        <f aca="false">IF(الإجابات!U105=الإجابات!U$2,1,0)</f>
        <v>1</v>
      </c>
      <c r="V105" s="9" t="n">
        <f aca="false">IF(الإجابات!V105=الإجابات!V$2,1,0)</f>
        <v>1</v>
      </c>
      <c r="W105" s="9" t="n">
        <f aca="false">IF(الإجابات!W105=الإجابات!W$2,1,0)</f>
        <v>0</v>
      </c>
      <c r="X105" s="9" t="n">
        <f aca="false">IF(الإجابات!X105=الإجابات!X$2,1,0)</f>
        <v>1</v>
      </c>
      <c r="Y105" s="9" t="n">
        <f aca="false">IF(الإجابات!Y105=الإجابات!Y$2,1,0)</f>
        <v>0</v>
      </c>
      <c r="Z105" s="9" t="n">
        <f aca="false">IF(الإجابات!Z105=الإجابات!Z$2,1,0)</f>
        <v>1</v>
      </c>
      <c r="AA105" s="9" t="n">
        <f aca="false">IF(الإجابات!AA105=الإجابات!AA$2,1,0)</f>
        <v>0</v>
      </c>
      <c r="AB105" s="9" t="n">
        <f aca="false">IF(الإجابات!AB105=الإجابات!AB$2,1,0)</f>
        <v>1</v>
      </c>
      <c r="AC105" s="9" t="n">
        <f aca="false">IF(الإجابات!AC105=الإجابات!AC$2,1,0)</f>
        <v>1</v>
      </c>
      <c r="AD105" s="9" t="n">
        <f aca="false">IF(الإجابات!AD105=الإجابات!AD$2,1,0)</f>
        <v>0</v>
      </c>
      <c r="AE105" s="9" t="n">
        <f aca="false">IF(الإجابات!AE105=الإجابات!AE$2,1,0)</f>
        <v>1</v>
      </c>
      <c r="AF105" s="9" t="n">
        <f aca="false">SUM(B105:AE105)</f>
        <v>19</v>
      </c>
    </row>
    <row r="106" customFormat="false" ht="15" hidden="false" customHeight="false" outlineLevel="0" collapsed="false">
      <c r="A106" s="0" t="str">
        <f aca="false">الإجابات!A106</f>
        <v>S104</v>
      </c>
      <c r="B106" s="9" t="n">
        <f aca="false">IF(الإجابات!B106=الإجابات!B$2,1,0)</f>
        <v>0</v>
      </c>
      <c r="C106" s="9" t="n">
        <f aca="false">IF(الإجابات!C106=الإجابات!C$2,1,0)</f>
        <v>0</v>
      </c>
      <c r="D106" s="9" t="n">
        <f aca="false">IF(الإجابات!D106=الإجابات!D$2,1,0)</f>
        <v>0</v>
      </c>
      <c r="E106" s="9" t="n">
        <f aca="false">IF(الإجابات!E106=الإجابات!E$2,1,0)</f>
        <v>1</v>
      </c>
      <c r="F106" s="9" t="n">
        <f aca="false">IF(الإجابات!F106=الإجابات!F$2,1,0)</f>
        <v>1</v>
      </c>
      <c r="G106" s="9" t="n">
        <f aca="false">IF(الإجابات!G106=الإجابات!G$2,1,0)</f>
        <v>1</v>
      </c>
      <c r="H106" s="9" t="n">
        <f aca="false">IF(الإجابات!H106=الإجابات!H$2,1,0)</f>
        <v>0</v>
      </c>
      <c r="I106" s="9" t="n">
        <f aca="false">IF(الإجابات!I106=الإجابات!I$2,1,0)</f>
        <v>1</v>
      </c>
      <c r="J106" s="9" t="n">
        <f aca="false">IF(الإجابات!J106=الإجابات!J$2,1,0)</f>
        <v>1</v>
      </c>
      <c r="K106" s="9" t="n">
        <f aca="false">IF(الإجابات!K106=الإجابات!K$2,1,0)</f>
        <v>0</v>
      </c>
      <c r="L106" s="9" t="n">
        <f aca="false">IF(الإجابات!L106=الإجابات!L$2,1,0)</f>
        <v>0</v>
      </c>
      <c r="M106" s="9" t="n">
        <f aca="false">IF(الإجابات!M106=الإجابات!M$2,1,0)</f>
        <v>1</v>
      </c>
      <c r="N106" s="9" t="n">
        <f aca="false">IF(الإجابات!N106=الإجابات!N$2,1,0)</f>
        <v>0</v>
      </c>
      <c r="O106" s="9" t="n">
        <f aca="false">IF(الإجابات!O106=الإجابات!O$2,1,0)</f>
        <v>1</v>
      </c>
      <c r="P106" s="9" t="n">
        <f aca="false">IF(الإجابات!P106=الإجابات!P$2,1,0)</f>
        <v>0</v>
      </c>
      <c r="Q106" s="9" t="n">
        <f aca="false">IF(الإجابات!Q106=الإجابات!Q$2,1,0)</f>
        <v>1</v>
      </c>
      <c r="R106" s="9" t="n">
        <f aca="false">IF(الإجابات!R106=الإجابات!R$2,1,0)</f>
        <v>1</v>
      </c>
      <c r="S106" s="9" t="n">
        <f aca="false">IF(الإجابات!S106=الإجابات!S$2,1,0)</f>
        <v>0</v>
      </c>
      <c r="T106" s="9" t="n">
        <f aca="false">IF(الإجابات!T106=الإجابات!T$2,1,0)</f>
        <v>0</v>
      </c>
      <c r="U106" s="9" t="n">
        <f aca="false">IF(الإجابات!U106=الإجابات!U$2,1,0)</f>
        <v>1</v>
      </c>
      <c r="V106" s="9" t="n">
        <f aca="false">IF(الإجابات!V106=الإجابات!V$2,1,0)</f>
        <v>0</v>
      </c>
      <c r="W106" s="9" t="n">
        <f aca="false">IF(الإجابات!W106=الإجابات!W$2,1,0)</f>
        <v>0</v>
      </c>
      <c r="X106" s="9" t="n">
        <f aca="false">IF(الإجابات!X106=الإجابات!X$2,1,0)</f>
        <v>0</v>
      </c>
      <c r="Y106" s="9" t="n">
        <f aca="false">IF(الإجابات!Y106=الإجابات!Y$2,1,0)</f>
        <v>1</v>
      </c>
      <c r="Z106" s="9" t="n">
        <f aca="false">IF(الإجابات!Z106=الإجابات!Z$2,1,0)</f>
        <v>0</v>
      </c>
      <c r="AA106" s="9" t="n">
        <f aca="false">IF(الإجابات!AA106=الإجابات!AA$2,1,0)</f>
        <v>0</v>
      </c>
      <c r="AB106" s="9" t="n">
        <f aca="false">IF(الإجابات!AB106=الإجابات!AB$2,1,0)</f>
        <v>1</v>
      </c>
      <c r="AC106" s="9" t="n">
        <f aca="false">IF(الإجابات!AC106=الإجابات!AC$2,1,0)</f>
        <v>0</v>
      </c>
      <c r="AD106" s="9" t="n">
        <f aca="false">IF(الإجابات!AD106=الإجابات!AD$2,1,0)</f>
        <v>0</v>
      </c>
      <c r="AE106" s="9" t="n">
        <f aca="false">IF(الإجابات!AE106=الإجابات!AE$2,1,0)</f>
        <v>0</v>
      </c>
      <c r="AF106" s="9" t="n">
        <f aca="false">SUM(B106:AE106)</f>
        <v>12</v>
      </c>
    </row>
    <row r="107" customFormat="false" ht="15" hidden="false" customHeight="false" outlineLevel="0" collapsed="false">
      <c r="A107" s="0" t="str">
        <f aca="false">الإجابات!A107</f>
        <v>S105</v>
      </c>
      <c r="B107" s="9" t="n">
        <f aca="false">IF(الإجابات!B107=الإجابات!B$2,1,0)</f>
        <v>1</v>
      </c>
      <c r="C107" s="9" t="n">
        <f aca="false">IF(الإجابات!C107=الإجابات!C$2,1,0)</f>
        <v>1</v>
      </c>
      <c r="D107" s="9" t="n">
        <f aca="false">IF(الإجابات!D107=الإجابات!D$2,1,0)</f>
        <v>1</v>
      </c>
      <c r="E107" s="9" t="n">
        <f aca="false">IF(الإجابات!E107=الإجابات!E$2,1,0)</f>
        <v>1</v>
      </c>
      <c r="F107" s="9" t="n">
        <f aca="false">IF(الإجابات!F107=الإجابات!F$2,1,0)</f>
        <v>1</v>
      </c>
      <c r="G107" s="9" t="n">
        <f aca="false">IF(الإجابات!G107=الإجابات!G$2,1,0)</f>
        <v>1</v>
      </c>
      <c r="H107" s="9" t="n">
        <f aca="false">IF(الإجابات!H107=الإجابات!H$2,1,0)</f>
        <v>0</v>
      </c>
      <c r="I107" s="9" t="n">
        <f aca="false">IF(الإجابات!I107=الإجابات!I$2,1,0)</f>
        <v>1</v>
      </c>
      <c r="J107" s="9" t="n">
        <f aca="false">IF(الإجابات!J107=الإجابات!J$2,1,0)</f>
        <v>1</v>
      </c>
      <c r="K107" s="9" t="n">
        <f aca="false">IF(الإجابات!K107=الإجابات!K$2,1,0)</f>
        <v>1</v>
      </c>
      <c r="L107" s="9" t="n">
        <f aca="false">IF(الإجابات!L107=الإجابات!L$2,1,0)</f>
        <v>1</v>
      </c>
      <c r="M107" s="9" t="n">
        <f aca="false">IF(الإجابات!M107=الإجابات!M$2,1,0)</f>
        <v>1</v>
      </c>
      <c r="N107" s="9" t="n">
        <f aca="false">IF(الإجابات!N107=الإجابات!N$2,1,0)</f>
        <v>1</v>
      </c>
      <c r="O107" s="9" t="n">
        <f aca="false">IF(الإجابات!O107=الإجابات!O$2,1,0)</f>
        <v>1</v>
      </c>
      <c r="P107" s="9" t="n">
        <f aca="false">IF(الإجابات!P107=الإجابات!P$2,1,0)</f>
        <v>0</v>
      </c>
      <c r="Q107" s="9" t="n">
        <f aca="false">IF(الإجابات!Q107=الإجابات!Q$2,1,0)</f>
        <v>1</v>
      </c>
      <c r="R107" s="9" t="n">
        <f aca="false">IF(الإجابات!R107=الإجابات!R$2,1,0)</f>
        <v>1</v>
      </c>
      <c r="S107" s="9" t="n">
        <f aca="false">IF(الإجابات!S107=الإجابات!S$2,1,0)</f>
        <v>0</v>
      </c>
      <c r="T107" s="9" t="n">
        <f aca="false">IF(الإجابات!T107=الإجابات!T$2,1,0)</f>
        <v>1</v>
      </c>
      <c r="U107" s="9" t="n">
        <f aca="false">IF(الإجابات!U107=الإجابات!U$2,1,0)</f>
        <v>1</v>
      </c>
      <c r="V107" s="9" t="n">
        <f aca="false">IF(الإجابات!V107=الإجابات!V$2,1,0)</f>
        <v>1</v>
      </c>
      <c r="W107" s="9" t="n">
        <f aca="false">IF(الإجابات!W107=الإجابات!W$2,1,0)</f>
        <v>1</v>
      </c>
      <c r="X107" s="9" t="n">
        <f aca="false">IF(الإجابات!X107=الإجابات!X$2,1,0)</f>
        <v>1</v>
      </c>
      <c r="Y107" s="9" t="n">
        <f aca="false">IF(الإجابات!Y107=الإجابات!Y$2,1,0)</f>
        <v>1</v>
      </c>
      <c r="Z107" s="9" t="n">
        <f aca="false">IF(الإجابات!Z107=الإجابات!Z$2,1,0)</f>
        <v>0</v>
      </c>
      <c r="AA107" s="9" t="n">
        <f aca="false">IF(الإجابات!AA107=الإجابات!AA$2,1,0)</f>
        <v>1</v>
      </c>
      <c r="AB107" s="9" t="n">
        <f aca="false">IF(الإجابات!AB107=الإجابات!AB$2,1,0)</f>
        <v>1</v>
      </c>
      <c r="AC107" s="9" t="n">
        <f aca="false">IF(الإجابات!AC107=الإجابات!AC$2,1,0)</f>
        <v>1</v>
      </c>
      <c r="AD107" s="9" t="n">
        <f aca="false">IF(الإجابات!AD107=الإجابات!AD$2,1,0)</f>
        <v>1</v>
      </c>
      <c r="AE107" s="9" t="n">
        <f aca="false">IF(الإجابات!AE107=الإجابات!AE$2,1,0)</f>
        <v>1</v>
      </c>
      <c r="AF107" s="9" t="n">
        <f aca="false">SUM(B107:AE107)</f>
        <v>26</v>
      </c>
    </row>
    <row r="108" customFormat="false" ht="15" hidden="false" customHeight="false" outlineLevel="0" collapsed="false">
      <c r="A108" s="0" t="str">
        <f aca="false">الإجابات!A108</f>
        <v>S106</v>
      </c>
      <c r="B108" s="9" t="n">
        <f aca="false">IF(الإجابات!B108=الإجابات!B$2,1,0)</f>
        <v>0</v>
      </c>
      <c r="C108" s="9" t="n">
        <f aca="false">IF(الإجابات!C108=الإجابات!C$2,1,0)</f>
        <v>0</v>
      </c>
      <c r="D108" s="9" t="n">
        <f aca="false">IF(الإجابات!D108=الإجابات!D$2,1,0)</f>
        <v>1</v>
      </c>
      <c r="E108" s="9" t="n">
        <f aca="false">IF(الإجابات!E108=الإجابات!E$2,1,0)</f>
        <v>1</v>
      </c>
      <c r="F108" s="9" t="n">
        <f aca="false">IF(الإجابات!F108=الإجابات!F$2,1,0)</f>
        <v>0</v>
      </c>
      <c r="G108" s="9" t="n">
        <f aca="false">IF(الإجابات!G108=الإجابات!G$2,1,0)</f>
        <v>1</v>
      </c>
      <c r="H108" s="9" t="n">
        <f aca="false">IF(الإجابات!H108=الإجابات!H$2,1,0)</f>
        <v>0</v>
      </c>
      <c r="I108" s="9" t="n">
        <f aca="false">IF(الإجابات!I108=الإجابات!I$2,1,0)</f>
        <v>1</v>
      </c>
      <c r="J108" s="9" t="n">
        <f aca="false">IF(الإجابات!J108=الإجابات!J$2,1,0)</f>
        <v>1</v>
      </c>
      <c r="K108" s="9" t="n">
        <f aca="false">IF(الإجابات!K108=الإجابات!K$2,1,0)</f>
        <v>1</v>
      </c>
      <c r="L108" s="9" t="n">
        <f aca="false">IF(الإجابات!L108=الإجابات!L$2,1,0)</f>
        <v>1</v>
      </c>
      <c r="M108" s="9" t="n">
        <f aca="false">IF(الإجابات!M108=الإجابات!M$2,1,0)</f>
        <v>1</v>
      </c>
      <c r="N108" s="9" t="n">
        <f aca="false">IF(الإجابات!N108=الإجابات!N$2,1,0)</f>
        <v>1</v>
      </c>
      <c r="O108" s="9" t="n">
        <f aca="false">IF(الإجابات!O108=الإجابات!O$2,1,0)</f>
        <v>0</v>
      </c>
      <c r="P108" s="9" t="n">
        <f aca="false">IF(الإجابات!P108=الإجابات!P$2,1,0)</f>
        <v>0</v>
      </c>
      <c r="Q108" s="9" t="n">
        <f aca="false">IF(الإجابات!Q108=الإجابات!Q$2,1,0)</f>
        <v>1</v>
      </c>
      <c r="R108" s="9" t="n">
        <f aca="false">IF(الإجابات!R108=الإجابات!R$2,1,0)</f>
        <v>1</v>
      </c>
      <c r="S108" s="9" t="n">
        <f aca="false">IF(الإجابات!S108=الإجابات!S$2,1,0)</f>
        <v>1</v>
      </c>
      <c r="T108" s="9" t="n">
        <f aca="false">IF(الإجابات!T108=الإجابات!T$2,1,0)</f>
        <v>1</v>
      </c>
      <c r="U108" s="9" t="n">
        <f aca="false">IF(الإجابات!U108=الإجابات!U$2,1,0)</f>
        <v>0</v>
      </c>
      <c r="V108" s="9" t="n">
        <f aca="false">IF(الإجابات!V108=الإجابات!V$2,1,0)</f>
        <v>0</v>
      </c>
      <c r="W108" s="9" t="n">
        <f aca="false">IF(الإجابات!W108=الإجابات!W$2,1,0)</f>
        <v>1</v>
      </c>
      <c r="X108" s="9" t="n">
        <f aca="false">IF(الإجابات!X108=الإجابات!X$2,1,0)</f>
        <v>1</v>
      </c>
      <c r="Y108" s="9" t="n">
        <f aca="false">IF(الإجابات!Y108=الإجابات!Y$2,1,0)</f>
        <v>1</v>
      </c>
      <c r="Z108" s="9" t="n">
        <f aca="false">IF(الإجابات!Z108=الإجابات!Z$2,1,0)</f>
        <v>1</v>
      </c>
      <c r="AA108" s="9" t="n">
        <f aca="false">IF(الإجابات!AA108=الإجابات!AA$2,1,0)</f>
        <v>0</v>
      </c>
      <c r="AB108" s="9" t="n">
        <f aca="false">IF(الإجابات!AB108=الإجابات!AB$2,1,0)</f>
        <v>1</v>
      </c>
      <c r="AC108" s="9" t="n">
        <f aca="false">IF(الإجابات!AC108=الإجابات!AC$2,1,0)</f>
        <v>0</v>
      </c>
      <c r="AD108" s="9" t="n">
        <f aca="false">IF(الإجابات!AD108=الإجابات!AD$2,1,0)</f>
        <v>1</v>
      </c>
      <c r="AE108" s="9" t="n">
        <f aca="false">IF(الإجابات!AE108=الإجابات!AE$2,1,0)</f>
        <v>0</v>
      </c>
      <c r="AF108" s="9" t="n">
        <f aca="false">SUM(B108:AE108)</f>
        <v>19</v>
      </c>
    </row>
    <row r="109" customFormat="false" ht="15" hidden="false" customHeight="false" outlineLevel="0" collapsed="false">
      <c r="A109" s="0" t="str">
        <f aca="false">الإجابات!A109</f>
        <v>S107</v>
      </c>
      <c r="B109" s="9" t="n">
        <f aca="false">IF(الإجابات!B109=الإجابات!B$2,1,0)</f>
        <v>0</v>
      </c>
      <c r="C109" s="9" t="n">
        <f aca="false">IF(الإجابات!C109=الإجابات!C$2,1,0)</f>
        <v>1</v>
      </c>
      <c r="D109" s="9" t="n">
        <f aca="false">IF(الإجابات!D109=الإجابات!D$2,1,0)</f>
        <v>0</v>
      </c>
      <c r="E109" s="9" t="n">
        <f aca="false">IF(الإجابات!E109=الإجابات!E$2,1,0)</f>
        <v>1</v>
      </c>
      <c r="F109" s="9" t="n">
        <f aca="false">IF(الإجابات!F109=الإجابات!F$2,1,0)</f>
        <v>0</v>
      </c>
      <c r="G109" s="9" t="n">
        <f aca="false">IF(الإجابات!G109=الإجابات!G$2,1,0)</f>
        <v>1</v>
      </c>
      <c r="H109" s="9" t="n">
        <f aca="false">IF(الإجابات!H109=الإجابات!H$2,1,0)</f>
        <v>0</v>
      </c>
      <c r="I109" s="9" t="n">
        <f aca="false">IF(الإجابات!I109=الإجابات!I$2,1,0)</f>
        <v>1</v>
      </c>
      <c r="J109" s="9" t="n">
        <f aca="false">IF(الإجابات!J109=الإجابات!J$2,1,0)</f>
        <v>1</v>
      </c>
      <c r="K109" s="9" t="n">
        <f aca="false">IF(الإجابات!K109=الإجابات!K$2,1,0)</f>
        <v>0</v>
      </c>
      <c r="L109" s="9" t="n">
        <f aca="false">IF(الإجابات!L109=الإجابات!L$2,1,0)</f>
        <v>1</v>
      </c>
      <c r="M109" s="9" t="n">
        <f aca="false">IF(الإجابات!M109=الإجابات!M$2,1,0)</f>
        <v>1</v>
      </c>
      <c r="N109" s="9" t="n">
        <f aca="false">IF(الإجابات!N109=الإجابات!N$2,1,0)</f>
        <v>0</v>
      </c>
      <c r="O109" s="9" t="n">
        <f aca="false">IF(الإجابات!O109=الإجابات!O$2,1,0)</f>
        <v>0</v>
      </c>
      <c r="P109" s="9" t="n">
        <f aca="false">IF(الإجابات!P109=الإجابات!P$2,1,0)</f>
        <v>0</v>
      </c>
      <c r="Q109" s="9" t="n">
        <f aca="false">IF(الإجابات!Q109=الإجابات!Q$2,1,0)</f>
        <v>1</v>
      </c>
      <c r="R109" s="9" t="n">
        <f aca="false">IF(الإجابات!R109=الإجابات!R$2,1,0)</f>
        <v>1</v>
      </c>
      <c r="S109" s="9" t="n">
        <f aca="false">IF(الإجابات!S109=الإجابات!S$2,1,0)</f>
        <v>0</v>
      </c>
      <c r="T109" s="9" t="n">
        <f aca="false">IF(الإجابات!T109=الإجابات!T$2,1,0)</f>
        <v>0</v>
      </c>
      <c r="U109" s="9" t="n">
        <f aca="false">IF(الإجابات!U109=الإجابات!U$2,1,0)</f>
        <v>0</v>
      </c>
      <c r="V109" s="9" t="n">
        <f aca="false">IF(الإجابات!V109=الإجابات!V$2,1,0)</f>
        <v>0</v>
      </c>
      <c r="W109" s="9" t="n">
        <f aca="false">IF(الإجابات!W109=الإجابات!W$2,1,0)</f>
        <v>1</v>
      </c>
      <c r="X109" s="9" t="n">
        <f aca="false">IF(الإجابات!X109=الإجابات!X$2,1,0)</f>
        <v>1</v>
      </c>
      <c r="Y109" s="9" t="n">
        <f aca="false">IF(الإجابات!Y109=الإجابات!Y$2,1,0)</f>
        <v>0</v>
      </c>
      <c r="Z109" s="9" t="n">
        <f aca="false">IF(الإجابات!Z109=الإجابات!Z$2,1,0)</f>
        <v>1</v>
      </c>
      <c r="AA109" s="9" t="n">
        <f aca="false">IF(الإجابات!AA109=الإجابات!AA$2,1,0)</f>
        <v>0</v>
      </c>
      <c r="AB109" s="9" t="n">
        <f aca="false">IF(الإجابات!AB109=الإجابات!AB$2,1,0)</f>
        <v>1</v>
      </c>
      <c r="AC109" s="9" t="n">
        <f aca="false">IF(الإجابات!AC109=الإجابات!AC$2,1,0)</f>
        <v>0</v>
      </c>
      <c r="AD109" s="9" t="n">
        <f aca="false">IF(الإجابات!AD109=الإجابات!AD$2,1,0)</f>
        <v>1</v>
      </c>
      <c r="AE109" s="9" t="n">
        <f aca="false">IF(الإجابات!AE109=الإجابات!AE$2,1,0)</f>
        <v>1</v>
      </c>
      <c r="AF109" s="9" t="n">
        <f aca="false">SUM(B109:AE109)</f>
        <v>15</v>
      </c>
    </row>
    <row r="110" customFormat="false" ht="15" hidden="false" customHeight="false" outlineLevel="0" collapsed="false">
      <c r="A110" s="0" t="str">
        <f aca="false">الإجابات!A110</f>
        <v>S108</v>
      </c>
      <c r="B110" s="9" t="n">
        <f aca="false">IF(الإجابات!B110=الإجابات!B$2,1,0)</f>
        <v>1</v>
      </c>
      <c r="C110" s="9" t="n">
        <f aca="false">IF(الإجابات!C110=الإجابات!C$2,1,0)</f>
        <v>1</v>
      </c>
      <c r="D110" s="9" t="n">
        <f aca="false">IF(الإجابات!D110=الإجابات!D$2,1,0)</f>
        <v>0</v>
      </c>
      <c r="E110" s="9" t="n">
        <f aca="false">IF(الإجابات!E110=الإجابات!E$2,1,0)</f>
        <v>1</v>
      </c>
      <c r="F110" s="9" t="n">
        <f aca="false">IF(الإجابات!F110=الإجابات!F$2,1,0)</f>
        <v>0</v>
      </c>
      <c r="G110" s="9" t="n">
        <f aca="false">IF(الإجابات!G110=الإجابات!G$2,1,0)</f>
        <v>1</v>
      </c>
      <c r="H110" s="9" t="n">
        <f aca="false">IF(الإجابات!H110=الإجابات!H$2,1,0)</f>
        <v>0</v>
      </c>
      <c r="I110" s="9" t="n">
        <f aca="false">IF(الإجابات!I110=الإجابات!I$2,1,0)</f>
        <v>1</v>
      </c>
      <c r="J110" s="9" t="n">
        <f aca="false">IF(الإجابات!J110=الإجابات!J$2,1,0)</f>
        <v>1</v>
      </c>
      <c r="K110" s="9" t="n">
        <f aca="false">IF(الإجابات!K110=الإجابات!K$2,1,0)</f>
        <v>0</v>
      </c>
      <c r="L110" s="9" t="n">
        <f aca="false">IF(الإجابات!L110=الإجابات!L$2,1,0)</f>
        <v>1</v>
      </c>
      <c r="M110" s="9" t="n">
        <f aca="false">IF(الإجابات!M110=الإجابات!M$2,1,0)</f>
        <v>1</v>
      </c>
      <c r="N110" s="9" t="n">
        <f aca="false">IF(الإجابات!N110=الإجابات!N$2,1,0)</f>
        <v>1</v>
      </c>
      <c r="O110" s="9" t="n">
        <f aca="false">IF(الإجابات!O110=الإجابات!O$2,1,0)</f>
        <v>1</v>
      </c>
      <c r="P110" s="9" t="n">
        <f aca="false">IF(الإجابات!P110=الإجابات!P$2,1,0)</f>
        <v>1</v>
      </c>
      <c r="Q110" s="9" t="n">
        <f aca="false">IF(الإجابات!Q110=الإجابات!Q$2,1,0)</f>
        <v>1</v>
      </c>
      <c r="R110" s="9" t="n">
        <f aca="false">IF(الإجابات!R110=الإجابات!R$2,1,0)</f>
        <v>1</v>
      </c>
      <c r="S110" s="9" t="n">
        <f aca="false">IF(الإجابات!S110=الإجابات!S$2,1,0)</f>
        <v>1</v>
      </c>
      <c r="T110" s="9" t="n">
        <f aca="false">IF(الإجابات!T110=الإجابات!T$2,1,0)</f>
        <v>0</v>
      </c>
      <c r="U110" s="9" t="n">
        <f aca="false">IF(الإجابات!U110=الإجابات!U$2,1,0)</f>
        <v>1</v>
      </c>
      <c r="V110" s="9" t="n">
        <f aca="false">IF(الإجابات!V110=الإجابات!V$2,1,0)</f>
        <v>1</v>
      </c>
      <c r="W110" s="9" t="n">
        <f aca="false">IF(الإجابات!W110=الإجابات!W$2,1,0)</f>
        <v>1</v>
      </c>
      <c r="X110" s="9" t="n">
        <f aca="false">IF(الإجابات!X110=الإجابات!X$2,1,0)</f>
        <v>1</v>
      </c>
      <c r="Y110" s="9" t="n">
        <f aca="false">IF(الإجابات!Y110=الإجابات!Y$2,1,0)</f>
        <v>1</v>
      </c>
      <c r="Z110" s="9" t="n">
        <f aca="false">IF(الإجابات!Z110=الإجابات!Z$2,1,0)</f>
        <v>0</v>
      </c>
      <c r="AA110" s="9" t="n">
        <f aca="false">IF(الإجابات!AA110=الإجابات!AA$2,1,0)</f>
        <v>0</v>
      </c>
      <c r="AB110" s="9" t="n">
        <f aca="false">IF(الإجابات!AB110=الإجابات!AB$2,1,0)</f>
        <v>0</v>
      </c>
      <c r="AC110" s="9" t="n">
        <f aca="false">IF(الإجابات!AC110=الإجابات!AC$2,1,0)</f>
        <v>1</v>
      </c>
      <c r="AD110" s="9" t="n">
        <f aca="false">IF(الإجابات!AD110=الإجابات!AD$2,1,0)</f>
        <v>1</v>
      </c>
      <c r="AE110" s="9" t="n">
        <f aca="false">IF(الإجابات!AE110=الإجابات!AE$2,1,0)</f>
        <v>1</v>
      </c>
      <c r="AF110" s="9" t="n">
        <f aca="false">SUM(B110:AE110)</f>
        <v>22</v>
      </c>
    </row>
    <row r="111" customFormat="false" ht="15" hidden="false" customHeight="false" outlineLevel="0" collapsed="false">
      <c r="A111" s="0" t="str">
        <f aca="false">الإجابات!A111</f>
        <v>S109</v>
      </c>
      <c r="B111" s="9" t="n">
        <f aca="false">IF(الإجابات!B111=الإجابات!B$2,1,0)</f>
        <v>1</v>
      </c>
      <c r="C111" s="9" t="n">
        <f aca="false">IF(الإجابات!C111=الإجابات!C$2,1,0)</f>
        <v>1</v>
      </c>
      <c r="D111" s="9" t="n">
        <f aca="false">IF(الإجابات!D111=الإجابات!D$2,1,0)</f>
        <v>1</v>
      </c>
      <c r="E111" s="9" t="n">
        <f aca="false">IF(الإجابات!E111=الإجابات!E$2,1,0)</f>
        <v>1</v>
      </c>
      <c r="F111" s="9" t="n">
        <f aca="false">IF(الإجابات!F111=الإجابات!F$2,1,0)</f>
        <v>1</v>
      </c>
      <c r="G111" s="9" t="n">
        <f aca="false">IF(الإجابات!G111=الإجابات!G$2,1,0)</f>
        <v>0</v>
      </c>
      <c r="H111" s="9" t="n">
        <f aca="false">IF(الإجابات!H111=الإجابات!H$2,1,0)</f>
        <v>0</v>
      </c>
      <c r="I111" s="9" t="n">
        <f aca="false">IF(الإجابات!I111=الإجابات!I$2,1,0)</f>
        <v>1</v>
      </c>
      <c r="J111" s="9" t="n">
        <f aca="false">IF(الإجابات!J111=الإجابات!J$2,1,0)</f>
        <v>1</v>
      </c>
      <c r="K111" s="9" t="n">
        <f aca="false">IF(الإجابات!K111=الإجابات!K$2,1,0)</f>
        <v>0</v>
      </c>
      <c r="L111" s="9" t="n">
        <f aca="false">IF(الإجابات!L111=الإجابات!L$2,1,0)</f>
        <v>0</v>
      </c>
      <c r="M111" s="9" t="n">
        <f aca="false">IF(الإجابات!M111=الإجابات!M$2,1,0)</f>
        <v>1</v>
      </c>
      <c r="N111" s="9" t="n">
        <f aca="false">IF(الإجابات!N111=الإجابات!N$2,1,0)</f>
        <v>0</v>
      </c>
      <c r="O111" s="9" t="n">
        <f aca="false">IF(الإجابات!O111=الإجابات!O$2,1,0)</f>
        <v>1</v>
      </c>
      <c r="P111" s="9" t="n">
        <f aca="false">IF(الإجابات!P111=الإجابات!P$2,1,0)</f>
        <v>0</v>
      </c>
      <c r="Q111" s="9" t="n">
        <f aca="false">IF(الإجابات!Q111=الإجابات!Q$2,1,0)</f>
        <v>1</v>
      </c>
      <c r="R111" s="9" t="n">
        <f aca="false">IF(الإجابات!R111=الإجابات!R$2,1,0)</f>
        <v>1</v>
      </c>
      <c r="S111" s="9" t="n">
        <f aca="false">IF(الإجابات!S111=الإجابات!S$2,1,0)</f>
        <v>1</v>
      </c>
      <c r="T111" s="9" t="n">
        <f aca="false">IF(الإجابات!T111=الإجابات!T$2,1,0)</f>
        <v>1</v>
      </c>
      <c r="U111" s="9" t="n">
        <f aca="false">IF(الإجابات!U111=الإجابات!U$2,1,0)</f>
        <v>1</v>
      </c>
      <c r="V111" s="9" t="n">
        <f aca="false">IF(الإجابات!V111=الإجابات!V$2,1,0)</f>
        <v>0</v>
      </c>
      <c r="W111" s="9" t="n">
        <f aca="false">IF(الإجابات!W111=الإجابات!W$2,1,0)</f>
        <v>1</v>
      </c>
      <c r="X111" s="9" t="n">
        <f aca="false">IF(الإجابات!X111=الإجابات!X$2,1,0)</f>
        <v>0</v>
      </c>
      <c r="Y111" s="9" t="n">
        <f aca="false">IF(الإجابات!Y111=الإجابات!Y$2,1,0)</f>
        <v>0</v>
      </c>
      <c r="Z111" s="9" t="n">
        <f aca="false">IF(الإجابات!Z111=الإجابات!Z$2,1,0)</f>
        <v>0</v>
      </c>
      <c r="AA111" s="9" t="n">
        <f aca="false">IF(الإجابات!AA111=الإجابات!AA$2,1,0)</f>
        <v>0</v>
      </c>
      <c r="AB111" s="9" t="n">
        <f aca="false">IF(الإجابات!AB111=الإجابات!AB$2,1,0)</f>
        <v>0</v>
      </c>
      <c r="AC111" s="9" t="n">
        <f aca="false">IF(الإجابات!AC111=الإجابات!AC$2,1,0)</f>
        <v>0</v>
      </c>
      <c r="AD111" s="9" t="n">
        <f aca="false">IF(الإجابات!AD111=الإجابات!AD$2,1,0)</f>
        <v>1</v>
      </c>
      <c r="AE111" s="9" t="n">
        <f aca="false">IF(الإجابات!AE111=الإجابات!AE$2,1,0)</f>
        <v>1</v>
      </c>
      <c r="AF111" s="9" t="n">
        <f aca="false">SUM(B111:AE111)</f>
        <v>17</v>
      </c>
    </row>
    <row r="112" customFormat="false" ht="15" hidden="false" customHeight="false" outlineLevel="0" collapsed="false">
      <c r="A112" s="0" t="str">
        <f aca="false">الإجابات!A112</f>
        <v>S110</v>
      </c>
      <c r="B112" s="9" t="n">
        <f aca="false">IF(الإجابات!B112=الإجابات!B$2,1,0)</f>
        <v>1</v>
      </c>
      <c r="C112" s="9" t="n">
        <f aca="false">IF(الإجابات!C112=الإجابات!C$2,1,0)</f>
        <v>1</v>
      </c>
      <c r="D112" s="9" t="n">
        <f aca="false">IF(الإجابات!D112=الإجابات!D$2,1,0)</f>
        <v>1</v>
      </c>
      <c r="E112" s="9" t="n">
        <f aca="false">IF(الإجابات!E112=الإجابات!E$2,1,0)</f>
        <v>1</v>
      </c>
      <c r="F112" s="9" t="n">
        <f aca="false">IF(الإجابات!F112=الإجابات!F$2,1,0)</f>
        <v>1</v>
      </c>
      <c r="G112" s="9" t="n">
        <f aca="false">IF(الإجابات!G112=الإجابات!G$2,1,0)</f>
        <v>1</v>
      </c>
      <c r="H112" s="9" t="n">
        <f aca="false">IF(الإجابات!H112=الإجابات!H$2,1,0)</f>
        <v>0</v>
      </c>
      <c r="I112" s="9" t="n">
        <f aca="false">IF(الإجابات!I112=الإجابات!I$2,1,0)</f>
        <v>1</v>
      </c>
      <c r="J112" s="9" t="n">
        <f aca="false">IF(الإجابات!J112=الإجابات!J$2,1,0)</f>
        <v>1</v>
      </c>
      <c r="K112" s="9" t="n">
        <f aca="false">IF(الإجابات!K112=الإجابات!K$2,1,0)</f>
        <v>1</v>
      </c>
      <c r="L112" s="9" t="n">
        <f aca="false">IF(الإجابات!L112=الإجابات!L$2,1,0)</f>
        <v>1</v>
      </c>
      <c r="M112" s="9" t="n">
        <f aca="false">IF(الإجابات!M112=الإجابات!M$2,1,0)</f>
        <v>1</v>
      </c>
      <c r="N112" s="9" t="n">
        <f aca="false">IF(الإجابات!N112=الإجابات!N$2,1,0)</f>
        <v>1</v>
      </c>
      <c r="O112" s="9" t="n">
        <f aca="false">IF(الإجابات!O112=الإجابات!O$2,1,0)</f>
        <v>1</v>
      </c>
      <c r="P112" s="9" t="n">
        <f aca="false">IF(الإجابات!P112=الإجابات!P$2,1,0)</f>
        <v>1</v>
      </c>
      <c r="Q112" s="9" t="n">
        <f aca="false">IF(الإجابات!Q112=الإجابات!Q$2,1,0)</f>
        <v>1</v>
      </c>
      <c r="R112" s="9" t="n">
        <f aca="false">IF(الإجابات!R112=الإجابات!R$2,1,0)</f>
        <v>1</v>
      </c>
      <c r="S112" s="9" t="n">
        <f aca="false">IF(الإجابات!S112=الإجابات!S$2,1,0)</f>
        <v>0</v>
      </c>
      <c r="T112" s="9" t="n">
        <f aca="false">IF(الإجابات!T112=الإجابات!T$2,1,0)</f>
        <v>1</v>
      </c>
      <c r="U112" s="9" t="n">
        <f aca="false">IF(الإجابات!U112=الإجابات!U$2,1,0)</f>
        <v>1</v>
      </c>
      <c r="V112" s="9" t="n">
        <f aca="false">IF(الإجابات!V112=الإجابات!V$2,1,0)</f>
        <v>1</v>
      </c>
      <c r="W112" s="9" t="n">
        <f aca="false">IF(الإجابات!W112=الإجابات!W$2,1,0)</f>
        <v>1</v>
      </c>
      <c r="X112" s="9" t="n">
        <f aca="false">IF(الإجابات!X112=الإجابات!X$2,1,0)</f>
        <v>1</v>
      </c>
      <c r="Y112" s="9" t="n">
        <f aca="false">IF(الإجابات!Y112=الإجابات!Y$2,1,0)</f>
        <v>0</v>
      </c>
      <c r="Z112" s="9" t="n">
        <f aca="false">IF(الإجابات!Z112=الإجابات!Z$2,1,0)</f>
        <v>1</v>
      </c>
      <c r="AA112" s="9" t="n">
        <f aca="false">IF(الإجابات!AA112=الإجابات!AA$2,1,0)</f>
        <v>1</v>
      </c>
      <c r="AB112" s="9" t="n">
        <f aca="false">IF(الإجابات!AB112=الإجابات!AB$2,1,0)</f>
        <v>0</v>
      </c>
      <c r="AC112" s="9" t="n">
        <f aca="false">IF(الإجابات!AC112=الإجابات!AC$2,1,0)</f>
        <v>1</v>
      </c>
      <c r="AD112" s="9" t="n">
        <f aca="false">IF(الإجابات!AD112=الإجابات!AD$2,1,0)</f>
        <v>1</v>
      </c>
      <c r="AE112" s="9" t="n">
        <f aca="false">IF(الإجابات!AE112=الإجابات!AE$2,1,0)</f>
        <v>1</v>
      </c>
      <c r="AF112" s="9" t="n">
        <f aca="false">SUM(B112:AE112)</f>
        <v>26</v>
      </c>
    </row>
    <row r="113" customFormat="false" ht="15" hidden="false" customHeight="false" outlineLevel="0" collapsed="false">
      <c r="A113" s="0" t="str">
        <f aca="false">الإجابات!A113</f>
        <v>S111</v>
      </c>
      <c r="B113" s="9" t="n">
        <f aca="false">IF(الإجابات!B113=الإجابات!B$2,1,0)</f>
        <v>0</v>
      </c>
      <c r="C113" s="9" t="n">
        <f aca="false">IF(الإجابات!C113=الإجابات!C$2,1,0)</f>
        <v>0</v>
      </c>
      <c r="D113" s="9" t="n">
        <f aca="false">IF(الإجابات!D113=الإجابات!D$2,1,0)</f>
        <v>0</v>
      </c>
      <c r="E113" s="9" t="n">
        <f aca="false">IF(الإجابات!E113=الإجابات!E$2,1,0)</f>
        <v>1</v>
      </c>
      <c r="F113" s="9" t="n">
        <f aca="false">IF(الإجابات!F113=الإجابات!F$2,1,0)</f>
        <v>0</v>
      </c>
      <c r="G113" s="9" t="n">
        <f aca="false">IF(الإجابات!G113=الإجابات!G$2,1,0)</f>
        <v>0</v>
      </c>
      <c r="H113" s="9" t="n">
        <f aca="false">IF(الإجابات!H113=الإجابات!H$2,1,0)</f>
        <v>0</v>
      </c>
      <c r="I113" s="9" t="n">
        <f aca="false">IF(الإجابات!I113=الإجابات!I$2,1,0)</f>
        <v>1</v>
      </c>
      <c r="J113" s="9" t="n">
        <f aca="false">IF(الإجابات!J113=الإجابات!J$2,1,0)</f>
        <v>1</v>
      </c>
      <c r="K113" s="9" t="n">
        <f aca="false">IF(الإجابات!K113=الإجابات!K$2,1,0)</f>
        <v>0</v>
      </c>
      <c r="L113" s="9" t="n">
        <f aca="false">IF(الإجابات!L113=الإجابات!L$2,1,0)</f>
        <v>0</v>
      </c>
      <c r="M113" s="9" t="n">
        <f aca="false">IF(الإجابات!M113=الإجابات!M$2,1,0)</f>
        <v>1</v>
      </c>
      <c r="N113" s="9" t="n">
        <f aca="false">IF(الإجابات!N113=الإجابات!N$2,1,0)</f>
        <v>0</v>
      </c>
      <c r="O113" s="9" t="n">
        <f aca="false">IF(الإجابات!O113=الإجابات!O$2,1,0)</f>
        <v>0</v>
      </c>
      <c r="P113" s="9" t="n">
        <f aca="false">IF(الإجابات!P113=الإجابات!P$2,1,0)</f>
        <v>0</v>
      </c>
      <c r="Q113" s="9" t="n">
        <f aca="false">IF(الإجابات!Q113=الإجابات!Q$2,1,0)</f>
        <v>1</v>
      </c>
      <c r="R113" s="9" t="n">
        <f aca="false">IF(الإجابات!R113=الإجابات!R$2,1,0)</f>
        <v>0</v>
      </c>
      <c r="S113" s="9" t="n">
        <f aca="false">IF(الإجابات!S113=الإجابات!S$2,1,0)</f>
        <v>0</v>
      </c>
      <c r="T113" s="9" t="n">
        <f aca="false">IF(الإجابات!T113=الإجابات!T$2,1,0)</f>
        <v>1</v>
      </c>
      <c r="U113" s="9" t="n">
        <f aca="false">IF(الإجابات!U113=الإجابات!U$2,1,0)</f>
        <v>0</v>
      </c>
      <c r="V113" s="9" t="n">
        <f aca="false">IF(الإجابات!V113=الإجابات!V$2,1,0)</f>
        <v>0</v>
      </c>
      <c r="W113" s="9" t="n">
        <f aca="false">IF(الإجابات!W113=الإجابات!W$2,1,0)</f>
        <v>1</v>
      </c>
      <c r="X113" s="9" t="n">
        <f aca="false">IF(الإجابات!X113=الإجابات!X$2,1,0)</f>
        <v>0</v>
      </c>
      <c r="Y113" s="9" t="n">
        <f aca="false">IF(الإجابات!Y113=الإجابات!Y$2,1,0)</f>
        <v>0</v>
      </c>
      <c r="Z113" s="9" t="n">
        <f aca="false">IF(الإجابات!Z113=الإجابات!Z$2,1,0)</f>
        <v>1</v>
      </c>
      <c r="AA113" s="9" t="n">
        <f aca="false">IF(الإجابات!AA113=الإجابات!AA$2,1,0)</f>
        <v>0</v>
      </c>
      <c r="AB113" s="9" t="n">
        <f aca="false">IF(الإجابات!AB113=الإجابات!AB$2,1,0)</f>
        <v>1</v>
      </c>
      <c r="AC113" s="9" t="n">
        <f aca="false">IF(الإجابات!AC113=الإجابات!AC$2,1,0)</f>
        <v>0</v>
      </c>
      <c r="AD113" s="9" t="n">
        <f aca="false">IF(الإجابات!AD113=الإجابات!AD$2,1,0)</f>
        <v>1</v>
      </c>
      <c r="AE113" s="9" t="n">
        <f aca="false">IF(الإجابات!AE113=الإجابات!AE$2,1,0)</f>
        <v>1</v>
      </c>
      <c r="AF113" s="9" t="n">
        <f aca="false">SUM(B113:AE113)</f>
        <v>11</v>
      </c>
    </row>
    <row r="114" customFormat="false" ht="15" hidden="false" customHeight="false" outlineLevel="0" collapsed="false">
      <c r="A114" s="0" t="str">
        <f aca="false">الإجابات!A114</f>
        <v>S112</v>
      </c>
      <c r="B114" s="9" t="n">
        <f aca="false">IF(الإجابات!B114=الإجابات!B$2,1,0)</f>
        <v>0</v>
      </c>
      <c r="C114" s="9" t="n">
        <f aca="false">IF(الإجابات!C114=الإجابات!C$2,1,0)</f>
        <v>0</v>
      </c>
      <c r="D114" s="9" t="n">
        <f aca="false">IF(الإجابات!D114=الإجابات!D$2,1,0)</f>
        <v>0</v>
      </c>
      <c r="E114" s="9" t="n">
        <f aca="false">IF(الإجابات!E114=الإجابات!E$2,1,0)</f>
        <v>0</v>
      </c>
      <c r="F114" s="9" t="n">
        <f aca="false">IF(الإجابات!F114=الإجابات!F$2,1,0)</f>
        <v>0</v>
      </c>
      <c r="G114" s="9" t="n">
        <f aca="false">IF(الإجابات!G114=الإجابات!G$2,1,0)</f>
        <v>1</v>
      </c>
      <c r="H114" s="9" t="n">
        <f aca="false">IF(الإجابات!H114=الإجابات!H$2,1,0)</f>
        <v>1</v>
      </c>
      <c r="I114" s="9" t="n">
        <f aca="false">IF(الإجابات!I114=الإجابات!I$2,1,0)</f>
        <v>0</v>
      </c>
      <c r="J114" s="9" t="n">
        <f aca="false">IF(الإجابات!J114=الإجابات!J$2,1,0)</f>
        <v>1</v>
      </c>
      <c r="K114" s="9" t="n">
        <f aca="false">IF(الإجابات!K114=الإجابات!K$2,1,0)</f>
        <v>1</v>
      </c>
      <c r="L114" s="9" t="n">
        <f aca="false">IF(الإجابات!L114=الإجابات!L$2,1,0)</f>
        <v>0</v>
      </c>
      <c r="M114" s="9" t="n">
        <f aca="false">IF(الإجابات!M114=الإجابات!M$2,1,0)</f>
        <v>1</v>
      </c>
      <c r="N114" s="9" t="n">
        <f aca="false">IF(الإجابات!N114=الإجابات!N$2,1,0)</f>
        <v>0</v>
      </c>
      <c r="O114" s="9" t="n">
        <f aca="false">IF(الإجابات!O114=الإجابات!O$2,1,0)</f>
        <v>1</v>
      </c>
      <c r="P114" s="9" t="n">
        <f aca="false">IF(الإجابات!P114=الإجابات!P$2,1,0)</f>
        <v>0</v>
      </c>
      <c r="Q114" s="9" t="n">
        <f aca="false">IF(الإجابات!Q114=الإجابات!Q$2,1,0)</f>
        <v>0</v>
      </c>
      <c r="R114" s="9" t="n">
        <f aca="false">IF(الإجابات!R114=الإجابات!R$2,1,0)</f>
        <v>0</v>
      </c>
      <c r="S114" s="9" t="n">
        <f aca="false">IF(الإجابات!S114=الإجابات!S$2,1,0)</f>
        <v>0</v>
      </c>
      <c r="T114" s="9" t="n">
        <f aca="false">IF(الإجابات!T114=الإجابات!T$2,1,0)</f>
        <v>0</v>
      </c>
      <c r="U114" s="9" t="n">
        <f aca="false">IF(الإجابات!U114=الإجابات!U$2,1,0)</f>
        <v>0</v>
      </c>
      <c r="V114" s="9" t="n">
        <f aca="false">IF(الإجابات!V114=الإجابات!V$2,1,0)</f>
        <v>0</v>
      </c>
      <c r="W114" s="9" t="n">
        <f aca="false">IF(الإجابات!W114=الإجابات!W$2,1,0)</f>
        <v>1</v>
      </c>
      <c r="X114" s="9" t="n">
        <f aca="false">IF(الإجابات!X114=الإجابات!X$2,1,0)</f>
        <v>0</v>
      </c>
      <c r="Y114" s="9" t="n">
        <f aca="false">IF(الإجابات!Y114=الإجابات!Y$2,1,0)</f>
        <v>0</v>
      </c>
      <c r="Z114" s="9" t="n">
        <f aca="false">IF(الإجابات!Z114=الإجابات!Z$2,1,0)</f>
        <v>0</v>
      </c>
      <c r="AA114" s="9" t="n">
        <f aca="false">IF(الإجابات!AA114=الإجابات!AA$2,1,0)</f>
        <v>1</v>
      </c>
      <c r="AB114" s="9" t="n">
        <f aca="false">IF(الإجابات!AB114=الإجابات!AB$2,1,0)</f>
        <v>0</v>
      </c>
      <c r="AC114" s="9" t="n">
        <f aca="false">IF(الإجابات!AC114=الإجابات!AC$2,1,0)</f>
        <v>0</v>
      </c>
      <c r="AD114" s="9" t="n">
        <f aca="false">IF(الإجابات!AD114=الإجابات!AD$2,1,0)</f>
        <v>1</v>
      </c>
      <c r="AE114" s="9" t="n">
        <f aca="false">IF(الإجابات!AE114=الإجابات!AE$2,1,0)</f>
        <v>0</v>
      </c>
      <c r="AF114" s="9" t="n">
        <f aca="false">SUM(B114:AE114)</f>
        <v>9</v>
      </c>
    </row>
    <row r="115" customFormat="false" ht="15" hidden="false" customHeight="false" outlineLevel="0" collapsed="false">
      <c r="A115" s="0" t="str">
        <f aca="false">الإجابات!A115</f>
        <v>S113</v>
      </c>
      <c r="B115" s="9" t="n">
        <f aca="false">IF(الإجابات!B115=الإجابات!B$2,1,0)</f>
        <v>1</v>
      </c>
      <c r="C115" s="9" t="n">
        <f aca="false">IF(الإجابات!C115=الإجابات!C$2,1,0)</f>
        <v>0</v>
      </c>
      <c r="D115" s="9" t="n">
        <f aca="false">IF(الإجابات!D115=الإجابات!D$2,1,0)</f>
        <v>1</v>
      </c>
      <c r="E115" s="9" t="n">
        <f aca="false">IF(الإجابات!E115=الإجابات!E$2,1,0)</f>
        <v>1</v>
      </c>
      <c r="F115" s="9" t="n">
        <f aca="false">IF(الإجابات!F115=الإجابات!F$2,1,0)</f>
        <v>1</v>
      </c>
      <c r="G115" s="9" t="n">
        <f aca="false">IF(الإجابات!G115=الإجابات!G$2,1,0)</f>
        <v>0</v>
      </c>
      <c r="H115" s="9" t="n">
        <f aca="false">IF(الإجابات!H115=الإجابات!H$2,1,0)</f>
        <v>0</v>
      </c>
      <c r="I115" s="9" t="n">
        <f aca="false">IF(الإجابات!I115=الإجابات!I$2,1,0)</f>
        <v>1</v>
      </c>
      <c r="J115" s="9" t="n">
        <f aca="false">IF(الإجابات!J115=الإجابات!J$2,1,0)</f>
        <v>1</v>
      </c>
      <c r="K115" s="9" t="n">
        <f aca="false">IF(الإجابات!K115=الإجابات!K$2,1,0)</f>
        <v>0</v>
      </c>
      <c r="L115" s="9" t="n">
        <f aca="false">IF(الإجابات!L115=الإجابات!L$2,1,0)</f>
        <v>1</v>
      </c>
      <c r="M115" s="9" t="n">
        <f aca="false">IF(الإجابات!M115=الإجابات!M$2,1,0)</f>
        <v>1</v>
      </c>
      <c r="N115" s="9" t="n">
        <f aca="false">IF(الإجابات!N115=الإجابات!N$2,1,0)</f>
        <v>1</v>
      </c>
      <c r="O115" s="9" t="n">
        <f aca="false">IF(الإجابات!O115=الإجابات!O$2,1,0)</f>
        <v>1</v>
      </c>
      <c r="P115" s="9" t="n">
        <f aca="false">IF(الإجابات!P115=الإجابات!P$2,1,0)</f>
        <v>1</v>
      </c>
      <c r="Q115" s="9" t="n">
        <f aca="false">IF(الإجابات!Q115=الإجابات!Q$2,1,0)</f>
        <v>1</v>
      </c>
      <c r="R115" s="9" t="n">
        <f aca="false">IF(الإجابات!R115=الإجابات!R$2,1,0)</f>
        <v>1</v>
      </c>
      <c r="S115" s="9" t="n">
        <f aca="false">IF(الإجابات!S115=الإجابات!S$2,1,0)</f>
        <v>1</v>
      </c>
      <c r="T115" s="9" t="n">
        <f aca="false">IF(الإجابات!T115=الإجابات!T$2,1,0)</f>
        <v>1</v>
      </c>
      <c r="U115" s="9" t="n">
        <f aca="false">IF(الإجابات!U115=الإجابات!U$2,1,0)</f>
        <v>0</v>
      </c>
      <c r="V115" s="9" t="n">
        <f aca="false">IF(الإجابات!V115=الإجابات!V$2,1,0)</f>
        <v>0</v>
      </c>
      <c r="W115" s="9" t="n">
        <f aca="false">IF(الإجابات!W115=الإجابات!W$2,1,0)</f>
        <v>1</v>
      </c>
      <c r="X115" s="9" t="n">
        <f aca="false">IF(الإجابات!X115=الإجابات!X$2,1,0)</f>
        <v>1</v>
      </c>
      <c r="Y115" s="9" t="n">
        <f aca="false">IF(الإجابات!Y115=الإجابات!Y$2,1,0)</f>
        <v>0</v>
      </c>
      <c r="Z115" s="9" t="n">
        <f aca="false">IF(الإجابات!Z115=الإجابات!Z$2,1,0)</f>
        <v>0</v>
      </c>
      <c r="AA115" s="9" t="n">
        <f aca="false">IF(الإجابات!AA115=الإجابات!AA$2,1,0)</f>
        <v>0</v>
      </c>
      <c r="AB115" s="9" t="n">
        <f aca="false">IF(الإجابات!AB115=الإجابات!AB$2,1,0)</f>
        <v>0</v>
      </c>
      <c r="AC115" s="9" t="n">
        <f aca="false">IF(الإجابات!AC115=الإجابات!AC$2,1,0)</f>
        <v>0</v>
      </c>
      <c r="AD115" s="9" t="n">
        <f aca="false">IF(الإجابات!AD115=الإجابات!AD$2,1,0)</f>
        <v>0</v>
      </c>
      <c r="AE115" s="9" t="n">
        <f aca="false">IF(الإجابات!AE115=الإجابات!AE$2,1,0)</f>
        <v>0</v>
      </c>
      <c r="AF115" s="9" t="n">
        <f aca="false">SUM(B115:AE115)</f>
        <v>17</v>
      </c>
    </row>
    <row r="116" customFormat="false" ht="15" hidden="false" customHeight="false" outlineLevel="0" collapsed="false">
      <c r="A116" s="0" t="str">
        <f aca="false">الإجابات!A116</f>
        <v>S114</v>
      </c>
      <c r="B116" s="9" t="n">
        <f aca="false">IF(الإجابات!B116=الإجابات!B$2,1,0)</f>
        <v>0</v>
      </c>
      <c r="C116" s="9" t="n">
        <f aca="false">IF(الإجابات!C116=الإجابات!C$2,1,0)</f>
        <v>0</v>
      </c>
      <c r="D116" s="9" t="n">
        <f aca="false">IF(الإجابات!D116=الإجابات!D$2,1,0)</f>
        <v>0</v>
      </c>
      <c r="E116" s="9" t="n">
        <f aca="false">IF(الإجابات!E116=الإجابات!E$2,1,0)</f>
        <v>0</v>
      </c>
      <c r="F116" s="9" t="n">
        <f aca="false">IF(الإجابات!F116=الإجابات!F$2,1,0)</f>
        <v>0</v>
      </c>
      <c r="G116" s="9" t="n">
        <f aca="false">IF(الإجابات!G116=الإجابات!G$2,1,0)</f>
        <v>1</v>
      </c>
      <c r="H116" s="9" t="n">
        <f aca="false">IF(الإجابات!H116=الإجابات!H$2,1,0)</f>
        <v>0</v>
      </c>
      <c r="I116" s="9" t="n">
        <f aca="false">IF(الإجابات!I116=الإجابات!I$2,1,0)</f>
        <v>0</v>
      </c>
      <c r="J116" s="9" t="n">
        <f aca="false">IF(الإجابات!J116=الإجابات!J$2,1,0)</f>
        <v>1</v>
      </c>
      <c r="K116" s="9" t="n">
        <f aca="false">IF(الإجابات!K116=الإجابات!K$2,1,0)</f>
        <v>0</v>
      </c>
      <c r="L116" s="9" t="n">
        <f aca="false">IF(الإجابات!L116=الإجابات!L$2,1,0)</f>
        <v>0</v>
      </c>
      <c r="M116" s="9" t="n">
        <f aca="false">IF(الإجابات!M116=الإجابات!M$2,1,0)</f>
        <v>1</v>
      </c>
      <c r="N116" s="9" t="n">
        <f aca="false">IF(الإجابات!N116=الإجابات!N$2,1,0)</f>
        <v>0</v>
      </c>
      <c r="O116" s="9" t="n">
        <f aca="false">IF(الإجابات!O116=الإجابات!O$2,1,0)</f>
        <v>1</v>
      </c>
      <c r="P116" s="9" t="n">
        <f aca="false">IF(الإجابات!P116=الإجابات!P$2,1,0)</f>
        <v>0</v>
      </c>
      <c r="Q116" s="9" t="n">
        <f aca="false">IF(الإجابات!Q116=الإجابات!Q$2,1,0)</f>
        <v>1</v>
      </c>
      <c r="R116" s="9" t="n">
        <f aca="false">IF(الإجابات!R116=الإجابات!R$2,1,0)</f>
        <v>1</v>
      </c>
      <c r="S116" s="9" t="n">
        <f aca="false">IF(الإجابات!S116=الإجابات!S$2,1,0)</f>
        <v>0</v>
      </c>
      <c r="T116" s="9" t="n">
        <f aca="false">IF(الإجابات!T116=الإجابات!T$2,1,0)</f>
        <v>0</v>
      </c>
      <c r="U116" s="9" t="n">
        <f aca="false">IF(الإجابات!U116=الإجابات!U$2,1,0)</f>
        <v>0</v>
      </c>
      <c r="V116" s="9" t="n">
        <f aca="false">IF(الإجابات!V116=الإجابات!V$2,1,0)</f>
        <v>1</v>
      </c>
      <c r="W116" s="9" t="n">
        <f aca="false">IF(الإجابات!W116=الإجابات!W$2,1,0)</f>
        <v>0</v>
      </c>
      <c r="X116" s="9" t="n">
        <f aca="false">IF(الإجابات!X116=الإجابات!X$2,1,0)</f>
        <v>0</v>
      </c>
      <c r="Y116" s="9" t="n">
        <f aca="false">IF(الإجابات!Y116=الإجابات!Y$2,1,0)</f>
        <v>0</v>
      </c>
      <c r="Z116" s="9" t="n">
        <f aca="false">IF(الإجابات!Z116=الإجابات!Z$2,1,0)</f>
        <v>0</v>
      </c>
      <c r="AA116" s="9" t="n">
        <f aca="false">IF(الإجابات!AA116=الإجابات!AA$2,1,0)</f>
        <v>0</v>
      </c>
      <c r="AB116" s="9" t="n">
        <f aca="false">IF(الإجابات!AB116=الإجابات!AB$2,1,0)</f>
        <v>1</v>
      </c>
      <c r="AC116" s="9" t="n">
        <f aca="false">IF(الإجابات!AC116=الإجابات!AC$2,1,0)</f>
        <v>0</v>
      </c>
      <c r="AD116" s="9" t="n">
        <f aca="false">IF(الإجابات!AD116=الإجابات!AD$2,1,0)</f>
        <v>0</v>
      </c>
      <c r="AE116" s="9" t="n">
        <f aca="false">IF(الإجابات!AE116=الإجابات!AE$2,1,0)</f>
        <v>0</v>
      </c>
      <c r="AF116" s="9" t="n">
        <f aca="false">SUM(B116:AE116)</f>
        <v>8</v>
      </c>
    </row>
    <row r="117" customFormat="false" ht="15" hidden="false" customHeight="false" outlineLevel="0" collapsed="false">
      <c r="A117" s="0" t="str">
        <f aca="false">الإجابات!A117</f>
        <v>S115</v>
      </c>
      <c r="B117" s="9" t="n">
        <f aca="false">IF(الإجابات!B117=الإجابات!B$2,1,0)</f>
        <v>1</v>
      </c>
      <c r="C117" s="9" t="n">
        <f aca="false">IF(الإجابات!C117=الإجابات!C$2,1,0)</f>
        <v>0</v>
      </c>
      <c r="D117" s="9" t="n">
        <f aca="false">IF(الإجابات!D117=الإجابات!D$2,1,0)</f>
        <v>0</v>
      </c>
      <c r="E117" s="9" t="n">
        <f aca="false">IF(الإجابات!E117=الإجابات!E$2,1,0)</f>
        <v>1</v>
      </c>
      <c r="F117" s="9" t="n">
        <f aca="false">IF(الإجابات!F117=الإجابات!F$2,1,0)</f>
        <v>0</v>
      </c>
      <c r="G117" s="9" t="n">
        <f aca="false">IF(الإجابات!G117=الإجابات!G$2,1,0)</f>
        <v>0</v>
      </c>
      <c r="H117" s="9" t="n">
        <f aca="false">IF(الإجابات!H117=الإجابات!H$2,1,0)</f>
        <v>1</v>
      </c>
      <c r="I117" s="9" t="n">
        <f aca="false">IF(الإجابات!I117=الإجابات!I$2,1,0)</f>
        <v>0</v>
      </c>
      <c r="J117" s="9" t="n">
        <f aca="false">IF(الإجابات!J117=الإجابات!J$2,1,0)</f>
        <v>1</v>
      </c>
      <c r="K117" s="9" t="n">
        <f aca="false">IF(الإجابات!K117=الإجابات!K$2,1,0)</f>
        <v>0</v>
      </c>
      <c r="L117" s="9" t="n">
        <f aca="false">IF(الإجابات!L117=الإجابات!L$2,1,0)</f>
        <v>1</v>
      </c>
      <c r="M117" s="9" t="n">
        <f aca="false">IF(الإجابات!M117=الإجابات!M$2,1,0)</f>
        <v>1</v>
      </c>
      <c r="N117" s="9" t="n">
        <f aca="false">IF(الإجابات!N117=الإجابات!N$2,1,0)</f>
        <v>0</v>
      </c>
      <c r="O117" s="9" t="n">
        <f aca="false">IF(الإجابات!O117=الإجابات!O$2,1,0)</f>
        <v>1</v>
      </c>
      <c r="P117" s="9" t="n">
        <f aca="false">IF(الإجابات!P117=الإجابات!P$2,1,0)</f>
        <v>1</v>
      </c>
      <c r="Q117" s="9" t="n">
        <f aca="false">IF(الإجابات!Q117=الإجابات!Q$2,1,0)</f>
        <v>1</v>
      </c>
      <c r="R117" s="9" t="n">
        <f aca="false">IF(الإجابات!R117=الإجابات!R$2,1,0)</f>
        <v>1</v>
      </c>
      <c r="S117" s="9" t="n">
        <f aca="false">IF(الإجابات!S117=الإجابات!S$2,1,0)</f>
        <v>0</v>
      </c>
      <c r="T117" s="9" t="n">
        <f aca="false">IF(الإجابات!T117=الإجابات!T$2,1,0)</f>
        <v>0</v>
      </c>
      <c r="U117" s="9" t="n">
        <f aca="false">IF(الإجابات!U117=الإجابات!U$2,1,0)</f>
        <v>1</v>
      </c>
      <c r="V117" s="9" t="n">
        <f aca="false">IF(الإجابات!V117=الإجابات!V$2,1,0)</f>
        <v>1</v>
      </c>
      <c r="W117" s="9" t="n">
        <f aca="false">IF(الإجابات!W117=الإجابات!W$2,1,0)</f>
        <v>0</v>
      </c>
      <c r="X117" s="9" t="n">
        <f aca="false">IF(الإجابات!X117=الإجابات!X$2,1,0)</f>
        <v>0</v>
      </c>
      <c r="Y117" s="9" t="n">
        <f aca="false">IF(الإجابات!Y117=الإجابات!Y$2,1,0)</f>
        <v>0</v>
      </c>
      <c r="Z117" s="9" t="n">
        <f aca="false">IF(الإجابات!Z117=الإجابات!Z$2,1,0)</f>
        <v>0</v>
      </c>
      <c r="AA117" s="9" t="n">
        <f aca="false">IF(الإجابات!AA117=الإجابات!AA$2,1,0)</f>
        <v>0</v>
      </c>
      <c r="AB117" s="9" t="n">
        <f aca="false">IF(الإجابات!AB117=الإجابات!AB$2,1,0)</f>
        <v>0</v>
      </c>
      <c r="AC117" s="9" t="n">
        <f aca="false">IF(الإجابات!AC117=الإجابات!AC$2,1,0)</f>
        <v>0</v>
      </c>
      <c r="AD117" s="9" t="n">
        <f aca="false">IF(الإجابات!AD117=الإجابات!AD$2,1,0)</f>
        <v>0</v>
      </c>
      <c r="AE117" s="9" t="n">
        <f aca="false">IF(الإجابات!AE117=الإجابات!AE$2,1,0)</f>
        <v>1</v>
      </c>
      <c r="AF117" s="9" t="n">
        <f aca="false">SUM(B117:AE117)</f>
        <v>13</v>
      </c>
    </row>
    <row r="118" customFormat="false" ht="15" hidden="false" customHeight="false" outlineLevel="0" collapsed="false">
      <c r="A118" s="0" t="str">
        <f aca="false">الإجابات!A118</f>
        <v>S116</v>
      </c>
      <c r="B118" s="9" t="n">
        <f aca="false">IF(الإجابات!B118=الإجابات!B$2,1,0)</f>
        <v>1</v>
      </c>
      <c r="C118" s="9" t="n">
        <f aca="false">IF(الإجابات!C118=الإجابات!C$2,1,0)</f>
        <v>1</v>
      </c>
      <c r="D118" s="9" t="n">
        <f aca="false">IF(الإجابات!D118=الإجابات!D$2,1,0)</f>
        <v>1</v>
      </c>
      <c r="E118" s="9" t="n">
        <f aca="false">IF(الإجابات!E118=الإجابات!E$2,1,0)</f>
        <v>1</v>
      </c>
      <c r="F118" s="9" t="n">
        <f aca="false">IF(الإجابات!F118=الإجابات!F$2,1,0)</f>
        <v>1</v>
      </c>
      <c r="G118" s="9" t="n">
        <f aca="false">IF(الإجابات!G118=الإجابات!G$2,1,0)</f>
        <v>1</v>
      </c>
      <c r="H118" s="9" t="n">
        <f aca="false">IF(الإجابات!H118=الإجابات!H$2,1,0)</f>
        <v>0</v>
      </c>
      <c r="I118" s="9" t="n">
        <f aca="false">IF(الإجابات!I118=الإجابات!I$2,1,0)</f>
        <v>1</v>
      </c>
      <c r="J118" s="9" t="n">
        <f aca="false">IF(الإجابات!J118=الإجابات!J$2,1,0)</f>
        <v>1</v>
      </c>
      <c r="K118" s="9" t="n">
        <f aca="false">IF(الإجابات!K118=الإجابات!K$2,1,0)</f>
        <v>1</v>
      </c>
      <c r="L118" s="9" t="n">
        <f aca="false">IF(الإجابات!L118=الإجابات!L$2,1,0)</f>
        <v>1</v>
      </c>
      <c r="M118" s="9" t="n">
        <f aca="false">IF(الإجابات!M118=الإجابات!M$2,1,0)</f>
        <v>1</v>
      </c>
      <c r="N118" s="9" t="n">
        <f aca="false">IF(الإجابات!N118=الإجابات!N$2,1,0)</f>
        <v>1</v>
      </c>
      <c r="O118" s="9" t="n">
        <f aca="false">IF(الإجابات!O118=الإجابات!O$2,1,0)</f>
        <v>1</v>
      </c>
      <c r="P118" s="9" t="n">
        <f aca="false">IF(الإجابات!P118=الإجابات!P$2,1,0)</f>
        <v>1</v>
      </c>
      <c r="Q118" s="9" t="n">
        <f aca="false">IF(الإجابات!Q118=الإجابات!Q$2,1,0)</f>
        <v>1</v>
      </c>
      <c r="R118" s="9" t="n">
        <f aca="false">IF(الإجابات!R118=الإجابات!R$2,1,0)</f>
        <v>1</v>
      </c>
      <c r="S118" s="9" t="n">
        <f aca="false">IF(الإجابات!S118=الإجابات!S$2,1,0)</f>
        <v>0</v>
      </c>
      <c r="T118" s="9" t="n">
        <f aca="false">IF(الإجابات!T118=الإجابات!T$2,1,0)</f>
        <v>1</v>
      </c>
      <c r="U118" s="9" t="n">
        <f aca="false">IF(الإجابات!U118=الإجابات!U$2,1,0)</f>
        <v>1</v>
      </c>
      <c r="V118" s="9" t="n">
        <f aca="false">IF(الإجابات!V118=الإجابات!V$2,1,0)</f>
        <v>1</v>
      </c>
      <c r="W118" s="9" t="n">
        <f aca="false">IF(الإجابات!W118=الإجابات!W$2,1,0)</f>
        <v>1</v>
      </c>
      <c r="X118" s="9" t="n">
        <f aca="false">IF(الإجابات!X118=الإجابات!X$2,1,0)</f>
        <v>0</v>
      </c>
      <c r="Y118" s="9" t="n">
        <f aca="false">IF(الإجابات!Y118=الإجابات!Y$2,1,0)</f>
        <v>1</v>
      </c>
      <c r="Z118" s="9" t="n">
        <f aca="false">IF(الإجابات!Z118=الإجابات!Z$2,1,0)</f>
        <v>1</v>
      </c>
      <c r="AA118" s="9" t="n">
        <f aca="false">IF(الإجابات!AA118=الإجابات!AA$2,1,0)</f>
        <v>1</v>
      </c>
      <c r="AB118" s="9" t="n">
        <f aca="false">IF(الإجابات!AB118=الإجابات!AB$2,1,0)</f>
        <v>0</v>
      </c>
      <c r="AC118" s="9" t="n">
        <f aca="false">IF(الإجابات!AC118=الإجابات!AC$2,1,0)</f>
        <v>1</v>
      </c>
      <c r="AD118" s="9" t="n">
        <f aca="false">IF(الإجابات!AD118=الإجابات!AD$2,1,0)</f>
        <v>1</v>
      </c>
      <c r="AE118" s="9" t="n">
        <f aca="false">IF(الإجابات!AE118=الإجابات!AE$2,1,0)</f>
        <v>1</v>
      </c>
      <c r="AF118" s="9" t="n">
        <f aca="false">SUM(B118:AE118)</f>
        <v>26</v>
      </c>
    </row>
    <row r="119" customFormat="false" ht="15" hidden="false" customHeight="false" outlineLevel="0" collapsed="false">
      <c r="A119" s="0" t="str">
        <f aca="false">الإجابات!A119</f>
        <v>S117</v>
      </c>
      <c r="B119" s="9" t="n">
        <f aca="false">IF(الإجابات!B119=الإجابات!B$2,1,0)</f>
        <v>0</v>
      </c>
      <c r="C119" s="9" t="n">
        <f aca="false">IF(الإجابات!C119=الإجابات!C$2,1,0)</f>
        <v>0</v>
      </c>
      <c r="D119" s="9" t="n">
        <f aca="false">IF(الإجابات!D119=الإجابات!D$2,1,0)</f>
        <v>0</v>
      </c>
      <c r="E119" s="9" t="n">
        <f aca="false">IF(الإجابات!E119=الإجابات!E$2,1,0)</f>
        <v>1</v>
      </c>
      <c r="F119" s="9" t="n">
        <f aca="false">IF(الإجابات!F119=الإجابات!F$2,1,0)</f>
        <v>0</v>
      </c>
      <c r="G119" s="9" t="n">
        <f aca="false">IF(الإجابات!G119=الإجابات!G$2,1,0)</f>
        <v>0</v>
      </c>
      <c r="H119" s="9" t="n">
        <f aca="false">IF(الإجابات!H119=الإجابات!H$2,1,0)</f>
        <v>0</v>
      </c>
      <c r="I119" s="9" t="n">
        <f aca="false">IF(الإجابات!I119=الإجابات!I$2,1,0)</f>
        <v>0</v>
      </c>
      <c r="J119" s="9" t="n">
        <f aca="false">IF(الإجابات!J119=الإجابات!J$2,1,0)</f>
        <v>1</v>
      </c>
      <c r="K119" s="9" t="n">
        <f aca="false">IF(الإجابات!K119=الإجابات!K$2,1,0)</f>
        <v>1</v>
      </c>
      <c r="L119" s="9" t="n">
        <f aca="false">IF(الإجابات!L119=الإجابات!L$2,1,0)</f>
        <v>0</v>
      </c>
      <c r="M119" s="9" t="n">
        <f aca="false">IF(الإجابات!M119=الإجابات!M$2,1,0)</f>
        <v>1</v>
      </c>
      <c r="N119" s="9" t="n">
        <f aca="false">IF(الإجابات!N119=الإجابات!N$2,1,0)</f>
        <v>0</v>
      </c>
      <c r="O119" s="9" t="n">
        <f aca="false">IF(الإجابات!O119=الإجابات!O$2,1,0)</f>
        <v>0</v>
      </c>
      <c r="P119" s="9" t="n">
        <f aca="false">IF(الإجابات!P119=الإجابات!P$2,1,0)</f>
        <v>1</v>
      </c>
      <c r="Q119" s="9" t="n">
        <f aca="false">IF(الإجابات!Q119=الإجابات!Q$2,1,0)</f>
        <v>1</v>
      </c>
      <c r="R119" s="9" t="n">
        <f aca="false">IF(الإجابات!R119=الإجابات!R$2,1,0)</f>
        <v>0</v>
      </c>
      <c r="S119" s="9" t="n">
        <f aca="false">IF(الإجابات!S119=الإجابات!S$2,1,0)</f>
        <v>0</v>
      </c>
      <c r="T119" s="9" t="n">
        <f aca="false">IF(الإجابات!T119=الإجابات!T$2,1,0)</f>
        <v>0</v>
      </c>
      <c r="U119" s="9" t="n">
        <f aca="false">IF(الإجابات!U119=الإجابات!U$2,1,0)</f>
        <v>1</v>
      </c>
      <c r="V119" s="9" t="n">
        <f aca="false">IF(الإجابات!V119=الإجابات!V$2,1,0)</f>
        <v>0</v>
      </c>
      <c r="W119" s="9" t="n">
        <f aca="false">IF(الإجابات!W119=الإجابات!W$2,1,0)</f>
        <v>0</v>
      </c>
      <c r="X119" s="9" t="n">
        <f aca="false">IF(الإجابات!X119=الإجابات!X$2,1,0)</f>
        <v>0</v>
      </c>
      <c r="Y119" s="9" t="n">
        <f aca="false">IF(الإجابات!Y119=الإجابات!Y$2,1,0)</f>
        <v>0</v>
      </c>
      <c r="Z119" s="9" t="n">
        <f aca="false">IF(الإجابات!Z119=الإجابات!Z$2,1,0)</f>
        <v>0</v>
      </c>
      <c r="AA119" s="9" t="n">
        <f aca="false">IF(الإجابات!AA119=الإجابات!AA$2,1,0)</f>
        <v>0</v>
      </c>
      <c r="AB119" s="9" t="n">
        <f aca="false">IF(الإجابات!AB119=الإجابات!AB$2,1,0)</f>
        <v>1</v>
      </c>
      <c r="AC119" s="9" t="n">
        <f aca="false">IF(الإجابات!AC119=الإجابات!AC$2,1,0)</f>
        <v>0</v>
      </c>
      <c r="AD119" s="9" t="n">
        <f aca="false">IF(الإجابات!AD119=الإجابات!AD$2,1,0)</f>
        <v>0</v>
      </c>
      <c r="AE119" s="9" t="n">
        <f aca="false">IF(الإجابات!AE119=الإجابات!AE$2,1,0)</f>
        <v>0</v>
      </c>
      <c r="AF119" s="9" t="n">
        <f aca="false">SUM(B119:AE119)</f>
        <v>8</v>
      </c>
    </row>
    <row r="120" customFormat="false" ht="15" hidden="false" customHeight="false" outlineLevel="0" collapsed="false">
      <c r="A120" s="0" t="str">
        <f aca="false">الإجابات!A120</f>
        <v>S118</v>
      </c>
      <c r="B120" s="9" t="n">
        <f aca="false">IF(الإجابات!B120=الإجابات!B$2,1,0)</f>
        <v>1</v>
      </c>
      <c r="C120" s="9" t="n">
        <f aca="false">IF(الإجابات!C120=الإجابات!C$2,1,0)</f>
        <v>1</v>
      </c>
      <c r="D120" s="9" t="n">
        <f aca="false">IF(الإجابات!D120=الإجابات!D$2,1,0)</f>
        <v>0</v>
      </c>
      <c r="E120" s="9" t="n">
        <f aca="false">IF(الإجابات!E120=الإجابات!E$2,1,0)</f>
        <v>1</v>
      </c>
      <c r="F120" s="9" t="n">
        <f aca="false">IF(الإجابات!F120=الإجابات!F$2,1,0)</f>
        <v>0</v>
      </c>
      <c r="G120" s="9" t="n">
        <f aca="false">IF(الإجابات!G120=الإجابات!G$2,1,0)</f>
        <v>1</v>
      </c>
      <c r="H120" s="9" t="n">
        <f aca="false">IF(الإجابات!H120=الإجابات!H$2,1,0)</f>
        <v>0</v>
      </c>
      <c r="I120" s="9" t="n">
        <f aca="false">IF(الإجابات!I120=الإجابات!I$2,1,0)</f>
        <v>1</v>
      </c>
      <c r="J120" s="9" t="n">
        <f aca="false">IF(الإجابات!J120=الإجابات!J$2,1,0)</f>
        <v>1</v>
      </c>
      <c r="K120" s="9" t="n">
        <f aca="false">IF(الإجابات!K120=الإجابات!K$2,1,0)</f>
        <v>1</v>
      </c>
      <c r="L120" s="9" t="n">
        <f aca="false">IF(الإجابات!L120=الإجابات!L$2,1,0)</f>
        <v>1</v>
      </c>
      <c r="M120" s="9" t="n">
        <f aca="false">IF(الإجابات!M120=الإجابات!M$2,1,0)</f>
        <v>1</v>
      </c>
      <c r="N120" s="9" t="n">
        <f aca="false">IF(الإجابات!N120=الإجابات!N$2,1,0)</f>
        <v>1</v>
      </c>
      <c r="O120" s="9" t="n">
        <f aca="false">IF(الإجابات!O120=الإجابات!O$2,1,0)</f>
        <v>1</v>
      </c>
      <c r="P120" s="9" t="n">
        <f aca="false">IF(الإجابات!P120=الإجابات!P$2,1,0)</f>
        <v>0</v>
      </c>
      <c r="Q120" s="9" t="n">
        <f aca="false">IF(الإجابات!Q120=الإجابات!Q$2,1,0)</f>
        <v>1</v>
      </c>
      <c r="R120" s="9" t="n">
        <f aca="false">IF(الإجابات!R120=الإجابات!R$2,1,0)</f>
        <v>1</v>
      </c>
      <c r="S120" s="9" t="n">
        <f aca="false">IF(الإجابات!S120=الإجابات!S$2,1,0)</f>
        <v>1</v>
      </c>
      <c r="T120" s="9" t="n">
        <f aca="false">IF(الإجابات!T120=الإجابات!T$2,1,0)</f>
        <v>1</v>
      </c>
      <c r="U120" s="9" t="n">
        <f aca="false">IF(الإجابات!U120=الإجابات!U$2,1,0)</f>
        <v>1</v>
      </c>
      <c r="V120" s="9" t="n">
        <f aca="false">IF(الإجابات!V120=الإجابات!V$2,1,0)</f>
        <v>1</v>
      </c>
      <c r="W120" s="9" t="n">
        <f aca="false">IF(الإجابات!W120=الإجابات!W$2,1,0)</f>
        <v>1</v>
      </c>
      <c r="X120" s="9" t="n">
        <f aca="false">IF(الإجابات!X120=الإجابات!X$2,1,0)</f>
        <v>1</v>
      </c>
      <c r="Y120" s="9" t="n">
        <f aca="false">IF(الإجابات!Y120=الإجابات!Y$2,1,0)</f>
        <v>1</v>
      </c>
      <c r="Z120" s="9" t="n">
        <f aca="false">IF(الإجابات!Z120=الإجابات!Z$2,1,0)</f>
        <v>1</v>
      </c>
      <c r="AA120" s="9" t="n">
        <f aca="false">IF(الإجابات!AA120=الإجابات!AA$2,1,0)</f>
        <v>0</v>
      </c>
      <c r="AB120" s="9" t="n">
        <f aca="false">IF(الإجابات!AB120=الإجابات!AB$2,1,0)</f>
        <v>0</v>
      </c>
      <c r="AC120" s="9" t="n">
        <f aca="false">IF(الإجابات!AC120=الإجابات!AC$2,1,0)</f>
        <v>1</v>
      </c>
      <c r="AD120" s="9" t="n">
        <f aca="false">IF(الإجابات!AD120=الإجابات!AD$2,1,0)</f>
        <v>0</v>
      </c>
      <c r="AE120" s="9" t="n">
        <f aca="false">IF(الإجابات!AE120=الإجابات!AE$2,1,0)</f>
        <v>1</v>
      </c>
      <c r="AF120" s="9" t="n">
        <f aca="false">SUM(B120:AE120)</f>
        <v>23</v>
      </c>
    </row>
    <row r="121" customFormat="false" ht="15" hidden="false" customHeight="false" outlineLevel="0" collapsed="false">
      <c r="A121" s="0" t="str">
        <f aca="false">الإجابات!A121</f>
        <v>S119</v>
      </c>
      <c r="B121" s="9" t="n">
        <f aca="false">IF(الإجابات!B121=الإجابات!B$2,1,0)</f>
        <v>0</v>
      </c>
      <c r="C121" s="9" t="n">
        <f aca="false">IF(الإجابات!C121=الإجابات!C$2,1,0)</f>
        <v>0</v>
      </c>
      <c r="D121" s="9" t="n">
        <f aca="false">IF(الإجابات!D121=الإجابات!D$2,1,0)</f>
        <v>1</v>
      </c>
      <c r="E121" s="9" t="n">
        <f aca="false">IF(الإجابات!E121=الإجابات!E$2,1,0)</f>
        <v>1</v>
      </c>
      <c r="F121" s="9" t="n">
        <f aca="false">IF(الإجابات!F121=الإجابات!F$2,1,0)</f>
        <v>1</v>
      </c>
      <c r="G121" s="9" t="n">
        <f aca="false">IF(الإجابات!G121=الإجابات!G$2,1,0)</f>
        <v>0</v>
      </c>
      <c r="H121" s="9" t="n">
        <f aca="false">IF(الإجابات!H121=الإجابات!H$2,1,0)</f>
        <v>0</v>
      </c>
      <c r="I121" s="9" t="n">
        <f aca="false">IF(الإجابات!I121=الإجابات!I$2,1,0)</f>
        <v>1</v>
      </c>
      <c r="J121" s="9" t="n">
        <f aca="false">IF(الإجابات!J121=الإجابات!J$2,1,0)</f>
        <v>1</v>
      </c>
      <c r="K121" s="9" t="n">
        <f aca="false">IF(الإجابات!K121=الإجابات!K$2,1,0)</f>
        <v>1</v>
      </c>
      <c r="L121" s="9" t="n">
        <f aca="false">IF(الإجابات!L121=الإجابات!L$2,1,0)</f>
        <v>1</v>
      </c>
      <c r="M121" s="9" t="n">
        <f aca="false">IF(الإجابات!M121=الإجابات!M$2,1,0)</f>
        <v>1</v>
      </c>
      <c r="N121" s="9" t="n">
        <f aca="false">IF(الإجابات!N121=الإجابات!N$2,1,0)</f>
        <v>1</v>
      </c>
      <c r="O121" s="9" t="n">
        <f aca="false">IF(الإجابات!O121=الإجابات!O$2,1,0)</f>
        <v>1</v>
      </c>
      <c r="P121" s="9" t="n">
        <f aca="false">IF(الإجابات!P121=الإجابات!P$2,1,0)</f>
        <v>1</v>
      </c>
      <c r="Q121" s="9" t="n">
        <f aca="false">IF(الإجابات!Q121=الإجابات!Q$2,1,0)</f>
        <v>1</v>
      </c>
      <c r="R121" s="9" t="n">
        <f aca="false">IF(الإجابات!R121=الإجابات!R$2,1,0)</f>
        <v>1</v>
      </c>
      <c r="S121" s="9" t="n">
        <f aca="false">IF(الإجابات!S121=الإجابات!S$2,1,0)</f>
        <v>0</v>
      </c>
      <c r="T121" s="9" t="n">
        <f aca="false">IF(الإجابات!T121=الإجابات!T$2,1,0)</f>
        <v>1</v>
      </c>
      <c r="U121" s="9" t="n">
        <f aca="false">IF(الإجابات!U121=الإجابات!U$2,1,0)</f>
        <v>1</v>
      </c>
      <c r="V121" s="9" t="n">
        <f aca="false">IF(الإجابات!V121=الإجابات!V$2,1,0)</f>
        <v>0</v>
      </c>
      <c r="W121" s="9" t="n">
        <f aca="false">IF(الإجابات!W121=الإجابات!W$2,1,0)</f>
        <v>1</v>
      </c>
      <c r="X121" s="9" t="n">
        <f aca="false">IF(الإجابات!X121=الإجابات!X$2,1,0)</f>
        <v>1</v>
      </c>
      <c r="Y121" s="9" t="n">
        <f aca="false">IF(الإجابات!Y121=الإجابات!Y$2,1,0)</f>
        <v>1</v>
      </c>
      <c r="Z121" s="9" t="n">
        <f aca="false">IF(الإجابات!Z121=الإجابات!Z$2,1,0)</f>
        <v>1</v>
      </c>
      <c r="AA121" s="9" t="n">
        <f aca="false">IF(الإجابات!AA121=الإجابات!AA$2,1,0)</f>
        <v>0</v>
      </c>
      <c r="AB121" s="9" t="n">
        <f aca="false">IF(الإجابات!AB121=الإجابات!AB$2,1,0)</f>
        <v>0</v>
      </c>
      <c r="AC121" s="9" t="n">
        <f aca="false">IF(الإجابات!AC121=الإجابات!AC$2,1,0)</f>
        <v>0</v>
      </c>
      <c r="AD121" s="9" t="n">
        <f aca="false">IF(الإجابات!AD121=الإجابات!AD$2,1,0)</f>
        <v>0</v>
      </c>
      <c r="AE121" s="9" t="n">
        <f aca="false">IF(الإجابات!AE121=الإجابات!AE$2,1,0)</f>
        <v>1</v>
      </c>
      <c r="AF121" s="9" t="n">
        <f aca="false">SUM(B121:AE121)</f>
        <v>20</v>
      </c>
    </row>
    <row r="122" customFormat="false" ht="15" hidden="false" customHeight="false" outlineLevel="0" collapsed="false">
      <c r="A122" s="0" t="str">
        <f aca="false">الإجابات!A122</f>
        <v>S120</v>
      </c>
      <c r="B122" s="9" t="n">
        <f aca="false">IF(الإجابات!B122=الإجابات!B$2,1,0)</f>
        <v>0</v>
      </c>
      <c r="C122" s="9" t="n">
        <f aca="false">IF(الإجابات!C122=الإجابات!C$2,1,0)</f>
        <v>1</v>
      </c>
      <c r="D122" s="9" t="n">
        <f aca="false">IF(الإجابات!D122=الإجابات!D$2,1,0)</f>
        <v>0</v>
      </c>
      <c r="E122" s="9" t="n">
        <f aca="false">IF(الإجابات!E122=الإجابات!E$2,1,0)</f>
        <v>1</v>
      </c>
      <c r="F122" s="9" t="n">
        <f aca="false">IF(الإجابات!F122=الإجابات!F$2,1,0)</f>
        <v>1</v>
      </c>
      <c r="G122" s="9" t="n">
        <f aca="false">IF(الإجابات!G122=الإجابات!G$2,1,0)</f>
        <v>0</v>
      </c>
      <c r="H122" s="9" t="n">
        <f aca="false">IF(الإجابات!H122=الإجابات!H$2,1,0)</f>
        <v>0</v>
      </c>
      <c r="I122" s="9" t="n">
        <f aca="false">IF(الإجابات!I122=الإجابات!I$2,1,0)</f>
        <v>1</v>
      </c>
      <c r="J122" s="9" t="n">
        <f aca="false">IF(الإجابات!J122=الإجابات!J$2,1,0)</f>
        <v>1</v>
      </c>
      <c r="K122" s="9" t="n">
        <f aca="false">IF(الإجابات!K122=الإجابات!K$2,1,0)</f>
        <v>1</v>
      </c>
      <c r="L122" s="9" t="n">
        <f aca="false">IF(الإجابات!L122=الإجابات!L$2,1,0)</f>
        <v>1</v>
      </c>
      <c r="M122" s="9" t="n">
        <f aca="false">IF(الإجابات!M122=الإجابات!M$2,1,0)</f>
        <v>1</v>
      </c>
      <c r="N122" s="9" t="n">
        <f aca="false">IF(الإجابات!N122=الإجابات!N$2,1,0)</f>
        <v>0</v>
      </c>
      <c r="O122" s="9" t="n">
        <f aca="false">IF(الإجابات!O122=الإجابات!O$2,1,0)</f>
        <v>1</v>
      </c>
      <c r="P122" s="9" t="n">
        <f aca="false">IF(الإجابات!P122=الإجابات!P$2,1,0)</f>
        <v>1</v>
      </c>
      <c r="Q122" s="9" t="n">
        <f aca="false">IF(الإجابات!Q122=الإجابات!Q$2,1,0)</f>
        <v>1</v>
      </c>
      <c r="R122" s="9" t="n">
        <f aca="false">IF(الإجابات!R122=الإجابات!R$2,1,0)</f>
        <v>1</v>
      </c>
      <c r="S122" s="9" t="n">
        <f aca="false">IF(الإجابات!S122=الإجابات!S$2,1,0)</f>
        <v>1</v>
      </c>
      <c r="T122" s="9" t="n">
        <f aca="false">IF(الإجابات!T122=الإجابات!T$2,1,0)</f>
        <v>1</v>
      </c>
      <c r="U122" s="9" t="n">
        <f aca="false">IF(الإجابات!U122=الإجابات!U$2,1,0)</f>
        <v>0</v>
      </c>
      <c r="V122" s="9" t="n">
        <f aca="false">IF(الإجابات!V122=الإجابات!V$2,1,0)</f>
        <v>1</v>
      </c>
      <c r="W122" s="9" t="n">
        <f aca="false">IF(الإجابات!W122=الإجابات!W$2,1,0)</f>
        <v>1</v>
      </c>
      <c r="X122" s="9" t="n">
        <f aca="false">IF(الإجابات!X122=الإجابات!X$2,1,0)</f>
        <v>1</v>
      </c>
      <c r="Y122" s="9" t="n">
        <f aca="false">IF(الإجابات!Y122=الإجابات!Y$2,1,0)</f>
        <v>1</v>
      </c>
      <c r="Z122" s="9" t="n">
        <f aca="false">IF(الإجابات!Z122=الإجابات!Z$2,1,0)</f>
        <v>1</v>
      </c>
      <c r="AA122" s="9" t="n">
        <f aca="false">IF(الإجابات!AA122=الإجابات!AA$2,1,0)</f>
        <v>0</v>
      </c>
      <c r="AB122" s="9" t="n">
        <f aca="false">IF(الإجابات!AB122=الإجابات!AB$2,1,0)</f>
        <v>0</v>
      </c>
      <c r="AC122" s="9" t="n">
        <f aca="false">IF(الإجابات!AC122=الإجابات!AC$2,1,0)</f>
        <v>1</v>
      </c>
      <c r="AD122" s="9" t="n">
        <f aca="false">IF(الإجابات!AD122=الإجابات!AD$2,1,0)</f>
        <v>1</v>
      </c>
      <c r="AE122" s="9" t="n">
        <f aca="false">IF(الإجابات!AE122=الإجابات!AE$2,1,0)</f>
        <v>1</v>
      </c>
      <c r="AF122" s="9" t="n">
        <f aca="false">SUM(B122:AE122)</f>
        <v>22</v>
      </c>
    </row>
    <row r="123" customFormat="false" ht="15" hidden="false" customHeight="false" outlineLevel="0" collapsed="false">
      <c r="A123" s="0" t="str">
        <f aca="false">الإجابات!A123</f>
        <v>S121</v>
      </c>
      <c r="B123" s="9" t="n">
        <f aca="false">IF(الإجابات!B123=الإجابات!B$2,1,0)</f>
        <v>1</v>
      </c>
      <c r="C123" s="9" t="n">
        <f aca="false">IF(الإجابات!C123=الإجابات!C$2,1,0)</f>
        <v>1</v>
      </c>
      <c r="D123" s="9" t="n">
        <f aca="false">IF(الإجابات!D123=الإجابات!D$2,1,0)</f>
        <v>1</v>
      </c>
      <c r="E123" s="9" t="n">
        <f aca="false">IF(الإجابات!E123=الإجابات!E$2,1,0)</f>
        <v>1</v>
      </c>
      <c r="F123" s="9" t="n">
        <f aca="false">IF(الإجابات!F123=الإجابات!F$2,1,0)</f>
        <v>1</v>
      </c>
      <c r="G123" s="9" t="n">
        <f aca="false">IF(الإجابات!G123=الإجابات!G$2,1,0)</f>
        <v>1</v>
      </c>
      <c r="H123" s="9" t="n">
        <f aca="false">IF(الإجابات!H123=الإجابات!H$2,1,0)</f>
        <v>0</v>
      </c>
      <c r="I123" s="9" t="n">
        <f aca="false">IF(الإجابات!I123=الإجابات!I$2,1,0)</f>
        <v>1</v>
      </c>
      <c r="J123" s="9" t="n">
        <f aca="false">IF(الإجابات!J123=الإجابات!J$2,1,0)</f>
        <v>1</v>
      </c>
      <c r="K123" s="9" t="n">
        <f aca="false">IF(الإجابات!K123=الإجابات!K$2,1,0)</f>
        <v>1</v>
      </c>
      <c r="L123" s="9" t="n">
        <f aca="false">IF(الإجابات!L123=الإجابات!L$2,1,0)</f>
        <v>1</v>
      </c>
      <c r="M123" s="9" t="n">
        <f aca="false">IF(الإجابات!M123=الإجابات!M$2,1,0)</f>
        <v>1</v>
      </c>
      <c r="N123" s="9" t="n">
        <f aca="false">IF(الإجابات!N123=الإجابات!N$2,1,0)</f>
        <v>0</v>
      </c>
      <c r="O123" s="9" t="n">
        <f aca="false">IF(الإجابات!O123=الإجابات!O$2,1,0)</f>
        <v>1</v>
      </c>
      <c r="P123" s="9" t="n">
        <f aca="false">IF(الإجابات!P123=الإجابات!P$2,1,0)</f>
        <v>1</v>
      </c>
      <c r="Q123" s="9" t="n">
        <f aca="false">IF(الإجابات!Q123=الإجابات!Q$2,1,0)</f>
        <v>1</v>
      </c>
      <c r="R123" s="9" t="n">
        <f aca="false">IF(الإجابات!R123=الإجابات!R$2,1,0)</f>
        <v>1</v>
      </c>
      <c r="S123" s="9" t="n">
        <f aca="false">IF(الإجابات!S123=الإجابات!S$2,1,0)</f>
        <v>0</v>
      </c>
      <c r="T123" s="9" t="n">
        <f aca="false">IF(الإجابات!T123=الإجابات!T$2,1,0)</f>
        <v>1</v>
      </c>
      <c r="U123" s="9" t="n">
        <f aca="false">IF(الإجابات!U123=الإجابات!U$2,1,0)</f>
        <v>1</v>
      </c>
      <c r="V123" s="9" t="n">
        <f aca="false">IF(الإجابات!V123=الإجابات!V$2,1,0)</f>
        <v>0</v>
      </c>
      <c r="W123" s="9" t="n">
        <f aca="false">IF(الإجابات!W123=الإجابات!W$2,1,0)</f>
        <v>1</v>
      </c>
      <c r="X123" s="9" t="n">
        <f aca="false">IF(الإجابات!X123=الإجابات!X$2,1,0)</f>
        <v>1</v>
      </c>
      <c r="Y123" s="9" t="n">
        <f aca="false">IF(الإجابات!Y123=الإجابات!Y$2,1,0)</f>
        <v>1</v>
      </c>
      <c r="Z123" s="9" t="n">
        <f aca="false">IF(الإجابات!Z123=الإجابات!Z$2,1,0)</f>
        <v>1</v>
      </c>
      <c r="AA123" s="9" t="n">
        <f aca="false">IF(الإجابات!AA123=الإجابات!AA$2,1,0)</f>
        <v>1</v>
      </c>
      <c r="AB123" s="9" t="n">
        <f aca="false">IF(الإجابات!AB123=الإجابات!AB$2,1,0)</f>
        <v>1</v>
      </c>
      <c r="AC123" s="9" t="n">
        <f aca="false">IF(الإجابات!AC123=الإجابات!AC$2,1,0)</f>
        <v>1</v>
      </c>
      <c r="AD123" s="9" t="n">
        <f aca="false">IF(الإجابات!AD123=الإجابات!AD$2,1,0)</f>
        <v>1</v>
      </c>
      <c r="AE123" s="9" t="n">
        <f aca="false">IF(الإجابات!AE123=الإجابات!AE$2,1,0)</f>
        <v>1</v>
      </c>
      <c r="AF123" s="9" t="n">
        <f aca="false">SUM(B123:AE123)</f>
        <v>26</v>
      </c>
    </row>
    <row r="124" customFormat="false" ht="15" hidden="false" customHeight="false" outlineLevel="0" collapsed="false">
      <c r="A124" s="0" t="str">
        <f aca="false">الإجابات!A124</f>
        <v>S122</v>
      </c>
      <c r="B124" s="9" t="n">
        <f aca="false">IF(الإجابات!B124=الإجابات!B$2,1,0)</f>
        <v>0</v>
      </c>
      <c r="C124" s="9" t="n">
        <f aca="false">IF(الإجابات!C124=الإجابات!C$2,1,0)</f>
        <v>0</v>
      </c>
      <c r="D124" s="9" t="n">
        <f aca="false">IF(الإجابات!D124=الإجابات!D$2,1,0)</f>
        <v>0</v>
      </c>
      <c r="E124" s="9" t="n">
        <f aca="false">IF(الإجابات!E124=الإجابات!E$2,1,0)</f>
        <v>0</v>
      </c>
      <c r="F124" s="9" t="n">
        <f aca="false">IF(الإجابات!F124=الإجابات!F$2,1,0)</f>
        <v>0</v>
      </c>
      <c r="G124" s="9" t="n">
        <f aca="false">IF(الإجابات!G124=الإجابات!G$2,1,0)</f>
        <v>1</v>
      </c>
      <c r="H124" s="9" t="n">
        <f aca="false">IF(الإجابات!H124=الإجابات!H$2,1,0)</f>
        <v>1</v>
      </c>
      <c r="I124" s="9" t="n">
        <f aca="false">IF(الإجابات!I124=الإجابات!I$2,1,0)</f>
        <v>0</v>
      </c>
      <c r="J124" s="9" t="n">
        <f aca="false">IF(الإجابات!J124=الإجابات!J$2,1,0)</f>
        <v>1</v>
      </c>
      <c r="K124" s="9" t="n">
        <f aca="false">IF(الإجابات!K124=الإجابات!K$2,1,0)</f>
        <v>0</v>
      </c>
      <c r="L124" s="9" t="n">
        <f aca="false">IF(الإجابات!L124=الإجابات!L$2,1,0)</f>
        <v>1</v>
      </c>
      <c r="M124" s="9" t="n">
        <f aca="false">IF(الإجابات!M124=الإجابات!M$2,1,0)</f>
        <v>1</v>
      </c>
      <c r="N124" s="9" t="n">
        <f aca="false">IF(الإجابات!N124=الإجابات!N$2,1,0)</f>
        <v>0</v>
      </c>
      <c r="O124" s="9" t="n">
        <f aca="false">IF(الإجابات!O124=الإجابات!O$2,1,0)</f>
        <v>1</v>
      </c>
      <c r="P124" s="9" t="n">
        <f aca="false">IF(الإجابات!P124=الإجابات!P$2,1,0)</f>
        <v>0</v>
      </c>
      <c r="Q124" s="9" t="n">
        <f aca="false">IF(الإجابات!Q124=الإجابات!Q$2,1,0)</f>
        <v>1</v>
      </c>
      <c r="R124" s="9" t="n">
        <f aca="false">IF(الإجابات!R124=الإجابات!R$2,1,0)</f>
        <v>1</v>
      </c>
      <c r="S124" s="9" t="n">
        <f aca="false">IF(الإجابات!S124=الإجابات!S$2,1,0)</f>
        <v>0</v>
      </c>
      <c r="T124" s="9" t="n">
        <f aca="false">IF(الإجابات!T124=الإجابات!T$2,1,0)</f>
        <v>0</v>
      </c>
      <c r="U124" s="9" t="n">
        <f aca="false">IF(الإجابات!U124=الإجابات!U$2,1,0)</f>
        <v>0</v>
      </c>
      <c r="V124" s="9" t="n">
        <f aca="false">IF(الإجابات!V124=الإجابات!V$2,1,0)</f>
        <v>0</v>
      </c>
      <c r="W124" s="9" t="n">
        <f aca="false">IF(الإجابات!W124=الإجابات!W$2,1,0)</f>
        <v>0</v>
      </c>
      <c r="X124" s="9" t="n">
        <f aca="false">IF(الإجابات!X124=الإجابات!X$2,1,0)</f>
        <v>0</v>
      </c>
      <c r="Y124" s="9" t="n">
        <f aca="false">IF(الإجابات!Y124=الإجابات!Y$2,1,0)</f>
        <v>1</v>
      </c>
      <c r="Z124" s="9" t="n">
        <f aca="false">IF(الإجابات!Z124=الإجابات!Z$2,1,0)</f>
        <v>0</v>
      </c>
      <c r="AA124" s="9" t="n">
        <f aca="false">IF(الإجابات!AA124=الإجابات!AA$2,1,0)</f>
        <v>1</v>
      </c>
      <c r="AB124" s="9" t="n">
        <f aca="false">IF(الإجابات!AB124=الإجابات!AB$2,1,0)</f>
        <v>1</v>
      </c>
      <c r="AC124" s="9" t="n">
        <f aca="false">IF(الإجابات!AC124=الإجابات!AC$2,1,0)</f>
        <v>0</v>
      </c>
      <c r="AD124" s="9" t="n">
        <f aca="false">IF(الإجابات!AD124=الإجابات!AD$2,1,0)</f>
        <v>0</v>
      </c>
      <c r="AE124" s="9" t="n">
        <f aca="false">IF(الإجابات!AE124=الإجابات!AE$2,1,0)</f>
        <v>0</v>
      </c>
      <c r="AF124" s="9" t="n">
        <f aca="false">SUM(B124:AE124)</f>
        <v>11</v>
      </c>
    </row>
    <row r="125" customFormat="false" ht="15" hidden="false" customHeight="false" outlineLevel="0" collapsed="false">
      <c r="A125" s="0" t="str">
        <f aca="false">الإجابات!A125</f>
        <v>S123</v>
      </c>
      <c r="B125" s="9" t="n">
        <f aca="false">IF(الإجابات!B125=الإجابات!B$2,1,0)</f>
        <v>1</v>
      </c>
      <c r="C125" s="9" t="n">
        <f aca="false">IF(الإجابات!C125=الإجابات!C$2,1,0)</f>
        <v>0</v>
      </c>
      <c r="D125" s="9" t="n">
        <f aca="false">IF(الإجابات!D125=الإجابات!D$2,1,0)</f>
        <v>0</v>
      </c>
      <c r="E125" s="9" t="n">
        <f aca="false">IF(الإجابات!E125=الإجابات!E$2,1,0)</f>
        <v>1</v>
      </c>
      <c r="F125" s="9" t="n">
        <f aca="false">IF(الإجابات!F125=الإجابات!F$2,1,0)</f>
        <v>0</v>
      </c>
      <c r="G125" s="9" t="n">
        <f aca="false">IF(الإجابات!G125=الإجابات!G$2,1,0)</f>
        <v>0</v>
      </c>
      <c r="H125" s="9" t="n">
        <f aca="false">IF(الإجابات!H125=الإجابات!H$2,1,0)</f>
        <v>0</v>
      </c>
      <c r="I125" s="9" t="n">
        <f aca="false">IF(الإجابات!I125=الإجابات!I$2,1,0)</f>
        <v>0</v>
      </c>
      <c r="J125" s="9" t="n">
        <f aca="false">IF(الإجابات!J125=الإجابات!J$2,1,0)</f>
        <v>0</v>
      </c>
      <c r="K125" s="9" t="n">
        <f aca="false">IF(الإجابات!K125=الإجابات!K$2,1,0)</f>
        <v>1</v>
      </c>
      <c r="L125" s="9" t="n">
        <f aca="false">IF(الإجابات!L125=الإجابات!L$2,1,0)</f>
        <v>0</v>
      </c>
      <c r="M125" s="9" t="n">
        <f aca="false">IF(الإجابات!M125=الإجابات!M$2,1,0)</f>
        <v>1</v>
      </c>
      <c r="N125" s="9" t="n">
        <f aca="false">IF(الإجابات!N125=الإجابات!N$2,1,0)</f>
        <v>0</v>
      </c>
      <c r="O125" s="9" t="n">
        <f aca="false">IF(الإجابات!O125=الإجابات!O$2,1,0)</f>
        <v>1</v>
      </c>
      <c r="P125" s="9" t="n">
        <f aca="false">IF(الإجابات!P125=الإجابات!P$2,1,0)</f>
        <v>1</v>
      </c>
      <c r="Q125" s="9" t="n">
        <f aca="false">IF(الإجابات!Q125=الإجابات!Q$2,1,0)</f>
        <v>1</v>
      </c>
      <c r="R125" s="9" t="n">
        <f aca="false">IF(الإجابات!R125=الإجابات!R$2,1,0)</f>
        <v>0</v>
      </c>
      <c r="S125" s="9" t="n">
        <f aca="false">IF(الإجابات!S125=الإجابات!S$2,1,0)</f>
        <v>1</v>
      </c>
      <c r="T125" s="9" t="n">
        <f aca="false">IF(الإجابات!T125=الإجابات!T$2,1,0)</f>
        <v>1</v>
      </c>
      <c r="U125" s="9" t="n">
        <f aca="false">IF(الإجابات!U125=الإجابات!U$2,1,0)</f>
        <v>0</v>
      </c>
      <c r="V125" s="9" t="n">
        <f aca="false">IF(الإجابات!V125=الإجابات!V$2,1,0)</f>
        <v>0</v>
      </c>
      <c r="W125" s="9" t="n">
        <f aca="false">IF(الإجابات!W125=الإجابات!W$2,1,0)</f>
        <v>1</v>
      </c>
      <c r="X125" s="9" t="n">
        <f aca="false">IF(الإجابات!X125=الإجابات!X$2,1,0)</f>
        <v>0</v>
      </c>
      <c r="Y125" s="9" t="n">
        <f aca="false">IF(الإجابات!Y125=الإجابات!Y$2,1,0)</f>
        <v>0</v>
      </c>
      <c r="Z125" s="9" t="n">
        <f aca="false">IF(الإجابات!Z125=الإجابات!Z$2,1,0)</f>
        <v>1</v>
      </c>
      <c r="AA125" s="9" t="n">
        <f aca="false">IF(الإجابات!AA125=الإجابات!AA$2,1,0)</f>
        <v>0</v>
      </c>
      <c r="AB125" s="9" t="n">
        <f aca="false">IF(الإجابات!AB125=الإجابات!AB$2,1,0)</f>
        <v>0</v>
      </c>
      <c r="AC125" s="9" t="n">
        <f aca="false">IF(الإجابات!AC125=الإجابات!AC$2,1,0)</f>
        <v>0</v>
      </c>
      <c r="AD125" s="9" t="n">
        <f aca="false">IF(الإجابات!AD125=الإجابات!AD$2,1,0)</f>
        <v>0</v>
      </c>
      <c r="AE125" s="9" t="n">
        <f aca="false">IF(الإجابات!AE125=الإجابات!AE$2,1,0)</f>
        <v>0</v>
      </c>
      <c r="AF125" s="9" t="n">
        <f aca="false">SUM(B125:AE125)</f>
        <v>11</v>
      </c>
    </row>
    <row r="126" customFormat="false" ht="15" hidden="false" customHeight="false" outlineLevel="0" collapsed="false">
      <c r="A126" s="0" t="str">
        <f aca="false">الإجابات!A126</f>
        <v>S124</v>
      </c>
      <c r="B126" s="9" t="n">
        <f aca="false">IF(الإجابات!B126=الإجابات!B$2,1,0)</f>
        <v>0</v>
      </c>
      <c r="C126" s="9" t="n">
        <f aca="false">IF(الإجابات!C126=الإجابات!C$2,1,0)</f>
        <v>0</v>
      </c>
      <c r="D126" s="9" t="n">
        <f aca="false">IF(الإجابات!D126=الإجابات!D$2,1,0)</f>
        <v>0</v>
      </c>
      <c r="E126" s="9" t="n">
        <f aca="false">IF(الإجابات!E126=الإجابات!E$2,1,0)</f>
        <v>1</v>
      </c>
      <c r="F126" s="9" t="n">
        <f aca="false">IF(الإجابات!F126=الإجابات!F$2,1,0)</f>
        <v>0</v>
      </c>
      <c r="G126" s="9" t="n">
        <f aca="false">IF(الإجابات!G126=الإجابات!G$2,1,0)</f>
        <v>1</v>
      </c>
      <c r="H126" s="9" t="n">
        <f aca="false">IF(الإجابات!H126=الإجابات!H$2,1,0)</f>
        <v>0</v>
      </c>
      <c r="I126" s="9" t="n">
        <f aca="false">IF(الإجابات!I126=الإجابات!I$2,1,0)</f>
        <v>1</v>
      </c>
      <c r="J126" s="9" t="n">
        <f aca="false">IF(الإجابات!J126=الإجابات!J$2,1,0)</f>
        <v>1</v>
      </c>
      <c r="K126" s="9" t="n">
        <f aca="false">IF(الإجابات!K126=الإجابات!K$2,1,0)</f>
        <v>1</v>
      </c>
      <c r="L126" s="9" t="n">
        <f aca="false">IF(الإجابات!L126=الإجابات!L$2,1,0)</f>
        <v>1</v>
      </c>
      <c r="M126" s="9" t="n">
        <f aca="false">IF(الإجابات!M126=الإجابات!M$2,1,0)</f>
        <v>1</v>
      </c>
      <c r="N126" s="9" t="n">
        <f aca="false">IF(الإجابات!N126=الإجابات!N$2,1,0)</f>
        <v>0</v>
      </c>
      <c r="O126" s="9" t="n">
        <f aca="false">IF(الإجابات!O126=الإجابات!O$2,1,0)</f>
        <v>1</v>
      </c>
      <c r="P126" s="9" t="n">
        <f aca="false">IF(الإجابات!P126=الإجابات!P$2,1,0)</f>
        <v>0</v>
      </c>
      <c r="Q126" s="9" t="n">
        <f aca="false">IF(الإجابات!Q126=الإجابات!Q$2,1,0)</f>
        <v>1</v>
      </c>
      <c r="R126" s="9" t="n">
        <f aca="false">IF(الإجابات!R126=الإجابات!R$2,1,0)</f>
        <v>1</v>
      </c>
      <c r="S126" s="9" t="n">
        <f aca="false">IF(الإجابات!S126=الإجابات!S$2,1,0)</f>
        <v>0</v>
      </c>
      <c r="T126" s="9" t="n">
        <f aca="false">IF(الإجابات!T126=الإجابات!T$2,1,0)</f>
        <v>1</v>
      </c>
      <c r="U126" s="9" t="n">
        <f aca="false">IF(الإجابات!U126=الإجابات!U$2,1,0)</f>
        <v>1</v>
      </c>
      <c r="V126" s="9" t="n">
        <f aca="false">IF(الإجابات!V126=الإجابات!V$2,1,0)</f>
        <v>1</v>
      </c>
      <c r="W126" s="9" t="n">
        <f aca="false">IF(الإجابات!W126=الإجابات!W$2,1,0)</f>
        <v>1</v>
      </c>
      <c r="X126" s="9" t="n">
        <f aca="false">IF(الإجابات!X126=الإجابات!X$2,1,0)</f>
        <v>1</v>
      </c>
      <c r="Y126" s="9" t="n">
        <f aca="false">IF(الإجابات!Y126=الإجابات!Y$2,1,0)</f>
        <v>1</v>
      </c>
      <c r="Z126" s="9" t="n">
        <f aca="false">IF(الإجابات!Z126=الإجابات!Z$2,1,0)</f>
        <v>1</v>
      </c>
      <c r="AA126" s="9" t="n">
        <f aca="false">IF(الإجابات!AA126=الإجابات!AA$2,1,0)</f>
        <v>0</v>
      </c>
      <c r="AB126" s="9" t="n">
        <f aca="false">IF(الإجابات!AB126=الإجابات!AB$2,1,0)</f>
        <v>0</v>
      </c>
      <c r="AC126" s="9" t="n">
        <f aca="false">IF(الإجابات!AC126=الإجابات!AC$2,1,0)</f>
        <v>1</v>
      </c>
      <c r="AD126" s="9" t="n">
        <f aca="false">IF(الإجابات!AD126=الإجابات!AD$2,1,0)</f>
        <v>1</v>
      </c>
      <c r="AE126" s="9" t="n">
        <f aca="false">IF(الإجابات!AE126=الإجابات!AE$2,1,0)</f>
        <v>1</v>
      </c>
      <c r="AF126" s="9" t="n">
        <f aca="false">SUM(B126:AE126)</f>
        <v>20</v>
      </c>
    </row>
    <row r="127" customFormat="false" ht="15" hidden="false" customHeight="false" outlineLevel="0" collapsed="false">
      <c r="A127" s="0" t="str">
        <f aca="false">الإجابات!A127</f>
        <v>S125</v>
      </c>
      <c r="B127" s="9" t="n">
        <f aca="false">IF(الإجابات!B127=الإجابات!B$2,1,0)</f>
        <v>0</v>
      </c>
      <c r="C127" s="9" t="n">
        <f aca="false">IF(الإجابات!C127=الإجابات!C$2,1,0)</f>
        <v>1</v>
      </c>
      <c r="D127" s="9" t="n">
        <f aca="false">IF(الإجابات!D127=الإجابات!D$2,1,0)</f>
        <v>0</v>
      </c>
      <c r="E127" s="9" t="n">
        <f aca="false">IF(الإجابات!E127=الإجابات!E$2,1,0)</f>
        <v>1</v>
      </c>
      <c r="F127" s="9" t="n">
        <f aca="false">IF(الإجابات!F127=الإجابات!F$2,1,0)</f>
        <v>0</v>
      </c>
      <c r="G127" s="9" t="n">
        <f aca="false">IF(الإجابات!G127=الإجابات!G$2,1,0)</f>
        <v>0</v>
      </c>
      <c r="H127" s="9" t="n">
        <f aca="false">IF(الإجابات!H127=الإجابات!H$2,1,0)</f>
        <v>0</v>
      </c>
      <c r="I127" s="9" t="n">
        <f aca="false">IF(الإجابات!I127=الإجابات!I$2,1,0)</f>
        <v>1</v>
      </c>
      <c r="J127" s="9" t="n">
        <f aca="false">IF(الإجابات!J127=الإجابات!J$2,1,0)</f>
        <v>1</v>
      </c>
      <c r="K127" s="9" t="n">
        <f aca="false">IF(الإجابات!K127=الإجابات!K$2,1,0)</f>
        <v>1</v>
      </c>
      <c r="L127" s="9" t="n">
        <f aca="false">IF(الإجابات!L127=الإجابات!L$2,1,0)</f>
        <v>0</v>
      </c>
      <c r="M127" s="9" t="n">
        <f aca="false">IF(الإجابات!M127=الإجابات!M$2,1,0)</f>
        <v>1</v>
      </c>
      <c r="N127" s="9" t="n">
        <f aca="false">IF(الإجابات!N127=الإجابات!N$2,1,0)</f>
        <v>1</v>
      </c>
      <c r="O127" s="9" t="n">
        <f aca="false">IF(الإجابات!O127=الإجابات!O$2,1,0)</f>
        <v>1</v>
      </c>
      <c r="P127" s="9" t="n">
        <f aca="false">IF(الإجابات!P127=الإجابات!P$2,1,0)</f>
        <v>1</v>
      </c>
      <c r="Q127" s="9" t="n">
        <f aca="false">IF(الإجابات!Q127=الإجابات!Q$2,1,0)</f>
        <v>1</v>
      </c>
      <c r="R127" s="9" t="n">
        <f aca="false">IF(الإجابات!R127=الإجابات!R$2,1,0)</f>
        <v>1</v>
      </c>
      <c r="S127" s="9" t="n">
        <f aca="false">IF(الإجابات!S127=الإجابات!S$2,1,0)</f>
        <v>0</v>
      </c>
      <c r="T127" s="9" t="n">
        <f aca="false">IF(الإجابات!T127=الإجابات!T$2,1,0)</f>
        <v>1</v>
      </c>
      <c r="U127" s="9" t="n">
        <f aca="false">IF(الإجابات!U127=الإجابات!U$2,1,0)</f>
        <v>1</v>
      </c>
      <c r="V127" s="9" t="n">
        <f aca="false">IF(الإجابات!V127=الإجابات!V$2,1,0)</f>
        <v>1</v>
      </c>
      <c r="W127" s="9" t="n">
        <f aca="false">IF(الإجابات!W127=الإجابات!W$2,1,0)</f>
        <v>1</v>
      </c>
      <c r="X127" s="9" t="n">
        <f aca="false">IF(الإجابات!X127=الإجابات!X$2,1,0)</f>
        <v>1</v>
      </c>
      <c r="Y127" s="9" t="n">
        <f aca="false">IF(الإجابات!Y127=الإجابات!Y$2,1,0)</f>
        <v>1</v>
      </c>
      <c r="Z127" s="9" t="n">
        <f aca="false">IF(الإجابات!Z127=الإجابات!Z$2,1,0)</f>
        <v>1</v>
      </c>
      <c r="AA127" s="9" t="n">
        <f aca="false">IF(الإجابات!AA127=الإجابات!AA$2,1,0)</f>
        <v>0</v>
      </c>
      <c r="AB127" s="9" t="n">
        <f aca="false">IF(الإجابات!AB127=الإجابات!AB$2,1,0)</f>
        <v>1</v>
      </c>
      <c r="AC127" s="9" t="n">
        <f aca="false">IF(الإجابات!AC127=الإجابات!AC$2,1,0)</f>
        <v>0</v>
      </c>
      <c r="AD127" s="9" t="n">
        <f aca="false">IF(الإجابات!AD127=الإجابات!AD$2,1,0)</f>
        <v>1</v>
      </c>
      <c r="AE127" s="9" t="n">
        <f aca="false">IF(الإجابات!AE127=الإجابات!AE$2,1,0)</f>
        <v>1</v>
      </c>
      <c r="AF127" s="9" t="n">
        <f aca="false">SUM(B127:AE127)</f>
        <v>21</v>
      </c>
    </row>
    <row r="128" customFormat="false" ht="15" hidden="false" customHeight="false" outlineLevel="0" collapsed="false">
      <c r="A128" s="0" t="str">
        <f aca="false">الإجابات!A128</f>
        <v>S126</v>
      </c>
      <c r="B128" s="9" t="n">
        <f aca="false">IF(الإجابات!B128=الإجابات!B$2,1,0)</f>
        <v>1</v>
      </c>
      <c r="C128" s="9" t="n">
        <f aca="false">IF(الإجابات!C128=الإجابات!C$2,1,0)</f>
        <v>1</v>
      </c>
      <c r="D128" s="9" t="n">
        <f aca="false">IF(الإجابات!D128=الإجابات!D$2,1,0)</f>
        <v>0</v>
      </c>
      <c r="E128" s="9" t="n">
        <f aca="false">IF(الإجابات!E128=الإجابات!E$2,1,0)</f>
        <v>1</v>
      </c>
      <c r="F128" s="9" t="n">
        <f aca="false">IF(الإجابات!F128=الإجابات!F$2,1,0)</f>
        <v>0</v>
      </c>
      <c r="G128" s="9" t="n">
        <f aca="false">IF(الإجابات!G128=الإجابات!G$2,1,0)</f>
        <v>1</v>
      </c>
      <c r="H128" s="9" t="n">
        <f aca="false">IF(الإجابات!H128=الإجابات!H$2,1,0)</f>
        <v>0</v>
      </c>
      <c r="I128" s="9" t="n">
        <f aca="false">IF(الإجابات!I128=الإجابات!I$2,1,0)</f>
        <v>1</v>
      </c>
      <c r="J128" s="9" t="n">
        <f aca="false">IF(الإجابات!J128=الإجابات!J$2,1,0)</f>
        <v>1</v>
      </c>
      <c r="K128" s="9" t="n">
        <f aca="false">IF(الإجابات!K128=الإجابات!K$2,1,0)</f>
        <v>1</v>
      </c>
      <c r="L128" s="9" t="n">
        <f aca="false">IF(الإجابات!L128=الإجابات!L$2,1,0)</f>
        <v>1</v>
      </c>
      <c r="M128" s="9" t="n">
        <f aca="false">IF(الإجابات!M128=الإجابات!M$2,1,0)</f>
        <v>1</v>
      </c>
      <c r="N128" s="9" t="n">
        <f aca="false">IF(الإجابات!N128=الإجابات!N$2,1,0)</f>
        <v>1</v>
      </c>
      <c r="O128" s="9" t="n">
        <f aca="false">IF(الإجابات!O128=الإجابات!O$2,1,0)</f>
        <v>1</v>
      </c>
      <c r="P128" s="9" t="n">
        <f aca="false">IF(الإجابات!P128=الإجابات!P$2,1,0)</f>
        <v>0</v>
      </c>
      <c r="Q128" s="9" t="n">
        <f aca="false">IF(الإجابات!Q128=الإجابات!Q$2,1,0)</f>
        <v>1</v>
      </c>
      <c r="R128" s="9" t="n">
        <f aca="false">IF(الإجابات!R128=الإجابات!R$2,1,0)</f>
        <v>1</v>
      </c>
      <c r="S128" s="9" t="n">
        <f aca="false">IF(الإجابات!S128=الإجابات!S$2,1,0)</f>
        <v>0</v>
      </c>
      <c r="T128" s="9" t="n">
        <f aca="false">IF(الإجابات!T128=الإجابات!T$2,1,0)</f>
        <v>1</v>
      </c>
      <c r="U128" s="9" t="n">
        <f aca="false">IF(الإجابات!U128=الإجابات!U$2,1,0)</f>
        <v>1</v>
      </c>
      <c r="V128" s="9" t="n">
        <f aca="false">IF(الإجابات!V128=الإجابات!V$2,1,0)</f>
        <v>1</v>
      </c>
      <c r="W128" s="9" t="n">
        <f aca="false">IF(الإجابات!W128=الإجابات!W$2,1,0)</f>
        <v>0</v>
      </c>
      <c r="X128" s="9" t="n">
        <f aca="false">IF(الإجابات!X128=الإجابات!X$2,1,0)</f>
        <v>1</v>
      </c>
      <c r="Y128" s="9" t="n">
        <f aca="false">IF(الإجابات!Y128=الإجابات!Y$2,1,0)</f>
        <v>1</v>
      </c>
      <c r="Z128" s="9" t="n">
        <f aca="false">IF(الإجابات!Z128=الإجابات!Z$2,1,0)</f>
        <v>1</v>
      </c>
      <c r="AA128" s="9" t="n">
        <f aca="false">IF(الإجابات!AA128=الإجابات!AA$2,1,0)</f>
        <v>0</v>
      </c>
      <c r="AB128" s="9" t="n">
        <f aca="false">IF(الإجابات!AB128=الإجابات!AB$2,1,0)</f>
        <v>0</v>
      </c>
      <c r="AC128" s="9" t="n">
        <f aca="false">IF(الإجابات!AC128=الإجابات!AC$2,1,0)</f>
        <v>1</v>
      </c>
      <c r="AD128" s="9" t="n">
        <f aca="false">IF(الإجابات!AD128=الإجابات!AD$2,1,0)</f>
        <v>1</v>
      </c>
      <c r="AE128" s="9" t="n">
        <f aca="false">IF(الإجابات!AE128=الإجابات!AE$2,1,0)</f>
        <v>1</v>
      </c>
      <c r="AF128" s="9" t="n">
        <f aca="false">SUM(B128:AE128)</f>
        <v>22</v>
      </c>
    </row>
    <row r="129" customFormat="false" ht="15" hidden="false" customHeight="false" outlineLevel="0" collapsed="false">
      <c r="A129" s="0" t="str">
        <f aca="false">الإجابات!A129</f>
        <v>S127</v>
      </c>
      <c r="B129" s="9" t="n">
        <f aca="false">IF(الإجابات!B129=الإجابات!B$2,1,0)</f>
        <v>0</v>
      </c>
      <c r="C129" s="9" t="n">
        <f aca="false">IF(الإجابات!C129=الإجابات!C$2,1,0)</f>
        <v>0</v>
      </c>
      <c r="D129" s="9" t="n">
        <f aca="false">IF(الإجابات!D129=الإجابات!D$2,1,0)</f>
        <v>0</v>
      </c>
      <c r="E129" s="9" t="n">
        <f aca="false">IF(الإجابات!E129=الإجابات!E$2,1,0)</f>
        <v>1</v>
      </c>
      <c r="F129" s="9" t="n">
        <f aca="false">IF(الإجابات!F129=الإجابات!F$2,1,0)</f>
        <v>1</v>
      </c>
      <c r="G129" s="9" t="n">
        <f aca="false">IF(الإجابات!G129=الإجابات!G$2,1,0)</f>
        <v>1</v>
      </c>
      <c r="H129" s="9" t="n">
        <f aca="false">IF(الإجابات!H129=الإجابات!H$2,1,0)</f>
        <v>0</v>
      </c>
      <c r="I129" s="9" t="n">
        <f aca="false">IF(الإجابات!I129=الإجابات!I$2,1,0)</f>
        <v>1</v>
      </c>
      <c r="J129" s="9" t="n">
        <f aca="false">IF(الإجابات!J129=الإجابات!J$2,1,0)</f>
        <v>1</v>
      </c>
      <c r="K129" s="9" t="n">
        <f aca="false">IF(الإجابات!K129=الإجابات!K$2,1,0)</f>
        <v>0</v>
      </c>
      <c r="L129" s="9" t="n">
        <f aca="false">IF(الإجابات!L129=الإجابات!L$2,1,0)</f>
        <v>1</v>
      </c>
      <c r="M129" s="9" t="n">
        <f aca="false">IF(الإجابات!M129=الإجابات!M$2,1,0)</f>
        <v>1</v>
      </c>
      <c r="N129" s="9" t="n">
        <f aca="false">IF(الإجابات!N129=الإجابات!N$2,1,0)</f>
        <v>0</v>
      </c>
      <c r="O129" s="9" t="n">
        <f aca="false">IF(الإجابات!O129=الإجابات!O$2,1,0)</f>
        <v>1</v>
      </c>
      <c r="P129" s="9" t="n">
        <f aca="false">IF(الإجابات!P129=الإجابات!P$2,1,0)</f>
        <v>1</v>
      </c>
      <c r="Q129" s="9" t="n">
        <f aca="false">IF(الإجابات!Q129=الإجابات!Q$2,1,0)</f>
        <v>1</v>
      </c>
      <c r="R129" s="9" t="n">
        <f aca="false">IF(الإجابات!R129=الإجابات!R$2,1,0)</f>
        <v>1</v>
      </c>
      <c r="S129" s="9" t="n">
        <f aca="false">IF(الإجابات!S129=الإجابات!S$2,1,0)</f>
        <v>0</v>
      </c>
      <c r="T129" s="9" t="n">
        <f aca="false">IF(الإجابات!T129=الإجابات!T$2,1,0)</f>
        <v>0</v>
      </c>
      <c r="U129" s="9" t="n">
        <f aca="false">IF(الإجابات!U129=الإجابات!U$2,1,0)</f>
        <v>0</v>
      </c>
      <c r="V129" s="9" t="n">
        <f aca="false">IF(الإجابات!V129=الإجابات!V$2,1,0)</f>
        <v>1</v>
      </c>
      <c r="W129" s="9" t="n">
        <f aca="false">IF(الإجابات!W129=الإجابات!W$2,1,0)</f>
        <v>1</v>
      </c>
      <c r="X129" s="9" t="n">
        <f aca="false">IF(الإجابات!X129=الإجابات!X$2,1,0)</f>
        <v>0</v>
      </c>
      <c r="Y129" s="9" t="n">
        <f aca="false">IF(الإجابات!Y129=الإجابات!Y$2,1,0)</f>
        <v>0</v>
      </c>
      <c r="Z129" s="9" t="n">
        <f aca="false">IF(الإجابات!Z129=الإجابات!Z$2,1,0)</f>
        <v>1</v>
      </c>
      <c r="AA129" s="9" t="n">
        <f aca="false">IF(الإجابات!AA129=الإجابات!AA$2,1,0)</f>
        <v>0</v>
      </c>
      <c r="AB129" s="9" t="n">
        <f aca="false">IF(الإجابات!AB129=الإجابات!AB$2,1,0)</f>
        <v>1</v>
      </c>
      <c r="AC129" s="9" t="n">
        <f aca="false">IF(الإجابات!AC129=الإجابات!AC$2,1,0)</f>
        <v>0</v>
      </c>
      <c r="AD129" s="9" t="n">
        <f aca="false">IF(الإجابات!AD129=الإجابات!AD$2,1,0)</f>
        <v>1</v>
      </c>
      <c r="AE129" s="9" t="n">
        <f aca="false">IF(الإجابات!AE129=الإجابات!AE$2,1,0)</f>
        <v>1</v>
      </c>
      <c r="AF129" s="9" t="n">
        <f aca="false">SUM(B129:AE129)</f>
        <v>17</v>
      </c>
    </row>
    <row r="130" customFormat="false" ht="15" hidden="false" customHeight="false" outlineLevel="0" collapsed="false">
      <c r="A130" s="0" t="str">
        <f aca="false">الإجابات!A130</f>
        <v>S128</v>
      </c>
      <c r="B130" s="9" t="n">
        <f aca="false">IF(الإجابات!B130=الإجابات!B$2,1,0)</f>
        <v>0</v>
      </c>
      <c r="C130" s="9" t="n">
        <f aca="false">IF(الإجابات!C130=الإجابات!C$2,1,0)</f>
        <v>1</v>
      </c>
      <c r="D130" s="9" t="n">
        <f aca="false">IF(الإجابات!D130=الإجابات!D$2,1,0)</f>
        <v>1</v>
      </c>
      <c r="E130" s="9" t="n">
        <f aca="false">IF(الإجابات!E130=الإجابات!E$2,1,0)</f>
        <v>1</v>
      </c>
      <c r="F130" s="9" t="n">
        <f aca="false">IF(الإجابات!F130=الإجابات!F$2,1,0)</f>
        <v>1</v>
      </c>
      <c r="G130" s="9" t="n">
        <f aca="false">IF(الإجابات!G130=الإجابات!G$2,1,0)</f>
        <v>1</v>
      </c>
      <c r="H130" s="9" t="n">
        <f aca="false">IF(الإجابات!H130=الإجابات!H$2,1,0)</f>
        <v>0</v>
      </c>
      <c r="I130" s="9" t="n">
        <f aca="false">IF(الإجابات!I130=الإجابات!I$2,1,0)</f>
        <v>1</v>
      </c>
      <c r="J130" s="9" t="n">
        <f aca="false">IF(الإجابات!J130=الإجابات!J$2,1,0)</f>
        <v>1</v>
      </c>
      <c r="K130" s="9" t="n">
        <f aca="false">IF(الإجابات!K130=الإجابات!K$2,1,0)</f>
        <v>1</v>
      </c>
      <c r="L130" s="9" t="n">
        <f aca="false">IF(الإجابات!L130=الإجابات!L$2,1,0)</f>
        <v>1</v>
      </c>
      <c r="M130" s="9" t="n">
        <f aca="false">IF(الإجابات!M130=الإجابات!M$2,1,0)</f>
        <v>1</v>
      </c>
      <c r="N130" s="9" t="n">
        <f aca="false">IF(الإجابات!N130=الإجابات!N$2,1,0)</f>
        <v>1</v>
      </c>
      <c r="O130" s="9" t="n">
        <f aca="false">IF(الإجابات!O130=الإجابات!O$2,1,0)</f>
        <v>1</v>
      </c>
      <c r="P130" s="9" t="n">
        <f aca="false">IF(الإجابات!P130=الإجابات!P$2,1,0)</f>
        <v>1</v>
      </c>
      <c r="Q130" s="9" t="n">
        <f aca="false">IF(الإجابات!Q130=الإجابات!Q$2,1,0)</f>
        <v>1</v>
      </c>
      <c r="R130" s="9" t="n">
        <f aca="false">IF(الإجابات!R130=الإجابات!R$2,1,0)</f>
        <v>1</v>
      </c>
      <c r="S130" s="9" t="n">
        <f aca="false">IF(الإجابات!S130=الإجابات!S$2,1,0)</f>
        <v>0</v>
      </c>
      <c r="T130" s="9" t="n">
        <f aca="false">IF(الإجابات!T130=الإجابات!T$2,1,0)</f>
        <v>1</v>
      </c>
      <c r="U130" s="9" t="n">
        <f aca="false">IF(الإجابات!U130=الإجابات!U$2,1,0)</f>
        <v>1</v>
      </c>
      <c r="V130" s="9" t="n">
        <f aca="false">IF(الإجابات!V130=الإجابات!V$2,1,0)</f>
        <v>1</v>
      </c>
      <c r="W130" s="9" t="n">
        <f aca="false">IF(الإجابات!W130=الإجابات!W$2,1,0)</f>
        <v>1</v>
      </c>
      <c r="X130" s="9" t="n">
        <f aca="false">IF(الإجابات!X130=الإجابات!X$2,1,0)</f>
        <v>1</v>
      </c>
      <c r="Y130" s="9" t="n">
        <f aca="false">IF(الإجابات!Y130=الإجابات!Y$2,1,0)</f>
        <v>1</v>
      </c>
      <c r="Z130" s="9" t="n">
        <f aca="false">IF(الإجابات!Z130=الإجابات!Z$2,1,0)</f>
        <v>1</v>
      </c>
      <c r="AA130" s="9" t="n">
        <f aca="false">IF(الإجابات!AA130=الإجابات!AA$2,1,0)</f>
        <v>1</v>
      </c>
      <c r="AB130" s="9" t="n">
        <f aca="false">IF(الإجابات!AB130=الإجابات!AB$2,1,0)</f>
        <v>1</v>
      </c>
      <c r="AC130" s="9" t="n">
        <f aca="false">IF(الإجابات!AC130=الإجابات!AC$2,1,0)</f>
        <v>1</v>
      </c>
      <c r="AD130" s="9" t="n">
        <f aca="false">IF(الإجابات!AD130=الإجابات!AD$2,1,0)</f>
        <v>1</v>
      </c>
      <c r="AE130" s="9" t="n">
        <f aca="false">IF(الإجابات!AE130=الإجابات!AE$2,1,0)</f>
        <v>1</v>
      </c>
      <c r="AF130" s="9" t="n">
        <f aca="false">SUM(B130:AE130)</f>
        <v>27</v>
      </c>
    </row>
    <row r="131" customFormat="false" ht="15" hidden="false" customHeight="false" outlineLevel="0" collapsed="false">
      <c r="A131" s="0" t="str">
        <f aca="false">الإجابات!A131</f>
        <v>S129</v>
      </c>
      <c r="B131" s="9" t="n">
        <f aca="false">IF(الإجابات!B131=الإجابات!B$2,1,0)</f>
        <v>0</v>
      </c>
      <c r="C131" s="9" t="n">
        <f aca="false">IF(الإجابات!C131=الإجابات!C$2,1,0)</f>
        <v>0</v>
      </c>
      <c r="D131" s="9" t="n">
        <f aca="false">IF(الإجابات!D131=الإجابات!D$2,1,0)</f>
        <v>0</v>
      </c>
      <c r="E131" s="9" t="n">
        <f aca="false">IF(الإجابات!E131=الإجابات!E$2,1,0)</f>
        <v>1</v>
      </c>
      <c r="F131" s="9" t="n">
        <f aca="false">IF(الإجابات!F131=الإجابات!F$2,1,0)</f>
        <v>1</v>
      </c>
      <c r="G131" s="9" t="n">
        <f aca="false">IF(الإجابات!G131=الإجابات!G$2,1,0)</f>
        <v>0</v>
      </c>
      <c r="H131" s="9" t="n">
        <f aca="false">IF(الإجابات!H131=الإجابات!H$2,1,0)</f>
        <v>1</v>
      </c>
      <c r="I131" s="9" t="n">
        <f aca="false">IF(الإجابات!I131=الإجابات!I$2,1,0)</f>
        <v>0</v>
      </c>
      <c r="J131" s="9" t="n">
        <f aca="false">IF(الإجابات!J131=الإجابات!J$2,1,0)</f>
        <v>1</v>
      </c>
      <c r="K131" s="9" t="n">
        <f aca="false">IF(الإجابات!K131=الإجابات!K$2,1,0)</f>
        <v>0</v>
      </c>
      <c r="L131" s="9" t="n">
        <f aca="false">IF(الإجابات!L131=الإجابات!L$2,1,0)</f>
        <v>1</v>
      </c>
      <c r="M131" s="9" t="n">
        <f aca="false">IF(الإجابات!M131=الإجابات!M$2,1,0)</f>
        <v>1</v>
      </c>
      <c r="N131" s="9" t="n">
        <f aca="false">IF(الإجابات!N131=الإجابات!N$2,1,0)</f>
        <v>0</v>
      </c>
      <c r="O131" s="9" t="n">
        <f aca="false">IF(الإجابات!O131=الإجابات!O$2,1,0)</f>
        <v>0</v>
      </c>
      <c r="P131" s="9" t="n">
        <f aca="false">IF(الإجابات!P131=الإجابات!P$2,1,0)</f>
        <v>1</v>
      </c>
      <c r="Q131" s="9" t="n">
        <f aca="false">IF(الإجابات!Q131=الإجابات!Q$2,1,0)</f>
        <v>1</v>
      </c>
      <c r="R131" s="9" t="n">
        <f aca="false">IF(الإجابات!R131=الإجابات!R$2,1,0)</f>
        <v>1</v>
      </c>
      <c r="S131" s="9" t="n">
        <f aca="false">IF(الإجابات!S131=الإجابات!S$2,1,0)</f>
        <v>0</v>
      </c>
      <c r="T131" s="9" t="n">
        <f aca="false">IF(الإجابات!T131=الإجابات!T$2,1,0)</f>
        <v>1</v>
      </c>
      <c r="U131" s="9" t="n">
        <f aca="false">IF(الإجابات!U131=الإجابات!U$2,1,0)</f>
        <v>0</v>
      </c>
      <c r="V131" s="9" t="n">
        <f aca="false">IF(الإجابات!V131=الإجابات!V$2,1,0)</f>
        <v>1</v>
      </c>
      <c r="W131" s="9" t="n">
        <f aca="false">IF(الإجابات!W131=الإجابات!W$2,1,0)</f>
        <v>0</v>
      </c>
      <c r="X131" s="9" t="n">
        <f aca="false">IF(الإجابات!X131=الإجابات!X$2,1,0)</f>
        <v>1</v>
      </c>
      <c r="Y131" s="9" t="n">
        <f aca="false">IF(الإجابات!Y131=الإجابات!Y$2,1,0)</f>
        <v>0</v>
      </c>
      <c r="Z131" s="9" t="n">
        <f aca="false">IF(الإجابات!Z131=الإجابات!Z$2,1,0)</f>
        <v>1</v>
      </c>
      <c r="AA131" s="9" t="n">
        <f aca="false">IF(الإجابات!AA131=الإجابات!AA$2,1,0)</f>
        <v>0</v>
      </c>
      <c r="AB131" s="9" t="n">
        <f aca="false">IF(الإجابات!AB131=الإجابات!AB$2,1,0)</f>
        <v>0</v>
      </c>
      <c r="AC131" s="9" t="n">
        <f aca="false">IF(الإجابات!AC131=الإجابات!AC$2,1,0)</f>
        <v>0</v>
      </c>
      <c r="AD131" s="9" t="n">
        <f aca="false">IF(الإجابات!AD131=الإجابات!AD$2,1,0)</f>
        <v>1</v>
      </c>
      <c r="AE131" s="9" t="n">
        <f aca="false">IF(الإجابات!AE131=الإجابات!AE$2,1,0)</f>
        <v>0</v>
      </c>
      <c r="AF131" s="9" t="n">
        <f aca="false">SUM(B131:AE131)</f>
        <v>14</v>
      </c>
    </row>
    <row r="132" customFormat="false" ht="15" hidden="false" customHeight="false" outlineLevel="0" collapsed="false">
      <c r="A132" s="0" t="str">
        <f aca="false">الإجابات!A132</f>
        <v>S130</v>
      </c>
      <c r="B132" s="9" t="n">
        <f aca="false">IF(الإجابات!B132=الإجابات!B$2,1,0)</f>
        <v>0</v>
      </c>
      <c r="C132" s="9" t="n">
        <f aca="false">IF(الإجابات!C132=الإجابات!C$2,1,0)</f>
        <v>0</v>
      </c>
      <c r="D132" s="9" t="n">
        <f aca="false">IF(الإجابات!D132=الإجابات!D$2,1,0)</f>
        <v>0</v>
      </c>
      <c r="E132" s="9" t="n">
        <f aca="false">IF(الإجابات!E132=الإجابات!E$2,1,0)</f>
        <v>1</v>
      </c>
      <c r="F132" s="9" t="n">
        <f aca="false">IF(الإجابات!F132=الإجابات!F$2,1,0)</f>
        <v>0</v>
      </c>
      <c r="G132" s="9" t="n">
        <f aca="false">IF(الإجابات!G132=الإجابات!G$2,1,0)</f>
        <v>1</v>
      </c>
      <c r="H132" s="9" t="n">
        <f aca="false">IF(الإجابات!H132=الإجابات!H$2,1,0)</f>
        <v>1</v>
      </c>
      <c r="I132" s="9" t="n">
        <f aca="false">IF(الإجابات!I132=الإجابات!I$2,1,0)</f>
        <v>0</v>
      </c>
      <c r="J132" s="9" t="n">
        <f aca="false">IF(الإجابات!J132=الإجابات!J$2,1,0)</f>
        <v>0</v>
      </c>
      <c r="K132" s="9" t="n">
        <f aca="false">IF(الإجابات!K132=الإجابات!K$2,1,0)</f>
        <v>1</v>
      </c>
      <c r="L132" s="9" t="n">
        <f aca="false">IF(الإجابات!L132=الإجابات!L$2,1,0)</f>
        <v>0</v>
      </c>
      <c r="M132" s="9" t="n">
        <f aca="false">IF(الإجابات!M132=الإجابات!M$2,1,0)</f>
        <v>1</v>
      </c>
      <c r="N132" s="9" t="n">
        <f aca="false">IF(الإجابات!N132=الإجابات!N$2,1,0)</f>
        <v>0</v>
      </c>
      <c r="O132" s="9" t="n">
        <f aca="false">IF(الإجابات!O132=الإجابات!O$2,1,0)</f>
        <v>0</v>
      </c>
      <c r="P132" s="9" t="n">
        <f aca="false">IF(الإجابات!P132=الإجابات!P$2,1,0)</f>
        <v>1</v>
      </c>
      <c r="Q132" s="9" t="n">
        <f aca="false">IF(الإجابات!Q132=الإجابات!Q$2,1,0)</f>
        <v>0</v>
      </c>
      <c r="R132" s="9" t="n">
        <f aca="false">IF(الإجابات!R132=الإجابات!R$2,1,0)</f>
        <v>1</v>
      </c>
      <c r="S132" s="9" t="n">
        <f aca="false">IF(الإجابات!S132=الإجابات!S$2,1,0)</f>
        <v>0</v>
      </c>
      <c r="T132" s="9" t="n">
        <f aca="false">IF(الإجابات!T132=الإجابات!T$2,1,0)</f>
        <v>0</v>
      </c>
      <c r="U132" s="9" t="n">
        <f aca="false">IF(الإجابات!U132=الإجابات!U$2,1,0)</f>
        <v>0</v>
      </c>
      <c r="V132" s="9" t="n">
        <f aca="false">IF(الإجابات!V132=الإجابات!V$2,1,0)</f>
        <v>0</v>
      </c>
      <c r="W132" s="9" t="n">
        <f aca="false">IF(الإجابات!W132=الإجابات!W$2,1,0)</f>
        <v>0</v>
      </c>
      <c r="X132" s="9" t="n">
        <f aca="false">IF(الإجابات!X132=الإجابات!X$2,1,0)</f>
        <v>0</v>
      </c>
      <c r="Y132" s="9" t="n">
        <f aca="false">IF(الإجابات!Y132=الإجابات!Y$2,1,0)</f>
        <v>0</v>
      </c>
      <c r="Z132" s="9" t="n">
        <f aca="false">IF(الإجابات!Z132=الإجابات!Z$2,1,0)</f>
        <v>0</v>
      </c>
      <c r="AA132" s="9" t="n">
        <f aca="false">IF(الإجابات!AA132=الإجابات!AA$2,1,0)</f>
        <v>0</v>
      </c>
      <c r="AB132" s="9" t="n">
        <f aca="false">IF(الإجابات!AB132=الإجابات!AB$2,1,0)</f>
        <v>1</v>
      </c>
      <c r="AC132" s="9" t="n">
        <f aca="false">IF(الإجابات!AC132=الإجابات!AC$2,1,0)</f>
        <v>1</v>
      </c>
      <c r="AD132" s="9" t="n">
        <f aca="false">IF(الإجابات!AD132=الإجابات!AD$2,1,0)</f>
        <v>0</v>
      </c>
      <c r="AE132" s="9" t="n">
        <f aca="false">IF(الإجابات!AE132=الإجابات!AE$2,1,0)</f>
        <v>0</v>
      </c>
      <c r="AF132" s="9" t="n">
        <f aca="false">SUM(B132:AE132)</f>
        <v>9</v>
      </c>
    </row>
    <row r="133" customFormat="false" ht="15" hidden="false" customHeight="false" outlineLevel="0" collapsed="false">
      <c r="A133" s="0" t="str">
        <f aca="false">الإجابات!A133</f>
        <v>S131</v>
      </c>
      <c r="B133" s="9" t="n">
        <f aca="false">IF(الإجابات!B133=الإجابات!B$2,1,0)</f>
        <v>0</v>
      </c>
      <c r="C133" s="9" t="n">
        <f aca="false">IF(الإجابات!C133=الإجابات!C$2,1,0)</f>
        <v>0</v>
      </c>
      <c r="D133" s="9" t="n">
        <f aca="false">IF(الإجابات!D133=الإجابات!D$2,1,0)</f>
        <v>0</v>
      </c>
      <c r="E133" s="9" t="n">
        <f aca="false">IF(الإجابات!E133=الإجابات!E$2,1,0)</f>
        <v>0</v>
      </c>
      <c r="F133" s="9" t="n">
        <f aca="false">IF(الإجابات!F133=الإجابات!F$2,1,0)</f>
        <v>0</v>
      </c>
      <c r="G133" s="9" t="n">
        <f aca="false">IF(الإجابات!G133=الإجابات!G$2,1,0)</f>
        <v>0</v>
      </c>
      <c r="H133" s="9" t="n">
        <f aca="false">IF(الإجابات!H133=الإجابات!H$2,1,0)</f>
        <v>1</v>
      </c>
      <c r="I133" s="9" t="n">
        <f aca="false">IF(الإجابات!I133=الإجابات!I$2,1,0)</f>
        <v>1</v>
      </c>
      <c r="J133" s="9" t="n">
        <f aca="false">IF(الإجابات!J133=الإجابات!J$2,1,0)</f>
        <v>1</v>
      </c>
      <c r="K133" s="9" t="n">
        <f aca="false">IF(الإجابات!K133=الإجابات!K$2,1,0)</f>
        <v>0</v>
      </c>
      <c r="L133" s="9" t="n">
        <f aca="false">IF(الإجابات!L133=الإجابات!L$2,1,0)</f>
        <v>1</v>
      </c>
      <c r="M133" s="9" t="n">
        <f aca="false">IF(الإجابات!M133=الإجابات!M$2,1,0)</f>
        <v>1</v>
      </c>
      <c r="N133" s="9" t="n">
        <f aca="false">IF(الإجابات!N133=الإجابات!N$2,1,0)</f>
        <v>0</v>
      </c>
      <c r="O133" s="9" t="n">
        <f aca="false">IF(الإجابات!O133=الإجابات!O$2,1,0)</f>
        <v>0</v>
      </c>
      <c r="P133" s="9" t="n">
        <f aca="false">IF(الإجابات!P133=الإجابات!P$2,1,0)</f>
        <v>0</v>
      </c>
      <c r="Q133" s="9" t="n">
        <f aca="false">IF(الإجابات!Q133=الإجابات!Q$2,1,0)</f>
        <v>0</v>
      </c>
      <c r="R133" s="9" t="n">
        <f aca="false">IF(الإجابات!R133=الإجابات!R$2,1,0)</f>
        <v>0</v>
      </c>
      <c r="S133" s="9" t="n">
        <f aca="false">IF(الإجابات!S133=الإجابات!S$2,1,0)</f>
        <v>0</v>
      </c>
      <c r="T133" s="9" t="n">
        <f aca="false">IF(الإجابات!T133=الإجابات!T$2,1,0)</f>
        <v>0</v>
      </c>
      <c r="U133" s="9" t="n">
        <f aca="false">IF(الإجابات!U133=الإجابات!U$2,1,0)</f>
        <v>0</v>
      </c>
      <c r="V133" s="9" t="n">
        <f aca="false">IF(الإجابات!V133=الإجابات!V$2,1,0)</f>
        <v>1</v>
      </c>
      <c r="W133" s="9" t="n">
        <f aca="false">IF(الإجابات!W133=الإجابات!W$2,1,0)</f>
        <v>0</v>
      </c>
      <c r="X133" s="9" t="n">
        <f aca="false">IF(الإجابات!X133=الإجابات!X$2,1,0)</f>
        <v>0</v>
      </c>
      <c r="Y133" s="9" t="n">
        <f aca="false">IF(الإجابات!Y133=الإجابات!Y$2,1,0)</f>
        <v>1</v>
      </c>
      <c r="Z133" s="9" t="n">
        <f aca="false">IF(الإجابات!Z133=الإجابات!Z$2,1,0)</f>
        <v>1</v>
      </c>
      <c r="AA133" s="9" t="n">
        <f aca="false">IF(الإجابات!AA133=الإجابات!AA$2,1,0)</f>
        <v>0</v>
      </c>
      <c r="AB133" s="9" t="n">
        <f aca="false">IF(الإجابات!AB133=الإجابات!AB$2,1,0)</f>
        <v>1</v>
      </c>
      <c r="AC133" s="9" t="n">
        <f aca="false">IF(الإجابات!AC133=الإجابات!AC$2,1,0)</f>
        <v>0</v>
      </c>
      <c r="AD133" s="9" t="n">
        <f aca="false">IF(الإجابات!AD133=الإجابات!AD$2,1,0)</f>
        <v>1</v>
      </c>
      <c r="AE133" s="9" t="n">
        <f aca="false">IF(الإجابات!AE133=الإجابات!AE$2,1,0)</f>
        <v>1</v>
      </c>
      <c r="AF133" s="9" t="n">
        <f aca="false">SUM(B133:AE133)</f>
        <v>11</v>
      </c>
    </row>
    <row r="134" customFormat="false" ht="15" hidden="false" customHeight="false" outlineLevel="0" collapsed="false">
      <c r="A134" s="0" t="str">
        <f aca="false">الإجابات!A134</f>
        <v>S132</v>
      </c>
      <c r="B134" s="9" t="n">
        <f aca="false">IF(الإجابات!B134=الإجابات!B$2,1,0)</f>
        <v>1</v>
      </c>
      <c r="C134" s="9" t="n">
        <f aca="false">IF(الإجابات!C134=الإجابات!C$2,1,0)</f>
        <v>0</v>
      </c>
      <c r="D134" s="9" t="n">
        <f aca="false">IF(الإجابات!D134=الإجابات!D$2,1,0)</f>
        <v>1</v>
      </c>
      <c r="E134" s="9" t="n">
        <f aca="false">IF(الإجابات!E134=الإجابات!E$2,1,0)</f>
        <v>0</v>
      </c>
      <c r="F134" s="9" t="n">
        <f aca="false">IF(الإجابات!F134=الإجابات!F$2,1,0)</f>
        <v>1</v>
      </c>
      <c r="G134" s="9" t="n">
        <f aca="false">IF(الإجابات!G134=الإجابات!G$2,1,0)</f>
        <v>1</v>
      </c>
      <c r="H134" s="9" t="n">
        <f aca="false">IF(الإجابات!H134=الإجابات!H$2,1,0)</f>
        <v>1</v>
      </c>
      <c r="I134" s="9" t="n">
        <f aca="false">IF(الإجابات!I134=الإجابات!I$2,1,0)</f>
        <v>1</v>
      </c>
      <c r="J134" s="9" t="n">
        <f aca="false">IF(الإجابات!J134=الإجابات!J$2,1,0)</f>
        <v>1</v>
      </c>
      <c r="K134" s="9" t="n">
        <f aca="false">IF(الإجابات!K134=الإجابات!K$2,1,0)</f>
        <v>1</v>
      </c>
      <c r="L134" s="9" t="n">
        <f aca="false">IF(الإجابات!L134=الإجابات!L$2,1,0)</f>
        <v>0</v>
      </c>
      <c r="M134" s="9" t="n">
        <f aca="false">IF(الإجابات!M134=الإجابات!M$2,1,0)</f>
        <v>1</v>
      </c>
      <c r="N134" s="9" t="n">
        <f aca="false">IF(الإجابات!N134=الإجابات!N$2,1,0)</f>
        <v>0</v>
      </c>
      <c r="O134" s="9" t="n">
        <f aca="false">IF(الإجابات!O134=الإجابات!O$2,1,0)</f>
        <v>1</v>
      </c>
      <c r="P134" s="9" t="n">
        <f aca="false">IF(الإجابات!P134=الإجابات!P$2,1,0)</f>
        <v>1</v>
      </c>
      <c r="Q134" s="9" t="n">
        <f aca="false">IF(الإجابات!Q134=الإجابات!Q$2,1,0)</f>
        <v>1</v>
      </c>
      <c r="R134" s="9" t="n">
        <f aca="false">IF(الإجابات!R134=الإجابات!R$2,1,0)</f>
        <v>1</v>
      </c>
      <c r="S134" s="9" t="n">
        <f aca="false">IF(الإجابات!S134=الإجابات!S$2,1,0)</f>
        <v>0</v>
      </c>
      <c r="T134" s="9" t="n">
        <f aca="false">IF(الإجابات!T134=الإجابات!T$2,1,0)</f>
        <v>1</v>
      </c>
      <c r="U134" s="9" t="n">
        <f aca="false">IF(الإجابات!U134=الإجابات!U$2,1,0)</f>
        <v>0</v>
      </c>
      <c r="V134" s="9" t="n">
        <f aca="false">IF(الإجابات!V134=الإجابات!V$2,1,0)</f>
        <v>1</v>
      </c>
      <c r="W134" s="9" t="n">
        <f aca="false">IF(الإجابات!W134=الإجابات!W$2,1,0)</f>
        <v>1</v>
      </c>
      <c r="X134" s="9" t="n">
        <f aca="false">IF(الإجابات!X134=الإجابات!X$2,1,0)</f>
        <v>0</v>
      </c>
      <c r="Y134" s="9" t="n">
        <f aca="false">IF(الإجابات!Y134=الإجابات!Y$2,1,0)</f>
        <v>0</v>
      </c>
      <c r="Z134" s="9" t="n">
        <f aca="false">IF(الإجابات!Z134=الإجابات!Z$2,1,0)</f>
        <v>0</v>
      </c>
      <c r="AA134" s="9" t="n">
        <f aca="false">IF(الإجابات!AA134=الإجابات!AA$2,1,0)</f>
        <v>0</v>
      </c>
      <c r="AB134" s="9" t="n">
        <f aca="false">IF(الإجابات!AB134=الإجابات!AB$2,1,0)</f>
        <v>1</v>
      </c>
      <c r="AC134" s="9" t="n">
        <f aca="false">IF(الإجابات!AC134=الإجابات!AC$2,1,0)</f>
        <v>0</v>
      </c>
      <c r="AD134" s="9" t="n">
        <f aca="false">IF(الإجابات!AD134=الإجابات!AD$2,1,0)</f>
        <v>0</v>
      </c>
      <c r="AE134" s="9" t="n">
        <f aca="false">IF(الإجابات!AE134=الإجابات!AE$2,1,0)</f>
        <v>0</v>
      </c>
      <c r="AF134" s="9" t="n">
        <f aca="false">SUM(B134:AE134)</f>
        <v>17</v>
      </c>
    </row>
    <row r="135" customFormat="false" ht="15" hidden="false" customHeight="false" outlineLevel="0" collapsed="false">
      <c r="A135" s="0" t="str">
        <f aca="false">الإجابات!A135</f>
        <v>S133</v>
      </c>
      <c r="B135" s="9" t="n">
        <f aca="false">IF(الإجابات!B135=الإجابات!B$2,1,0)</f>
        <v>1</v>
      </c>
      <c r="C135" s="9" t="n">
        <f aca="false">IF(الإجابات!C135=الإجابات!C$2,1,0)</f>
        <v>1</v>
      </c>
      <c r="D135" s="9" t="n">
        <f aca="false">IF(الإجابات!D135=الإجابات!D$2,1,0)</f>
        <v>0</v>
      </c>
      <c r="E135" s="9" t="n">
        <f aca="false">IF(الإجابات!E135=الإجابات!E$2,1,0)</f>
        <v>1</v>
      </c>
      <c r="F135" s="9" t="n">
        <f aca="false">IF(الإجابات!F135=الإجابات!F$2,1,0)</f>
        <v>1</v>
      </c>
      <c r="G135" s="9" t="n">
        <f aca="false">IF(الإجابات!G135=الإجابات!G$2,1,0)</f>
        <v>0</v>
      </c>
      <c r="H135" s="9" t="n">
        <f aca="false">IF(الإجابات!H135=الإجابات!H$2,1,0)</f>
        <v>0</v>
      </c>
      <c r="I135" s="9" t="n">
        <f aca="false">IF(الإجابات!I135=الإجابات!I$2,1,0)</f>
        <v>1</v>
      </c>
      <c r="J135" s="9" t="n">
        <f aca="false">IF(الإجابات!J135=الإجابات!J$2,1,0)</f>
        <v>1</v>
      </c>
      <c r="K135" s="9" t="n">
        <f aca="false">IF(الإجابات!K135=الإجابات!K$2,1,0)</f>
        <v>1</v>
      </c>
      <c r="L135" s="9" t="n">
        <f aca="false">IF(الإجابات!L135=الإجابات!L$2,1,0)</f>
        <v>1</v>
      </c>
      <c r="M135" s="9" t="n">
        <f aca="false">IF(الإجابات!M135=الإجابات!M$2,1,0)</f>
        <v>1</v>
      </c>
      <c r="N135" s="9" t="n">
        <f aca="false">IF(الإجابات!N135=الإجابات!N$2,1,0)</f>
        <v>0</v>
      </c>
      <c r="O135" s="9" t="n">
        <f aca="false">IF(الإجابات!O135=الإجابات!O$2,1,0)</f>
        <v>0</v>
      </c>
      <c r="P135" s="9" t="n">
        <f aca="false">IF(الإجابات!P135=الإجابات!P$2,1,0)</f>
        <v>0</v>
      </c>
      <c r="Q135" s="9" t="n">
        <f aca="false">IF(الإجابات!Q135=الإجابات!Q$2,1,0)</f>
        <v>1</v>
      </c>
      <c r="R135" s="9" t="n">
        <f aca="false">IF(الإجابات!R135=الإجابات!R$2,1,0)</f>
        <v>1</v>
      </c>
      <c r="S135" s="9" t="n">
        <f aca="false">IF(الإجابات!S135=الإجابات!S$2,1,0)</f>
        <v>0</v>
      </c>
      <c r="T135" s="9" t="n">
        <f aca="false">IF(الإجابات!T135=الإجابات!T$2,1,0)</f>
        <v>1</v>
      </c>
      <c r="U135" s="9" t="n">
        <f aca="false">IF(الإجابات!U135=الإجابات!U$2,1,0)</f>
        <v>1</v>
      </c>
      <c r="V135" s="9" t="n">
        <f aca="false">IF(الإجابات!V135=الإجابات!V$2,1,0)</f>
        <v>0</v>
      </c>
      <c r="W135" s="9" t="n">
        <f aca="false">IF(الإجابات!W135=الإجابات!W$2,1,0)</f>
        <v>0</v>
      </c>
      <c r="X135" s="9" t="n">
        <f aca="false">IF(الإجابات!X135=الإجابات!X$2,1,0)</f>
        <v>1</v>
      </c>
      <c r="Y135" s="9" t="n">
        <f aca="false">IF(الإجابات!Y135=الإجابات!Y$2,1,0)</f>
        <v>1</v>
      </c>
      <c r="Z135" s="9" t="n">
        <f aca="false">IF(الإجابات!Z135=الإجابات!Z$2,1,0)</f>
        <v>1</v>
      </c>
      <c r="AA135" s="9" t="n">
        <f aca="false">IF(الإجابات!AA135=الإجابات!AA$2,1,0)</f>
        <v>0</v>
      </c>
      <c r="AB135" s="9" t="n">
        <f aca="false">IF(الإجابات!AB135=الإجابات!AB$2,1,0)</f>
        <v>1</v>
      </c>
      <c r="AC135" s="9" t="n">
        <f aca="false">IF(الإجابات!AC135=الإجابات!AC$2,1,0)</f>
        <v>1</v>
      </c>
      <c r="AD135" s="9" t="n">
        <f aca="false">IF(الإجابات!AD135=الإجابات!AD$2,1,0)</f>
        <v>1</v>
      </c>
      <c r="AE135" s="9" t="n">
        <f aca="false">IF(الإجابات!AE135=الإجابات!AE$2,1,0)</f>
        <v>1</v>
      </c>
      <c r="AF135" s="9" t="n">
        <f aca="false">SUM(B135:AE135)</f>
        <v>20</v>
      </c>
    </row>
    <row r="136" customFormat="false" ht="15" hidden="false" customHeight="false" outlineLevel="0" collapsed="false">
      <c r="A136" s="0" t="str">
        <f aca="false">الإجابات!A136</f>
        <v>S134</v>
      </c>
      <c r="B136" s="9" t="n">
        <f aca="false">IF(الإجابات!B136=الإجابات!B$2,1,0)</f>
        <v>1</v>
      </c>
      <c r="C136" s="9" t="n">
        <f aca="false">IF(الإجابات!C136=الإجابات!C$2,1,0)</f>
        <v>0</v>
      </c>
      <c r="D136" s="9" t="n">
        <f aca="false">IF(الإجابات!D136=الإجابات!D$2,1,0)</f>
        <v>0</v>
      </c>
      <c r="E136" s="9" t="n">
        <f aca="false">IF(الإجابات!E136=الإجابات!E$2,1,0)</f>
        <v>0</v>
      </c>
      <c r="F136" s="9" t="n">
        <f aca="false">IF(الإجابات!F136=الإجابات!F$2,1,0)</f>
        <v>1</v>
      </c>
      <c r="G136" s="9" t="n">
        <f aca="false">IF(الإجابات!G136=الإجابات!G$2,1,0)</f>
        <v>1</v>
      </c>
      <c r="H136" s="9" t="n">
        <f aca="false">IF(الإجابات!H136=الإجابات!H$2,1,0)</f>
        <v>1</v>
      </c>
      <c r="I136" s="9" t="n">
        <f aca="false">IF(الإجابات!I136=الإجابات!I$2,1,0)</f>
        <v>0</v>
      </c>
      <c r="J136" s="9" t="n">
        <f aca="false">IF(الإجابات!J136=الإجابات!J$2,1,0)</f>
        <v>1</v>
      </c>
      <c r="K136" s="9" t="n">
        <f aca="false">IF(الإجابات!K136=الإجابات!K$2,1,0)</f>
        <v>1</v>
      </c>
      <c r="L136" s="9" t="n">
        <f aca="false">IF(الإجابات!L136=الإجابات!L$2,1,0)</f>
        <v>1</v>
      </c>
      <c r="M136" s="9" t="n">
        <f aca="false">IF(الإجابات!M136=الإجابات!M$2,1,0)</f>
        <v>1</v>
      </c>
      <c r="N136" s="9" t="n">
        <f aca="false">IF(الإجابات!N136=الإجابات!N$2,1,0)</f>
        <v>0</v>
      </c>
      <c r="O136" s="9" t="n">
        <f aca="false">IF(الإجابات!O136=الإجابات!O$2,1,0)</f>
        <v>0</v>
      </c>
      <c r="P136" s="9" t="n">
        <f aca="false">IF(الإجابات!P136=الإجابات!P$2,1,0)</f>
        <v>0</v>
      </c>
      <c r="Q136" s="9" t="n">
        <f aca="false">IF(الإجابات!Q136=الإجابات!Q$2,1,0)</f>
        <v>1</v>
      </c>
      <c r="R136" s="9" t="n">
        <f aca="false">IF(الإجابات!R136=الإجابات!R$2,1,0)</f>
        <v>0</v>
      </c>
      <c r="S136" s="9" t="n">
        <f aca="false">IF(الإجابات!S136=الإجابات!S$2,1,0)</f>
        <v>0</v>
      </c>
      <c r="T136" s="9" t="n">
        <f aca="false">IF(الإجابات!T136=الإجابات!T$2,1,0)</f>
        <v>0</v>
      </c>
      <c r="U136" s="9" t="n">
        <f aca="false">IF(الإجابات!U136=الإجابات!U$2,1,0)</f>
        <v>0</v>
      </c>
      <c r="V136" s="9" t="n">
        <f aca="false">IF(الإجابات!V136=الإجابات!V$2,1,0)</f>
        <v>0</v>
      </c>
      <c r="W136" s="9" t="n">
        <f aca="false">IF(الإجابات!W136=الإجابات!W$2,1,0)</f>
        <v>0</v>
      </c>
      <c r="X136" s="9" t="n">
        <f aca="false">IF(الإجابات!X136=الإجابات!X$2,1,0)</f>
        <v>0</v>
      </c>
      <c r="Y136" s="9" t="n">
        <f aca="false">IF(الإجابات!Y136=الإجابات!Y$2,1,0)</f>
        <v>0</v>
      </c>
      <c r="Z136" s="9" t="n">
        <f aca="false">IF(الإجابات!Z136=الإجابات!Z$2,1,0)</f>
        <v>1</v>
      </c>
      <c r="AA136" s="9" t="n">
        <f aca="false">IF(الإجابات!AA136=الإجابات!AA$2,1,0)</f>
        <v>0</v>
      </c>
      <c r="AB136" s="9" t="n">
        <f aca="false">IF(الإجابات!AB136=الإجابات!AB$2,1,0)</f>
        <v>1</v>
      </c>
      <c r="AC136" s="9" t="n">
        <f aca="false">IF(الإجابات!AC136=الإجابات!AC$2,1,0)</f>
        <v>1</v>
      </c>
      <c r="AD136" s="9" t="n">
        <f aca="false">IF(الإجابات!AD136=الإجابات!AD$2,1,0)</f>
        <v>1</v>
      </c>
      <c r="AE136" s="9" t="n">
        <f aca="false">IF(الإجابات!AE136=الإجابات!AE$2,1,0)</f>
        <v>1</v>
      </c>
      <c r="AF136" s="9" t="n">
        <f aca="false">SUM(B136:AE136)</f>
        <v>14</v>
      </c>
    </row>
    <row r="137" customFormat="false" ht="15" hidden="false" customHeight="false" outlineLevel="0" collapsed="false">
      <c r="A137" s="0" t="str">
        <f aca="false">الإجابات!A137</f>
        <v>S135</v>
      </c>
      <c r="B137" s="9" t="n">
        <f aca="false">IF(الإجابات!B137=الإجابات!B$2,1,0)</f>
        <v>0</v>
      </c>
      <c r="C137" s="9" t="n">
        <f aca="false">IF(الإجابات!C137=الإجابات!C$2,1,0)</f>
        <v>0</v>
      </c>
      <c r="D137" s="9" t="n">
        <f aca="false">IF(الإجابات!D137=الإجابات!D$2,1,0)</f>
        <v>0</v>
      </c>
      <c r="E137" s="9" t="n">
        <f aca="false">IF(الإجابات!E137=الإجابات!E$2,1,0)</f>
        <v>1</v>
      </c>
      <c r="F137" s="9" t="n">
        <f aca="false">IF(الإجابات!F137=الإجابات!F$2,1,0)</f>
        <v>0</v>
      </c>
      <c r="G137" s="9" t="n">
        <f aca="false">IF(الإجابات!G137=الإجابات!G$2,1,0)</f>
        <v>0</v>
      </c>
      <c r="H137" s="9" t="n">
        <f aca="false">IF(الإجابات!H137=الإجابات!H$2,1,0)</f>
        <v>0</v>
      </c>
      <c r="I137" s="9" t="n">
        <f aca="false">IF(الإجابات!I137=الإجابات!I$2,1,0)</f>
        <v>1</v>
      </c>
      <c r="J137" s="9" t="n">
        <f aca="false">IF(الإجابات!J137=الإجابات!J$2,1,0)</f>
        <v>0</v>
      </c>
      <c r="K137" s="9" t="n">
        <f aca="false">IF(الإجابات!K137=الإجابات!K$2,1,0)</f>
        <v>0</v>
      </c>
      <c r="L137" s="9" t="n">
        <f aca="false">IF(الإجابات!L137=الإجابات!L$2,1,0)</f>
        <v>0</v>
      </c>
      <c r="M137" s="9" t="n">
        <f aca="false">IF(الإجابات!M137=الإجابات!M$2,1,0)</f>
        <v>1</v>
      </c>
      <c r="N137" s="9" t="n">
        <f aca="false">IF(الإجابات!N137=الإجابات!N$2,1,0)</f>
        <v>0</v>
      </c>
      <c r="O137" s="9" t="n">
        <f aca="false">IF(الإجابات!O137=الإجابات!O$2,1,0)</f>
        <v>0</v>
      </c>
      <c r="P137" s="9" t="n">
        <f aca="false">IF(الإجابات!P137=الإجابات!P$2,1,0)</f>
        <v>0</v>
      </c>
      <c r="Q137" s="9" t="n">
        <f aca="false">IF(الإجابات!Q137=الإجابات!Q$2,1,0)</f>
        <v>0</v>
      </c>
      <c r="R137" s="9" t="n">
        <f aca="false">IF(الإجابات!R137=الإجابات!R$2,1,0)</f>
        <v>1</v>
      </c>
      <c r="S137" s="9" t="n">
        <f aca="false">IF(الإجابات!S137=الإجابات!S$2,1,0)</f>
        <v>1</v>
      </c>
      <c r="T137" s="9" t="n">
        <f aca="false">IF(الإجابات!T137=الإجابات!T$2,1,0)</f>
        <v>1</v>
      </c>
      <c r="U137" s="9" t="n">
        <f aca="false">IF(الإجابات!U137=الإجابات!U$2,1,0)</f>
        <v>0</v>
      </c>
      <c r="V137" s="9" t="n">
        <f aca="false">IF(الإجابات!V137=الإجابات!V$2,1,0)</f>
        <v>0</v>
      </c>
      <c r="W137" s="9" t="n">
        <f aca="false">IF(الإجابات!W137=الإجابات!W$2,1,0)</f>
        <v>0</v>
      </c>
      <c r="X137" s="9" t="n">
        <f aca="false">IF(الإجابات!X137=الإجابات!X$2,1,0)</f>
        <v>0</v>
      </c>
      <c r="Y137" s="9" t="n">
        <f aca="false">IF(الإجابات!Y137=الإجابات!Y$2,1,0)</f>
        <v>0</v>
      </c>
      <c r="Z137" s="9" t="n">
        <f aca="false">IF(الإجابات!Z137=الإجابات!Z$2,1,0)</f>
        <v>0</v>
      </c>
      <c r="AA137" s="9" t="n">
        <f aca="false">IF(الإجابات!AA137=الإجابات!AA$2,1,0)</f>
        <v>0</v>
      </c>
      <c r="AB137" s="9" t="n">
        <f aca="false">IF(الإجابات!AB137=الإجابات!AB$2,1,0)</f>
        <v>1</v>
      </c>
      <c r="AC137" s="9" t="n">
        <f aca="false">IF(الإجابات!AC137=الإجابات!AC$2,1,0)</f>
        <v>0</v>
      </c>
      <c r="AD137" s="9" t="n">
        <f aca="false">IF(الإجابات!AD137=الإجابات!AD$2,1,0)</f>
        <v>0</v>
      </c>
      <c r="AE137" s="9" t="n">
        <f aca="false">IF(الإجابات!AE137=الإجابات!AE$2,1,0)</f>
        <v>0</v>
      </c>
      <c r="AF137" s="9" t="n">
        <f aca="false">SUM(B137:AE137)</f>
        <v>7</v>
      </c>
    </row>
    <row r="138" customFormat="false" ht="15" hidden="false" customHeight="false" outlineLevel="0" collapsed="false">
      <c r="A138" s="0" t="str">
        <f aca="false">الإجابات!A138</f>
        <v>S136</v>
      </c>
      <c r="B138" s="9" t="n">
        <f aca="false">IF(الإجابات!B138=الإجابات!B$2,1,0)</f>
        <v>1</v>
      </c>
      <c r="C138" s="9" t="n">
        <f aca="false">IF(الإجابات!C138=الإجابات!C$2,1,0)</f>
        <v>1</v>
      </c>
      <c r="D138" s="9" t="n">
        <f aca="false">IF(الإجابات!D138=الإجابات!D$2,1,0)</f>
        <v>1</v>
      </c>
      <c r="E138" s="9" t="n">
        <f aca="false">IF(الإجابات!E138=الإجابات!E$2,1,0)</f>
        <v>1</v>
      </c>
      <c r="F138" s="9" t="n">
        <f aca="false">IF(الإجابات!F138=الإجابات!F$2,1,0)</f>
        <v>1</v>
      </c>
      <c r="G138" s="9" t="n">
        <f aca="false">IF(الإجابات!G138=الإجابات!G$2,1,0)</f>
        <v>1</v>
      </c>
      <c r="H138" s="9" t="n">
        <f aca="false">IF(الإجابات!H138=الإجابات!H$2,1,0)</f>
        <v>0</v>
      </c>
      <c r="I138" s="9" t="n">
        <f aca="false">IF(الإجابات!I138=الإجابات!I$2,1,0)</f>
        <v>1</v>
      </c>
      <c r="J138" s="9" t="n">
        <f aca="false">IF(الإجابات!J138=الإجابات!J$2,1,0)</f>
        <v>1</v>
      </c>
      <c r="K138" s="9" t="n">
        <f aca="false">IF(الإجابات!K138=الإجابات!K$2,1,0)</f>
        <v>1</v>
      </c>
      <c r="L138" s="9" t="n">
        <f aca="false">IF(الإجابات!L138=الإجابات!L$2,1,0)</f>
        <v>1</v>
      </c>
      <c r="M138" s="9" t="n">
        <f aca="false">IF(الإجابات!M138=الإجابات!M$2,1,0)</f>
        <v>1</v>
      </c>
      <c r="N138" s="9" t="n">
        <f aca="false">IF(الإجابات!N138=الإجابات!N$2,1,0)</f>
        <v>1</v>
      </c>
      <c r="O138" s="9" t="n">
        <f aca="false">IF(الإجابات!O138=الإجابات!O$2,1,0)</f>
        <v>1</v>
      </c>
      <c r="P138" s="9" t="n">
        <f aca="false">IF(الإجابات!P138=الإجابات!P$2,1,0)</f>
        <v>0</v>
      </c>
      <c r="Q138" s="9" t="n">
        <f aca="false">IF(الإجابات!Q138=الإجابات!Q$2,1,0)</f>
        <v>1</v>
      </c>
      <c r="R138" s="9" t="n">
        <f aca="false">IF(الإجابات!R138=الإجابات!R$2,1,0)</f>
        <v>1</v>
      </c>
      <c r="S138" s="9" t="n">
        <f aca="false">IF(الإجابات!S138=الإجابات!S$2,1,0)</f>
        <v>1</v>
      </c>
      <c r="T138" s="9" t="n">
        <f aca="false">IF(الإجابات!T138=الإجابات!T$2,1,0)</f>
        <v>1</v>
      </c>
      <c r="U138" s="9" t="n">
        <f aca="false">IF(الإجابات!U138=الإجابات!U$2,1,0)</f>
        <v>1</v>
      </c>
      <c r="V138" s="9" t="n">
        <f aca="false">IF(الإجابات!V138=الإجابات!V$2,1,0)</f>
        <v>1</v>
      </c>
      <c r="W138" s="9" t="n">
        <f aca="false">IF(الإجابات!W138=الإجابات!W$2,1,0)</f>
        <v>1</v>
      </c>
      <c r="X138" s="9" t="n">
        <f aca="false">IF(الإجابات!X138=الإجابات!X$2,1,0)</f>
        <v>1</v>
      </c>
      <c r="Y138" s="9" t="n">
        <f aca="false">IF(الإجابات!Y138=الإجابات!Y$2,1,0)</f>
        <v>1</v>
      </c>
      <c r="Z138" s="9" t="n">
        <f aca="false">IF(الإجابات!Z138=الإجابات!Z$2,1,0)</f>
        <v>1</v>
      </c>
      <c r="AA138" s="9" t="n">
        <f aca="false">IF(الإجابات!AA138=الإجابات!AA$2,1,0)</f>
        <v>1</v>
      </c>
      <c r="AB138" s="9" t="n">
        <f aca="false">IF(الإجابات!AB138=الإجابات!AB$2,1,0)</f>
        <v>1</v>
      </c>
      <c r="AC138" s="9" t="n">
        <f aca="false">IF(الإجابات!AC138=الإجابات!AC$2,1,0)</f>
        <v>1</v>
      </c>
      <c r="AD138" s="9" t="n">
        <f aca="false">IF(الإجابات!AD138=الإجابات!AD$2,1,0)</f>
        <v>1</v>
      </c>
      <c r="AE138" s="9" t="n">
        <f aca="false">IF(الإجابات!AE138=الإجابات!AE$2,1,0)</f>
        <v>1</v>
      </c>
      <c r="AF138" s="9" t="n">
        <f aca="false">SUM(B138:AE138)</f>
        <v>28</v>
      </c>
    </row>
    <row r="139" customFormat="false" ht="15" hidden="false" customHeight="false" outlineLevel="0" collapsed="false">
      <c r="A139" s="0" t="str">
        <f aca="false">الإجابات!A139</f>
        <v>S137</v>
      </c>
      <c r="B139" s="9" t="n">
        <f aca="false">IF(الإجابات!B139=الإجابات!B$2,1,0)</f>
        <v>0</v>
      </c>
      <c r="C139" s="9" t="n">
        <f aca="false">IF(الإجابات!C139=الإجابات!C$2,1,0)</f>
        <v>1</v>
      </c>
      <c r="D139" s="9" t="n">
        <f aca="false">IF(الإجابات!D139=الإجابات!D$2,1,0)</f>
        <v>1</v>
      </c>
      <c r="E139" s="9" t="n">
        <f aca="false">IF(الإجابات!E139=الإجابات!E$2,1,0)</f>
        <v>1</v>
      </c>
      <c r="F139" s="9" t="n">
        <f aca="false">IF(الإجابات!F139=الإجابات!F$2,1,0)</f>
        <v>0</v>
      </c>
      <c r="G139" s="9" t="n">
        <f aca="false">IF(الإجابات!G139=الإجابات!G$2,1,0)</f>
        <v>1</v>
      </c>
      <c r="H139" s="9" t="n">
        <f aca="false">IF(الإجابات!H139=الإجابات!H$2,1,0)</f>
        <v>0</v>
      </c>
      <c r="I139" s="9" t="n">
        <f aca="false">IF(الإجابات!I139=الإجابات!I$2,1,0)</f>
        <v>0</v>
      </c>
      <c r="J139" s="9" t="n">
        <f aca="false">IF(الإجابات!J139=الإجابات!J$2,1,0)</f>
        <v>1</v>
      </c>
      <c r="K139" s="9" t="n">
        <f aca="false">IF(الإجابات!K139=الإجابات!K$2,1,0)</f>
        <v>1</v>
      </c>
      <c r="L139" s="9" t="n">
        <f aca="false">IF(الإجابات!L139=الإجابات!L$2,1,0)</f>
        <v>1</v>
      </c>
      <c r="M139" s="9" t="n">
        <f aca="false">IF(الإجابات!M139=الإجابات!M$2,1,0)</f>
        <v>1</v>
      </c>
      <c r="N139" s="9" t="n">
        <f aca="false">IF(الإجابات!N139=الإجابات!N$2,1,0)</f>
        <v>1</v>
      </c>
      <c r="O139" s="9" t="n">
        <f aca="false">IF(الإجابات!O139=الإجابات!O$2,1,0)</f>
        <v>1</v>
      </c>
      <c r="P139" s="9" t="n">
        <f aca="false">IF(الإجابات!P139=الإجابات!P$2,1,0)</f>
        <v>1</v>
      </c>
      <c r="Q139" s="9" t="n">
        <f aca="false">IF(الإجابات!Q139=الإجابات!Q$2,1,0)</f>
        <v>1</v>
      </c>
      <c r="R139" s="9" t="n">
        <f aca="false">IF(الإجابات!R139=الإجابات!R$2,1,0)</f>
        <v>1</v>
      </c>
      <c r="S139" s="9" t="n">
        <f aca="false">IF(الإجابات!S139=الإجابات!S$2,1,0)</f>
        <v>1</v>
      </c>
      <c r="T139" s="9" t="n">
        <f aca="false">IF(الإجابات!T139=الإجابات!T$2,1,0)</f>
        <v>1</v>
      </c>
      <c r="U139" s="9" t="n">
        <f aca="false">IF(الإجابات!U139=الإجابات!U$2,1,0)</f>
        <v>1</v>
      </c>
      <c r="V139" s="9" t="n">
        <f aca="false">IF(الإجابات!V139=الإجابات!V$2,1,0)</f>
        <v>1</v>
      </c>
      <c r="W139" s="9" t="n">
        <f aca="false">IF(الإجابات!W139=الإجابات!W$2,1,0)</f>
        <v>1</v>
      </c>
      <c r="X139" s="9" t="n">
        <f aca="false">IF(الإجابات!X139=الإجابات!X$2,1,0)</f>
        <v>1</v>
      </c>
      <c r="Y139" s="9" t="n">
        <f aca="false">IF(الإجابات!Y139=الإجابات!Y$2,1,0)</f>
        <v>1</v>
      </c>
      <c r="Z139" s="9" t="n">
        <f aca="false">IF(الإجابات!Z139=الإجابات!Z$2,1,0)</f>
        <v>1</v>
      </c>
      <c r="AA139" s="9" t="n">
        <f aca="false">IF(الإجابات!AA139=الإجابات!AA$2,1,0)</f>
        <v>1</v>
      </c>
      <c r="AB139" s="9" t="n">
        <f aca="false">IF(الإجابات!AB139=الإجابات!AB$2,1,0)</f>
        <v>1</v>
      </c>
      <c r="AC139" s="9" t="n">
        <f aca="false">IF(الإجابات!AC139=الإجابات!AC$2,1,0)</f>
        <v>1</v>
      </c>
      <c r="AD139" s="9" t="n">
        <f aca="false">IF(الإجابات!AD139=الإجابات!AD$2,1,0)</f>
        <v>1</v>
      </c>
      <c r="AE139" s="9" t="n">
        <f aca="false">IF(الإجابات!AE139=الإجابات!AE$2,1,0)</f>
        <v>1</v>
      </c>
      <c r="AF139" s="9" t="n">
        <f aca="false">SUM(B139:AE139)</f>
        <v>26</v>
      </c>
    </row>
    <row r="140" customFormat="false" ht="15" hidden="false" customHeight="false" outlineLevel="0" collapsed="false">
      <c r="A140" s="0" t="str">
        <f aca="false">الإجابات!A140</f>
        <v>S138</v>
      </c>
      <c r="B140" s="9" t="n">
        <f aca="false">IF(الإجابات!B140=الإجابات!B$2,1,0)</f>
        <v>1</v>
      </c>
      <c r="C140" s="9" t="n">
        <f aca="false">IF(الإجابات!C140=الإجابات!C$2,1,0)</f>
        <v>1</v>
      </c>
      <c r="D140" s="9" t="n">
        <f aca="false">IF(الإجابات!D140=الإجابات!D$2,1,0)</f>
        <v>1</v>
      </c>
      <c r="E140" s="9" t="n">
        <f aca="false">IF(الإجابات!E140=الإجابات!E$2,1,0)</f>
        <v>1</v>
      </c>
      <c r="F140" s="9" t="n">
        <f aca="false">IF(الإجابات!F140=الإجابات!F$2,1,0)</f>
        <v>1</v>
      </c>
      <c r="G140" s="9" t="n">
        <f aca="false">IF(الإجابات!G140=الإجابات!G$2,1,0)</f>
        <v>1</v>
      </c>
      <c r="H140" s="9" t="n">
        <f aca="false">IF(الإجابات!H140=الإجابات!H$2,1,0)</f>
        <v>0</v>
      </c>
      <c r="I140" s="9" t="n">
        <f aca="false">IF(الإجابات!I140=الإجابات!I$2,1,0)</f>
        <v>1</v>
      </c>
      <c r="J140" s="9" t="n">
        <f aca="false">IF(الإجابات!J140=الإجابات!J$2,1,0)</f>
        <v>1</v>
      </c>
      <c r="K140" s="9" t="n">
        <f aca="false">IF(الإجابات!K140=الإجابات!K$2,1,0)</f>
        <v>1</v>
      </c>
      <c r="L140" s="9" t="n">
        <f aca="false">IF(الإجابات!L140=الإجابات!L$2,1,0)</f>
        <v>0</v>
      </c>
      <c r="M140" s="9" t="n">
        <f aca="false">IF(الإجابات!M140=الإجابات!M$2,1,0)</f>
        <v>1</v>
      </c>
      <c r="N140" s="9" t="n">
        <f aca="false">IF(الإجابات!N140=الإجابات!N$2,1,0)</f>
        <v>1</v>
      </c>
      <c r="O140" s="9" t="n">
        <f aca="false">IF(الإجابات!O140=الإجابات!O$2,1,0)</f>
        <v>1</v>
      </c>
      <c r="P140" s="9" t="n">
        <f aca="false">IF(الإجابات!P140=الإجابات!P$2,1,0)</f>
        <v>1</v>
      </c>
      <c r="Q140" s="9" t="n">
        <f aca="false">IF(الإجابات!Q140=الإجابات!Q$2,1,0)</f>
        <v>1</v>
      </c>
      <c r="R140" s="9" t="n">
        <f aca="false">IF(الإجابات!R140=الإجابات!R$2,1,0)</f>
        <v>1</v>
      </c>
      <c r="S140" s="9" t="n">
        <f aca="false">IF(الإجابات!S140=الإجابات!S$2,1,0)</f>
        <v>0</v>
      </c>
      <c r="T140" s="9" t="n">
        <f aca="false">IF(الإجابات!T140=الإجابات!T$2,1,0)</f>
        <v>1</v>
      </c>
      <c r="U140" s="9" t="n">
        <f aca="false">IF(الإجابات!U140=الإجابات!U$2,1,0)</f>
        <v>1</v>
      </c>
      <c r="V140" s="9" t="n">
        <f aca="false">IF(الإجابات!V140=الإجابات!V$2,1,0)</f>
        <v>1</v>
      </c>
      <c r="W140" s="9" t="n">
        <f aca="false">IF(الإجابات!W140=الإجابات!W$2,1,0)</f>
        <v>1</v>
      </c>
      <c r="X140" s="9" t="n">
        <f aca="false">IF(الإجابات!X140=الإجابات!X$2,1,0)</f>
        <v>1</v>
      </c>
      <c r="Y140" s="9" t="n">
        <f aca="false">IF(الإجابات!Y140=الإجابات!Y$2,1,0)</f>
        <v>1</v>
      </c>
      <c r="Z140" s="9" t="n">
        <f aca="false">IF(الإجابات!Z140=الإجابات!Z$2,1,0)</f>
        <v>1</v>
      </c>
      <c r="AA140" s="9" t="n">
        <f aca="false">IF(الإجابات!AA140=الإجابات!AA$2,1,0)</f>
        <v>1</v>
      </c>
      <c r="AB140" s="9" t="n">
        <f aca="false">IF(الإجابات!AB140=الإجابات!AB$2,1,0)</f>
        <v>0</v>
      </c>
      <c r="AC140" s="9" t="n">
        <f aca="false">IF(الإجابات!AC140=الإجابات!AC$2,1,0)</f>
        <v>1</v>
      </c>
      <c r="AD140" s="9" t="n">
        <f aca="false">IF(الإجابات!AD140=الإجابات!AD$2,1,0)</f>
        <v>1</v>
      </c>
      <c r="AE140" s="9" t="n">
        <f aca="false">IF(الإجابات!AE140=الإجابات!AE$2,1,0)</f>
        <v>1</v>
      </c>
      <c r="AF140" s="9" t="n">
        <f aca="false">SUM(B140:AE140)</f>
        <v>26</v>
      </c>
    </row>
    <row r="141" customFormat="false" ht="15" hidden="false" customHeight="false" outlineLevel="0" collapsed="false">
      <c r="A141" s="0" t="str">
        <f aca="false">الإجابات!A141</f>
        <v>S139</v>
      </c>
      <c r="B141" s="9" t="n">
        <f aca="false">IF(الإجابات!B141=الإجابات!B$2,1,0)</f>
        <v>0</v>
      </c>
      <c r="C141" s="9" t="n">
        <f aca="false">IF(الإجابات!C141=الإجابات!C$2,1,0)</f>
        <v>0</v>
      </c>
      <c r="D141" s="9" t="n">
        <f aca="false">IF(الإجابات!D141=الإجابات!D$2,1,0)</f>
        <v>1</v>
      </c>
      <c r="E141" s="9" t="n">
        <f aca="false">IF(الإجابات!E141=الإجابات!E$2,1,0)</f>
        <v>1</v>
      </c>
      <c r="F141" s="9" t="n">
        <f aca="false">IF(الإجابات!F141=الإجابات!F$2,1,0)</f>
        <v>0</v>
      </c>
      <c r="G141" s="9" t="n">
        <f aca="false">IF(الإجابات!G141=الإجابات!G$2,1,0)</f>
        <v>0</v>
      </c>
      <c r="H141" s="9" t="n">
        <f aca="false">IF(الإجابات!H141=الإجابات!H$2,1,0)</f>
        <v>1</v>
      </c>
      <c r="I141" s="9" t="n">
        <f aca="false">IF(الإجابات!I141=الإجابات!I$2,1,0)</f>
        <v>1</v>
      </c>
      <c r="J141" s="9" t="n">
        <f aca="false">IF(الإجابات!J141=الإجابات!J$2,1,0)</f>
        <v>0</v>
      </c>
      <c r="K141" s="9" t="n">
        <f aca="false">IF(الإجابات!K141=الإجابات!K$2,1,0)</f>
        <v>0</v>
      </c>
      <c r="L141" s="9" t="n">
        <f aca="false">IF(الإجابات!L141=الإجابات!L$2,1,0)</f>
        <v>1</v>
      </c>
      <c r="M141" s="9" t="n">
        <f aca="false">IF(الإجابات!M141=الإجابات!M$2,1,0)</f>
        <v>0</v>
      </c>
      <c r="N141" s="9" t="n">
        <f aca="false">IF(الإجابات!N141=الإجابات!N$2,1,0)</f>
        <v>0</v>
      </c>
      <c r="O141" s="9" t="n">
        <f aca="false">IF(الإجابات!O141=الإجابات!O$2,1,0)</f>
        <v>0</v>
      </c>
      <c r="P141" s="9" t="n">
        <f aca="false">IF(الإجابات!P141=الإجابات!P$2,1,0)</f>
        <v>0</v>
      </c>
      <c r="Q141" s="9" t="n">
        <f aca="false">IF(الإجابات!Q141=الإجابات!Q$2,1,0)</f>
        <v>0</v>
      </c>
      <c r="R141" s="9" t="n">
        <f aca="false">IF(الإجابات!R141=الإجابات!R$2,1,0)</f>
        <v>0</v>
      </c>
      <c r="S141" s="9" t="n">
        <f aca="false">IF(الإجابات!S141=الإجابات!S$2,1,0)</f>
        <v>0</v>
      </c>
      <c r="T141" s="9" t="n">
        <f aca="false">IF(الإجابات!T141=الإجابات!T$2,1,0)</f>
        <v>0</v>
      </c>
      <c r="U141" s="9" t="n">
        <f aca="false">IF(الإجابات!U141=الإجابات!U$2,1,0)</f>
        <v>0</v>
      </c>
      <c r="V141" s="9" t="n">
        <f aca="false">IF(الإجابات!V141=الإجابات!V$2,1,0)</f>
        <v>1</v>
      </c>
      <c r="W141" s="9" t="n">
        <f aca="false">IF(الإجابات!W141=الإجابات!W$2,1,0)</f>
        <v>0</v>
      </c>
      <c r="X141" s="9" t="n">
        <f aca="false">IF(الإجابات!X141=الإجابات!X$2,1,0)</f>
        <v>0</v>
      </c>
      <c r="Y141" s="9" t="n">
        <f aca="false">IF(الإجابات!Y141=الإجابات!Y$2,1,0)</f>
        <v>0</v>
      </c>
      <c r="Z141" s="9" t="n">
        <f aca="false">IF(الإجابات!Z141=الإجابات!Z$2,1,0)</f>
        <v>0</v>
      </c>
      <c r="AA141" s="9" t="n">
        <f aca="false">IF(الإجابات!AA141=الإجابات!AA$2,1,0)</f>
        <v>0</v>
      </c>
      <c r="AB141" s="9" t="n">
        <f aca="false">IF(الإجابات!AB141=الإجابات!AB$2,1,0)</f>
        <v>1</v>
      </c>
      <c r="AC141" s="9" t="n">
        <f aca="false">IF(الإجابات!AC141=الإجابات!AC$2,1,0)</f>
        <v>1</v>
      </c>
      <c r="AD141" s="9" t="n">
        <f aca="false">IF(الإجابات!AD141=الإجابات!AD$2,1,0)</f>
        <v>0</v>
      </c>
      <c r="AE141" s="9" t="n">
        <f aca="false">IF(الإجابات!AE141=الإجابات!AE$2,1,0)</f>
        <v>0</v>
      </c>
      <c r="AF141" s="9" t="n">
        <f aca="false">SUM(B141:AE141)</f>
        <v>8</v>
      </c>
    </row>
    <row r="142" customFormat="false" ht="15" hidden="false" customHeight="false" outlineLevel="0" collapsed="false">
      <c r="A142" s="0" t="str">
        <f aca="false">الإجابات!A142</f>
        <v>S140</v>
      </c>
      <c r="B142" s="9" t="n">
        <f aca="false">IF(الإجابات!B142=الإجابات!B$2,1,0)</f>
        <v>1</v>
      </c>
      <c r="C142" s="9" t="n">
        <f aca="false">IF(الإجابات!C142=الإجابات!C$2,1,0)</f>
        <v>0</v>
      </c>
      <c r="D142" s="9" t="n">
        <f aca="false">IF(الإجابات!D142=الإجابات!D$2,1,0)</f>
        <v>0</v>
      </c>
      <c r="E142" s="9" t="n">
        <f aca="false">IF(الإجابات!E142=الإجابات!E$2,1,0)</f>
        <v>0</v>
      </c>
      <c r="F142" s="9" t="n">
        <f aca="false">IF(الإجابات!F142=الإجابات!F$2,1,0)</f>
        <v>0</v>
      </c>
      <c r="G142" s="9" t="n">
        <f aca="false">IF(الإجابات!G142=الإجابات!G$2,1,0)</f>
        <v>0</v>
      </c>
      <c r="H142" s="9" t="n">
        <f aca="false">IF(الإجابات!H142=الإجابات!H$2,1,0)</f>
        <v>0</v>
      </c>
      <c r="I142" s="9" t="n">
        <f aca="false">IF(الإجابات!I142=الإجابات!I$2,1,0)</f>
        <v>1</v>
      </c>
      <c r="J142" s="9" t="n">
        <f aca="false">IF(الإجابات!J142=الإجابات!J$2,1,0)</f>
        <v>0</v>
      </c>
      <c r="K142" s="9" t="n">
        <f aca="false">IF(الإجابات!K142=الإجابات!K$2,1,0)</f>
        <v>0</v>
      </c>
      <c r="L142" s="9" t="n">
        <f aca="false">IF(الإجابات!L142=الإجابات!L$2,1,0)</f>
        <v>0</v>
      </c>
      <c r="M142" s="9" t="n">
        <f aca="false">IF(الإجابات!M142=الإجابات!M$2,1,0)</f>
        <v>1</v>
      </c>
      <c r="N142" s="9" t="n">
        <f aca="false">IF(الإجابات!N142=الإجابات!N$2,1,0)</f>
        <v>0</v>
      </c>
      <c r="O142" s="9" t="n">
        <f aca="false">IF(الإجابات!O142=الإجابات!O$2,1,0)</f>
        <v>1</v>
      </c>
      <c r="P142" s="9" t="n">
        <f aca="false">IF(الإجابات!P142=الإجابات!P$2,1,0)</f>
        <v>0</v>
      </c>
      <c r="Q142" s="9" t="n">
        <f aca="false">IF(الإجابات!Q142=الإجابات!Q$2,1,0)</f>
        <v>0</v>
      </c>
      <c r="R142" s="9" t="n">
        <f aca="false">IF(الإجابات!R142=الإجابات!R$2,1,0)</f>
        <v>0</v>
      </c>
      <c r="S142" s="9" t="n">
        <f aca="false">IF(الإجابات!S142=الإجابات!S$2,1,0)</f>
        <v>1</v>
      </c>
      <c r="T142" s="9" t="n">
        <f aca="false">IF(الإجابات!T142=الإجابات!T$2,1,0)</f>
        <v>0</v>
      </c>
      <c r="U142" s="9" t="n">
        <f aca="false">IF(الإجابات!U142=الإجابات!U$2,1,0)</f>
        <v>0</v>
      </c>
      <c r="V142" s="9" t="n">
        <f aca="false">IF(الإجابات!V142=الإجابات!V$2,1,0)</f>
        <v>0</v>
      </c>
      <c r="W142" s="9" t="n">
        <f aca="false">IF(الإجابات!W142=الإجابات!W$2,1,0)</f>
        <v>1</v>
      </c>
      <c r="X142" s="9" t="n">
        <f aca="false">IF(الإجابات!X142=الإجابات!X$2,1,0)</f>
        <v>1</v>
      </c>
      <c r="Y142" s="9" t="n">
        <f aca="false">IF(الإجابات!Y142=الإجابات!Y$2,1,0)</f>
        <v>1</v>
      </c>
      <c r="Z142" s="9" t="n">
        <f aca="false">IF(الإجابات!Z142=الإجابات!Z$2,1,0)</f>
        <v>0</v>
      </c>
      <c r="AA142" s="9" t="n">
        <f aca="false">IF(الإجابات!AA142=الإجابات!AA$2,1,0)</f>
        <v>0</v>
      </c>
      <c r="AB142" s="9" t="n">
        <f aca="false">IF(الإجابات!AB142=الإجابات!AB$2,1,0)</f>
        <v>0</v>
      </c>
      <c r="AC142" s="9" t="n">
        <f aca="false">IF(الإجابات!AC142=الإجابات!AC$2,1,0)</f>
        <v>0</v>
      </c>
      <c r="AD142" s="9" t="n">
        <f aca="false">IF(الإجابات!AD142=الإجابات!AD$2,1,0)</f>
        <v>0</v>
      </c>
      <c r="AE142" s="9" t="n">
        <f aca="false">IF(الإجابات!AE142=الإجابات!AE$2,1,0)</f>
        <v>0</v>
      </c>
      <c r="AF142" s="9" t="n">
        <f aca="false">SUM(B142:AE142)</f>
        <v>8</v>
      </c>
    </row>
    <row r="143" customFormat="false" ht="15" hidden="false" customHeight="false" outlineLevel="0" collapsed="false">
      <c r="A143" s="0" t="str">
        <f aca="false">الإجابات!A143</f>
        <v>S141</v>
      </c>
      <c r="B143" s="9" t="n">
        <f aca="false">IF(الإجابات!B143=الإجابات!B$2,1,0)</f>
        <v>1</v>
      </c>
      <c r="C143" s="9" t="n">
        <f aca="false">IF(الإجابات!C143=الإجابات!C$2,1,0)</f>
        <v>0</v>
      </c>
      <c r="D143" s="9" t="n">
        <f aca="false">IF(الإجابات!D143=الإجابات!D$2,1,0)</f>
        <v>1</v>
      </c>
      <c r="E143" s="9" t="n">
        <f aca="false">IF(الإجابات!E143=الإجابات!E$2,1,0)</f>
        <v>1</v>
      </c>
      <c r="F143" s="9" t="n">
        <f aca="false">IF(الإجابات!F143=الإجابات!F$2,1,0)</f>
        <v>1</v>
      </c>
      <c r="G143" s="9" t="n">
        <f aca="false">IF(الإجابات!G143=الإجابات!G$2,1,0)</f>
        <v>1</v>
      </c>
      <c r="H143" s="9" t="n">
        <f aca="false">IF(الإجابات!H143=الإجابات!H$2,1,0)</f>
        <v>0</v>
      </c>
      <c r="I143" s="9" t="n">
        <f aca="false">IF(الإجابات!I143=الإجابات!I$2,1,0)</f>
        <v>1</v>
      </c>
      <c r="J143" s="9" t="n">
        <f aca="false">IF(الإجابات!J143=الإجابات!J$2,1,0)</f>
        <v>1</v>
      </c>
      <c r="K143" s="9" t="n">
        <f aca="false">IF(الإجابات!K143=الإجابات!K$2,1,0)</f>
        <v>1</v>
      </c>
      <c r="L143" s="9" t="n">
        <f aca="false">IF(الإجابات!L143=الإجابات!L$2,1,0)</f>
        <v>1</v>
      </c>
      <c r="M143" s="9" t="n">
        <f aca="false">IF(الإجابات!M143=الإجابات!M$2,1,0)</f>
        <v>1</v>
      </c>
      <c r="N143" s="9" t="n">
        <f aca="false">IF(الإجابات!N143=الإجابات!N$2,1,0)</f>
        <v>1</v>
      </c>
      <c r="O143" s="9" t="n">
        <f aca="false">IF(الإجابات!O143=الإجابات!O$2,1,0)</f>
        <v>1</v>
      </c>
      <c r="P143" s="9" t="n">
        <f aca="false">IF(الإجابات!P143=الإجابات!P$2,1,0)</f>
        <v>0</v>
      </c>
      <c r="Q143" s="9" t="n">
        <f aca="false">IF(الإجابات!Q143=الإجابات!Q$2,1,0)</f>
        <v>1</v>
      </c>
      <c r="R143" s="9" t="n">
        <f aca="false">IF(الإجابات!R143=الإجابات!R$2,1,0)</f>
        <v>1</v>
      </c>
      <c r="S143" s="9" t="n">
        <f aca="false">IF(الإجابات!S143=الإجابات!S$2,1,0)</f>
        <v>0</v>
      </c>
      <c r="T143" s="9" t="n">
        <f aca="false">IF(الإجابات!T143=الإجابات!T$2,1,0)</f>
        <v>0</v>
      </c>
      <c r="U143" s="9" t="n">
        <f aca="false">IF(الإجابات!U143=الإجابات!U$2,1,0)</f>
        <v>1</v>
      </c>
      <c r="V143" s="9" t="n">
        <f aca="false">IF(الإجابات!V143=الإجابات!V$2,1,0)</f>
        <v>1</v>
      </c>
      <c r="W143" s="9" t="n">
        <f aca="false">IF(الإجابات!W143=الإجابات!W$2,1,0)</f>
        <v>1</v>
      </c>
      <c r="X143" s="9" t="n">
        <f aca="false">IF(الإجابات!X143=الإجابات!X$2,1,0)</f>
        <v>1</v>
      </c>
      <c r="Y143" s="9" t="n">
        <f aca="false">IF(الإجابات!Y143=الإجابات!Y$2,1,0)</f>
        <v>1</v>
      </c>
      <c r="Z143" s="9" t="n">
        <f aca="false">IF(الإجابات!Z143=الإجابات!Z$2,1,0)</f>
        <v>1</v>
      </c>
      <c r="AA143" s="9" t="n">
        <f aca="false">IF(الإجابات!AA143=الإجابات!AA$2,1,0)</f>
        <v>0</v>
      </c>
      <c r="AB143" s="9" t="n">
        <f aca="false">IF(الإجابات!AB143=الإجابات!AB$2,1,0)</f>
        <v>0</v>
      </c>
      <c r="AC143" s="9" t="n">
        <f aca="false">IF(الإجابات!AC143=الإجابات!AC$2,1,0)</f>
        <v>1</v>
      </c>
      <c r="AD143" s="9" t="n">
        <f aca="false">IF(الإجابات!AD143=الإجابات!AD$2,1,0)</f>
        <v>1</v>
      </c>
      <c r="AE143" s="9" t="n">
        <f aca="false">IF(الإجابات!AE143=الإجابات!AE$2,1,0)</f>
        <v>1</v>
      </c>
      <c r="AF143" s="9" t="n">
        <f aca="false">SUM(B143:AE143)</f>
        <v>23</v>
      </c>
    </row>
    <row r="144" customFormat="false" ht="15" hidden="false" customHeight="false" outlineLevel="0" collapsed="false">
      <c r="A144" s="0" t="str">
        <f aca="false">الإجابات!A144</f>
        <v>S142</v>
      </c>
      <c r="B144" s="9" t="n">
        <f aca="false">IF(الإجابات!B144=الإجابات!B$2,1,0)</f>
        <v>0</v>
      </c>
      <c r="C144" s="9" t="n">
        <f aca="false">IF(الإجابات!C144=الإجابات!C$2,1,0)</f>
        <v>0</v>
      </c>
      <c r="D144" s="9" t="n">
        <f aca="false">IF(الإجابات!D144=الإجابات!D$2,1,0)</f>
        <v>0</v>
      </c>
      <c r="E144" s="9" t="n">
        <f aca="false">IF(الإجابات!E144=الإجابات!E$2,1,0)</f>
        <v>0</v>
      </c>
      <c r="F144" s="9" t="n">
        <f aca="false">IF(الإجابات!F144=الإجابات!F$2,1,0)</f>
        <v>1</v>
      </c>
      <c r="G144" s="9" t="n">
        <f aca="false">IF(الإجابات!G144=الإجابات!G$2,1,0)</f>
        <v>0</v>
      </c>
      <c r="H144" s="9" t="n">
        <f aca="false">IF(الإجابات!H144=الإجابات!H$2,1,0)</f>
        <v>0</v>
      </c>
      <c r="I144" s="9" t="n">
        <f aca="false">IF(الإجابات!I144=الإجابات!I$2,1,0)</f>
        <v>0</v>
      </c>
      <c r="J144" s="9" t="n">
        <f aca="false">IF(الإجابات!J144=الإجابات!J$2,1,0)</f>
        <v>0</v>
      </c>
      <c r="K144" s="9" t="n">
        <f aca="false">IF(الإجابات!K144=الإجابات!K$2,1,0)</f>
        <v>0</v>
      </c>
      <c r="L144" s="9" t="n">
        <f aca="false">IF(الإجابات!L144=الإجابات!L$2,1,0)</f>
        <v>1</v>
      </c>
      <c r="M144" s="9" t="n">
        <f aca="false">IF(الإجابات!M144=الإجابات!M$2,1,0)</f>
        <v>1</v>
      </c>
      <c r="N144" s="9" t="n">
        <f aca="false">IF(الإجابات!N144=الإجابات!N$2,1,0)</f>
        <v>0</v>
      </c>
      <c r="O144" s="9" t="n">
        <f aca="false">IF(الإجابات!O144=الإجابات!O$2,1,0)</f>
        <v>0</v>
      </c>
      <c r="P144" s="9" t="n">
        <f aca="false">IF(الإجابات!P144=الإجابات!P$2,1,0)</f>
        <v>0</v>
      </c>
      <c r="Q144" s="9" t="n">
        <f aca="false">IF(الإجابات!Q144=الإجابات!Q$2,1,0)</f>
        <v>1</v>
      </c>
      <c r="R144" s="9" t="n">
        <f aca="false">IF(الإجابات!R144=الإجابات!R$2,1,0)</f>
        <v>1</v>
      </c>
      <c r="S144" s="9" t="n">
        <f aca="false">IF(الإجابات!S144=الإجابات!S$2,1,0)</f>
        <v>1</v>
      </c>
      <c r="T144" s="9" t="n">
        <f aca="false">IF(الإجابات!T144=الإجابات!T$2,1,0)</f>
        <v>0</v>
      </c>
      <c r="U144" s="9" t="n">
        <f aca="false">IF(الإجابات!U144=الإجابات!U$2,1,0)</f>
        <v>1</v>
      </c>
      <c r="V144" s="9" t="n">
        <f aca="false">IF(الإجابات!V144=الإجابات!V$2,1,0)</f>
        <v>0</v>
      </c>
      <c r="W144" s="9" t="n">
        <f aca="false">IF(الإجابات!W144=الإجابات!W$2,1,0)</f>
        <v>0</v>
      </c>
      <c r="X144" s="9" t="n">
        <f aca="false">IF(الإجابات!X144=الإجابات!X$2,1,0)</f>
        <v>1</v>
      </c>
      <c r="Y144" s="9" t="n">
        <f aca="false">IF(الإجابات!Y144=الإجابات!Y$2,1,0)</f>
        <v>0</v>
      </c>
      <c r="Z144" s="9" t="n">
        <f aca="false">IF(الإجابات!Z144=الإجابات!Z$2,1,0)</f>
        <v>0</v>
      </c>
      <c r="AA144" s="9" t="n">
        <f aca="false">IF(الإجابات!AA144=الإجابات!AA$2,1,0)</f>
        <v>0</v>
      </c>
      <c r="AB144" s="9" t="n">
        <f aca="false">IF(الإجابات!AB144=الإجابات!AB$2,1,0)</f>
        <v>0</v>
      </c>
      <c r="AC144" s="9" t="n">
        <f aca="false">IF(الإجابات!AC144=الإجابات!AC$2,1,0)</f>
        <v>0</v>
      </c>
      <c r="AD144" s="9" t="n">
        <f aca="false">IF(الإجابات!AD144=الإجابات!AD$2,1,0)</f>
        <v>1</v>
      </c>
      <c r="AE144" s="9" t="n">
        <f aca="false">IF(الإجابات!AE144=الإجابات!AE$2,1,0)</f>
        <v>0</v>
      </c>
      <c r="AF144" s="9" t="n">
        <f aca="false">SUM(B144:AE144)</f>
        <v>9</v>
      </c>
    </row>
    <row r="145" customFormat="false" ht="15" hidden="false" customHeight="false" outlineLevel="0" collapsed="false">
      <c r="A145" s="0" t="str">
        <f aca="false">الإجابات!A145</f>
        <v>S143</v>
      </c>
      <c r="B145" s="9" t="n">
        <f aca="false">IF(الإجابات!B145=الإجابات!B$2,1,0)</f>
        <v>0</v>
      </c>
      <c r="C145" s="9" t="n">
        <f aca="false">IF(الإجابات!C145=الإجابات!C$2,1,0)</f>
        <v>0</v>
      </c>
      <c r="D145" s="9" t="n">
        <f aca="false">IF(الإجابات!D145=الإجابات!D$2,1,0)</f>
        <v>0</v>
      </c>
      <c r="E145" s="9" t="n">
        <f aca="false">IF(الإجابات!E145=الإجابات!E$2,1,0)</f>
        <v>1</v>
      </c>
      <c r="F145" s="9" t="n">
        <f aca="false">IF(الإجابات!F145=الإجابات!F$2,1,0)</f>
        <v>0</v>
      </c>
      <c r="G145" s="9" t="n">
        <f aca="false">IF(الإجابات!G145=الإجابات!G$2,1,0)</f>
        <v>0</v>
      </c>
      <c r="H145" s="9" t="n">
        <f aca="false">IF(الإجابات!H145=الإجابات!H$2,1,0)</f>
        <v>0</v>
      </c>
      <c r="I145" s="9" t="n">
        <f aca="false">IF(الإجابات!I145=الإجابات!I$2,1,0)</f>
        <v>1</v>
      </c>
      <c r="J145" s="9" t="n">
        <f aca="false">IF(الإجابات!J145=الإجابات!J$2,1,0)</f>
        <v>1</v>
      </c>
      <c r="K145" s="9" t="n">
        <f aca="false">IF(الإجابات!K145=الإجابات!K$2,1,0)</f>
        <v>0</v>
      </c>
      <c r="L145" s="9" t="n">
        <f aca="false">IF(الإجابات!L145=الإجابات!L$2,1,0)</f>
        <v>1</v>
      </c>
      <c r="M145" s="9" t="n">
        <f aca="false">IF(الإجابات!M145=الإجابات!M$2,1,0)</f>
        <v>1</v>
      </c>
      <c r="N145" s="9" t="n">
        <f aca="false">IF(الإجابات!N145=الإجابات!N$2,1,0)</f>
        <v>1</v>
      </c>
      <c r="O145" s="9" t="n">
        <f aca="false">IF(الإجابات!O145=الإجابات!O$2,1,0)</f>
        <v>1</v>
      </c>
      <c r="P145" s="9" t="n">
        <f aca="false">IF(الإجابات!P145=الإجابات!P$2,1,0)</f>
        <v>1</v>
      </c>
      <c r="Q145" s="9" t="n">
        <f aca="false">IF(الإجابات!Q145=الإجابات!Q$2,1,0)</f>
        <v>1</v>
      </c>
      <c r="R145" s="9" t="n">
        <f aca="false">IF(الإجابات!R145=الإجابات!R$2,1,0)</f>
        <v>1</v>
      </c>
      <c r="S145" s="9" t="n">
        <f aca="false">IF(الإجابات!S145=الإجابات!S$2,1,0)</f>
        <v>1</v>
      </c>
      <c r="T145" s="9" t="n">
        <f aca="false">IF(الإجابات!T145=الإجابات!T$2,1,0)</f>
        <v>1</v>
      </c>
      <c r="U145" s="9" t="n">
        <f aca="false">IF(الإجابات!U145=الإجابات!U$2,1,0)</f>
        <v>1</v>
      </c>
      <c r="V145" s="9" t="n">
        <f aca="false">IF(الإجابات!V145=الإجابات!V$2,1,0)</f>
        <v>0</v>
      </c>
      <c r="W145" s="9" t="n">
        <f aca="false">IF(الإجابات!W145=الإجابات!W$2,1,0)</f>
        <v>0</v>
      </c>
      <c r="X145" s="9" t="n">
        <f aca="false">IF(الإجابات!X145=الإجابات!X$2,1,0)</f>
        <v>1</v>
      </c>
      <c r="Y145" s="9" t="n">
        <f aca="false">IF(الإجابات!Y145=الإجابات!Y$2,1,0)</f>
        <v>0</v>
      </c>
      <c r="Z145" s="9" t="n">
        <f aca="false">IF(الإجابات!Z145=الإجابات!Z$2,1,0)</f>
        <v>1</v>
      </c>
      <c r="AA145" s="9" t="n">
        <f aca="false">IF(الإجابات!AA145=الإجابات!AA$2,1,0)</f>
        <v>0</v>
      </c>
      <c r="AB145" s="9" t="n">
        <f aca="false">IF(الإجابات!AB145=الإجابات!AB$2,1,0)</f>
        <v>1</v>
      </c>
      <c r="AC145" s="9" t="n">
        <f aca="false">IF(الإجابات!AC145=الإجابات!AC$2,1,0)</f>
        <v>0</v>
      </c>
      <c r="AD145" s="9" t="n">
        <f aca="false">IF(الإجابات!AD145=الإجابات!AD$2,1,0)</f>
        <v>0</v>
      </c>
      <c r="AE145" s="9" t="n">
        <f aca="false">IF(الإجابات!AE145=الإجابات!AE$2,1,0)</f>
        <v>0</v>
      </c>
      <c r="AF145" s="9" t="n">
        <f aca="false">SUM(B145:AE145)</f>
        <v>16</v>
      </c>
    </row>
    <row r="146" customFormat="false" ht="15" hidden="false" customHeight="false" outlineLevel="0" collapsed="false">
      <c r="A146" s="0" t="str">
        <f aca="false">الإجابات!A146</f>
        <v>S144</v>
      </c>
      <c r="B146" s="9" t="n">
        <f aca="false">IF(الإجابات!B146=الإجابات!B$2,1,0)</f>
        <v>0</v>
      </c>
      <c r="C146" s="9" t="n">
        <f aca="false">IF(الإجابات!C146=الإجابات!C$2,1,0)</f>
        <v>1</v>
      </c>
      <c r="D146" s="9" t="n">
        <f aca="false">IF(الإجابات!D146=الإجابات!D$2,1,0)</f>
        <v>0</v>
      </c>
      <c r="E146" s="9" t="n">
        <f aca="false">IF(الإجابات!E146=الإجابات!E$2,1,0)</f>
        <v>1</v>
      </c>
      <c r="F146" s="9" t="n">
        <f aca="false">IF(الإجابات!F146=الإجابات!F$2,1,0)</f>
        <v>0</v>
      </c>
      <c r="G146" s="9" t="n">
        <f aca="false">IF(الإجابات!G146=الإجابات!G$2,1,0)</f>
        <v>1</v>
      </c>
      <c r="H146" s="9" t="n">
        <f aca="false">IF(الإجابات!H146=الإجابات!H$2,1,0)</f>
        <v>0</v>
      </c>
      <c r="I146" s="9" t="n">
        <f aca="false">IF(الإجابات!I146=الإجابات!I$2,1,0)</f>
        <v>1</v>
      </c>
      <c r="J146" s="9" t="n">
        <f aca="false">IF(الإجابات!J146=الإجابات!J$2,1,0)</f>
        <v>1</v>
      </c>
      <c r="K146" s="9" t="n">
        <f aca="false">IF(الإجابات!K146=الإجابات!K$2,1,0)</f>
        <v>1</v>
      </c>
      <c r="L146" s="9" t="n">
        <f aca="false">IF(الإجابات!L146=الإجابات!L$2,1,0)</f>
        <v>0</v>
      </c>
      <c r="M146" s="9" t="n">
        <f aca="false">IF(الإجابات!M146=الإجابات!M$2,1,0)</f>
        <v>1</v>
      </c>
      <c r="N146" s="9" t="n">
        <f aca="false">IF(الإجابات!N146=الإجابات!N$2,1,0)</f>
        <v>0</v>
      </c>
      <c r="O146" s="9" t="n">
        <f aca="false">IF(الإجابات!O146=الإجابات!O$2,1,0)</f>
        <v>1</v>
      </c>
      <c r="P146" s="9" t="n">
        <f aca="false">IF(الإجابات!P146=الإجابات!P$2,1,0)</f>
        <v>1</v>
      </c>
      <c r="Q146" s="9" t="n">
        <f aca="false">IF(الإجابات!Q146=الإجابات!Q$2,1,0)</f>
        <v>1</v>
      </c>
      <c r="R146" s="9" t="n">
        <f aca="false">IF(الإجابات!R146=الإجابات!R$2,1,0)</f>
        <v>1</v>
      </c>
      <c r="S146" s="9" t="n">
        <f aca="false">IF(الإجابات!S146=الإجابات!S$2,1,0)</f>
        <v>0</v>
      </c>
      <c r="T146" s="9" t="n">
        <f aca="false">IF(الإجابات!T146=الإجابات!T$2,1,0)</f>
        <v>0</v>
      </c>
      <c r="U146" s="9" t="n">
        <f aca="false">IF(الإجابات!U146=الإجابات!U$2,1,0)</f>
        <v>1</v>
      </c>
      <c r="V146" s="9" t="n">
        <f aca="false">IF(الإجابات!V146=الإجابات!V$2,1,0)</f>
        <v>0</v>
      </c>
      <c r="W146" s="9" t="n">
        <f aca="false">IF(الإجابات!W146=الإجابات!W$2,1,0)</f>
        <v>0</v>
      </c>
      <c r="X146" s="9" t="n">
        <f aca="false">IF(الإجابات!X146=الإجابات!X$2,1,0)</f>
        <v>1</v>
      </c>
      <c r="Y146" s="9" t="n">
        <f aca="false">IF(الإجابات!Y146=الإجابات!Y$2,1,0)</f>
        <v>1</v>
      </c>
      <c r="Z146" s="9" t="n">
        <f aca="false">IF(الإجابات!Z146=الإجابات!Z$2,1,0)</f>
        <v>1</v>
      </c>
      <c r="AA146" s="9" t="n">
        <f aca="false">IF(الإجابات!AA146=الإجابات!AA$2,1,0)</f>
        <v>1</v>
      </c>
      <c r="AB146" s="9" t="n">
        <f aca="false">IF(الإجابات!AB146=الإجابات!AB$2,1,0)</f>
        <v>0</v>
      </c>
      <c r="AC146" s="9" t="n">
        <f aca="false">IF(الإجابات!AC146=الإجابات!AC$2,1,0)</f>
        <v>0</v>
      </c>
      <c r="AD146" s="9" t="n">
        <f aca="false">IF(الإجابات!AD146=الإجابات!AD$2,1,0)</f>
        <v>1</v>
      </c>
      <c r="AE146" s="9" t="n">
        <f aca="false">IF(الإجابات!AE146=الإجابات!AE$2,1,0)</f>
        <v>1</v>
      </c>
      <c r="AF146" s="9" t="n">
        <f aca="false">SUM(B146:AE146)</f>
        <v>18</v>
      </c>
    </row>
    <row r="147" customFormat="false" ht="15" hidden="false" customHeight="false" outlineLevel="0" collapsed="false">
      <c r="A147" s="0" t="str">
        <f aca="false">الإجابات!A147</f>
        <v>S145</v>
      </c>
      <c r="B147" s="9" t="n">
        <f aca="false">IF(الإجابات!B147=الإجابات!B$2,1,0)</f>
        <v>0</v>
      </c>
      <c r="C147" s="9" t="n">
        <f aca="false">IF(الإجابات!C147=الإجابات!C$2,1,0)</f>
        <v>0</v>
      </c>
      <c r="D147" s="9" t="n">
        <f aca="false">IF(الإجابات!D147=الإجابات!D$2,1,0)</f>
        <v>1</v>
      </c>
      <c r="E147" s="9" t="n">
        <f aca="false">IF(الإجابات!E147=الإجابات!E$2,1,0)</f>
        <v>0</v>
      </c>
      <c r="F147" s="9" t="n">
        <f aca="false">IF(الإجابات!F147=الإجابات!F$2,1,0)</f>
        <v>1</v>
      </c>
      <c r="G147" s="9" t="n">
        <f aca="false">IF(الإجابات!G147=الإجابات!G$2,1,0)</f>
        <v>1</v>
      </c>
      <c r="H147" s="9" t="n">
        <f aca="false">IF(الإجابات!H147=الإجابات!H$2,1,0)</f>
        <v>0</v>
      </c>
      <c r="I147" s="9" t="n">
        <f aca="false">IF(الإجابات!I147=الإجابات!I$2,1,0)</f>
        <v>1</v>
      </c>
      <c r="J147" s="9" t="n">
        <f aca="false">IF(الإجابات!J147=الإجابات!J$2,1,0)</f>
        <v>1</v>
      </c>
      <c r="K147" s="9" t="n">
        <f aca="false">IF(الإجابات!K147=الإجابات!K$2,1,0)</f>
        <v>0</v>
      </c>
      <c r="L147" s="9" t="n">
        <f aca="false">IF(الإجابات!L147=الإجابات!L$2,1,0)</f>
        <v>0</v>
      </c>
      <c r="M147" s="9" t="n">
        <f aca="false">IF(الإجابات!M147=الإجابات!M$2,1,0)</f>
        <v>0</v>
      </c>
      <c r="N147" s="9" t="n">
        <f aca="false">IF(الإجابات!N147=الإجابات!N$2,1,0)</f>
        <v>0</v>
      </c>
      <c r="O147" s="9" t="n">
        <f aca="false">IF(الإجابات!O147=الإجابات!O$2,1,0)</f>
        <v>0</v>
      </c>
      <c r="P147" s="9" t="n">
        <f aca="false">IF(الإجابات!P147=الإجابات!P$2,1,0)</f>
        <v>0</v>
      </c>
      <c r="Q147" s="9" t="n">
        <f aca="false">IF(الإجابات!Q147=الإجابات!Q$2,1,0)</f>
        <v>1</v>
      </c>
      <c r="R147" s="9" t="n">
        <f aca="false">IF(الإجابات!R147=الإجابات!R$2,1,0)</f>
        <v>1</v>
      </c>
      <c r="S147" s="9" t="n">
        <f aca="false">IF(الإجابات!S147=الإجابات!S$2,1,0)</f>
        <v>0</v>
      </c>
      <c r="T147" s="9" t="n">
        <f aca="false">IF(الإجابات!T147=الإجابات!T$2,1,0)</f>
        <v>1</v>
      </c>
      <c r="U147" s="9" t="n">
        <f aca="false">IF(الإجابات!U147=الإجابات!U$2,1,0)</f>
        <v>0</v>
      </c>
      <c r="V147" s="9" t="n">
        <f aca="false">IF(الإجابات!V147=الإجابات!V$2,1,0)</f>
        <v>0</v>
      </c>
      <c r="W147" s="9" t="n">
        <f aca="false">IF(الإجابات!W147=الإجابات!W$2,1,0)</f>
        <v>0</v>
      </c>
      <c r="X147" s="9" t="n">
        <f aca="false">IF(الإجابات!X147=الإجابات!X$2,1,0)</f>
        <v>1</v>
      </c>
      <c r="Y147" s="9" t="n">
        <f aca="false">IF(الإجابات!Y147=الإجابات!Y$2,1,0)</f>
        <v>0</v>
      </c>
      <c r="Z147" s="9" t="n">
        <f aca="false">IF(الإجابات!Z147=الإجابات!Z$2,1,0)</f>
        <v>0</v>
      </c>
      <c r="AA147" s="9" t="n">
        <f aca="false">IF(الإجابات!AA147=الإجابات!AA$2,1,0)</f>
        <v>0</v>
      </c>
      <c r="AB147" s="9" t="n">
        <f aca="false">IF(الإجابات!AB147=الإجابات!AB$2,1,0)</f>
        <v>0</v>
      </c>
      <c r="AC147" s="9" t="n">
        <f aca="false">IF(الإجابات!AC147=الإجابات!AC$2,1,0)</f>
        <v>0</v>
      </c>
      <c r="AD147" s="9" t="n">
        <f aca="false">IF(الإجابات!AD147=الإجابات!AD$2,1,0)</f>
        <v>0</v>
      </c>
      <c r="AE147" s="9" t="n">
        <f aca="false">IF(الإجابات!AE147=الإجابات!AE$2,1,0)</f>
        <v>0</v>
      </c>
      <c r="AF147" s="9" t="n">
        <f aca="false">SUM(B147:AE147)</f>
        <v>9</v>
      </c>
    </row>
    <row r="148" customFormat="false" ht="15" hidden="false" customHeight="false" outlineLevel="0" collapsed="false">
      <c r="A148" s="0" t="str">
        <f aca="false">الإجابات!A148</f>
        <v>S146</v>
      </c>
      <c r="B148" s="9" t="n">
        <f aca="false">IF(الإجابات!B148=الإجابات!B$2,1,0)</f>
        <v>1</v>
      </c>
      <c r="C148" s="9" t="n">
        <f aca="false">IF(الإجابات!C148=الإجابات!C$2,1,0)</f>
        <v>1</v>
      </c>
      <c r="D148" s="9" t="n">
        <f aca="false">IF(الإجابات!D148=الإجابات!D$2,1,0)</f>
        <v>1</v>
      </c>
      <c r="E148" s="9" t="n">
        <f aca="false">IF(الإجابات!E148=الإجابات!E$2,1,0)</f>
        <v>1</v>
      </c>
      <c r="F148" s="9" t="n">
        <f aca="false">IF(الإجابات!F148=الإجابات!F$2,1,0)</f>
        <v>1</v>
      </c>
      <c r="G148" s="9" t="n">
        <f aca="false">IF(الإجابات!G148=الإجابات!G$2,1,0)</f>
        <v>1</v>
      </c>
      <c r="H148" s="9" t="n">
        <f aca="false">IF(الإجابات!H148=الإجابات!H$2,1,0)</f>
        <v>0</v>
      </c>
      <c r="I148" s="9" t="n">
        <f aca="false">IF(الإجابات!I148=الإجابات!I$2,1,0)</f>
        <v>1</v>
      </c>
      <c r="J148" s="9" t="n">
        <f aca="false">IF(الإجابات!J148=الإجابات!J$2,1,0)</f>
        <v>1</v>
      </c>
      <c r="K148" s="9" t="n">
        <f aca="false">IF(الإجابات!K148=الإجابات!K$2,1,0)</f>
        <v>1</v>
      </c>
      <c r="L148" s="9" t="n">
        <f aca="false">IF(الإجابات!L148=الإجابات!L$2,1,0)</f>
        <v>1</v>
      </c>
      <c r="M148" s="9" t="n">
        <f aca="false">IF(الإجابات!M148=الإجابات!M$2,1,0)</f>
        <v>1</v>
      </c>
      <c r="N148" s="9" t="n">
        <f aca="false">IF(الإجابات!N148=الإجابات!N$2,1,0)</f>
        <v>1</v>
      </c>
      <c r="O148" s="9" t="n">
        <f aca="false">IF(الإجابات!O148=الإجابات!O$2,1,0)</f>
        <v>1</v>
      </c>
      <c r="P148" s="9" t="n">
        <f aca="false">IF(الإجابات!P148=الإجابات!P$2,1,0)</f>
        <v>0</v>
      </c>
      <c r="Q148" s="9" t="n">
        <f aca="false">IF(الإجابات!Q148=الإجابات!Q$2,1,0)</f>
        <v>1</v>
      </c>
      <c r="R148" s="9" t="n">
        <f aca="false">IF(الإجابات!R148=الإجابات!R$2,1,0)</f>
        <v>1</v>
      </c>
      <c r="S148" s="9" t="n">
        <f aca="false">IF(الإجابات!S148=الإجابات!S$2,1,0)</f>
        <v>1</v>
      </c>
      <c r="T148" s="9" t="n">
        <f aca="false">IF(الإجابات!T148=الإجابات!T$2,1,0)</f>
        <v>1</v>
      </c>
      <c r="U148" s="9" t="n">
        <f aca="false">IF(الإجابات!U148=الإجابات!U$2,1,0)</f>
        <v>1</v>
      </c>
      <c r="V148" s="9" t="n">
        <f aca="false">IF(الإجابات!V148=الإجابات!V$2,1,0)</f>
        <v>1</v>
      </c>
      <c r="W148" s="9" t="n">
        <f aca="false">IF(الإجابات!W148=الإجابات!W$2,1,0)</f>
        <v>1</v>
      </c>
      <c r="X148" s="9" t="n">
        <f aca="false">IF(الإجابات!X148=الإجابات!X$2,1,0)</f>
        <v>1</v>
      </c>
      <c r="Y148" s="9" t="n">
        <f aca="false">IF(الإجابات!Y148=الإجابات!Y$2,1,0)</f>
        <v>1</v>
      </c>
      <c r="Z148" s="9" t="n">
        <f aca="false">IF(الإجابات!Z148=الإجابات!Z$2,1,0)</f>
        <v>1</v>
      </c>
      <c r="AA148" s="9" t="n">
        <f aca="false">IF(الإجابات!AA148=الإجابات!AA$2,1,0)</f>
        <v>1</v>
      </c>
      <c r="AB148" s="9" t="n">
        <f aca="false">IF(الإجابات!AB148=الإجابات!AB$2,1,0)</f>
        <v>0</v>
      </c>
      <c r="AC148" s="9" t="n">
        <f aca="false">IF(الإجابات!AC148=الإجابات!AC$2,1,0)</f>
        <v>1</v>
      </c>
      <c r="AD148" s="9" t="n">
        <f aca="false">IF(الإجابات!AD148=الإجابات!AD$2,1,0)</f>
        <v>1</v>
      </c>
      <c r="AE148" s="9" t="n">
        <f aca="false">IF(الإجابات!AE148=الإجابات!AE$2,1,0)</f>
        <v>1</v>
      </c>
      <c r="AF148" s="9" t="n">
        <f aca="false">SUM(B148:AE148)</f>
        <v>27</v>
      </c>
    </row>
    <row r="149" customFormat="false" ht="15" hidden="false" customHeight="false" outlineLevel="0" collapsed="false">
      <c r="A149" s="0" t="str">
        <f aca="false">الإجابات!A149</f>
        <v>S147</v>
      </c>
      <c r="B149" s="9" t="n">
        <f aca="false">IF(الإجابات!B149=الإجابات!B$2,1,0)</f>
        <v>1</v>
      </c>
      <c r="C149" s="9" t="n">
        <f aca="false">IF(الإجابات!C149=الإجابات!C$2,1,0)</f>
        <v>1</v>
      </c>
      <c r="D149" s="9" t="n">
        <f aca="false">IF(الإجابات!D149=الإجابات!D$2,1,0)</f>
        <v>1</v>
      </c>
      <c r="E149" s="9" t="n">
        <f aca="false">IF(الإجابات!E149=الإجابات!E$2,1,0)</f>
        <v>1</v>
      </c>
      <c r="F149" s="9" t="n">
        <f aca="false">IF(الإجابات!F149=الإجابات!F$2,1,0)</f>
        <v>1</v>
      </c>
      <c r="G149" s="9" t="n">
        <f aca="false">IF(الإجابات!G149=الإجابات!G$2,1,0)</f>
        <v>1</v>
      </c>
      <c r="H149" s="9" t="n">
        <f aca="false">IF(الإجابات!H149=الإجابات!H$2,1,0)</f>
        <v>0</v>
      </c>
      <c r="I149" s="9" t="n">
        <f aca="false">IF(الإجابات!I149=الإجابات!I$2,1,0)</f>
        <v>1</v>
      </c>
      <c r="J149" s="9" t="n">
        <f aca="false">IF(الإجابات!J149=الإجابات!J$2,1,0)</f>
        <v>1</v>
      </c>
      <c r="K149" s="9" t="n">
        <f aca="false">IF(الإجابات!K149=الإجابات!K$2,1,0)</f>
        <v>1</v>
      </c>
      <c r="L149" s="9" t="n">
        <f aca="false">IF(الإجابات!L149=الإجابات!L$2,1,0)</f>
        <v>1</v>
      </c>
      <c r="M149" s="9" t="n">
        <f aca="false">IF(الإجابات!M149=الإجابات!M$2,1,0)</f>
        <v>1</v>
      </c>
      <c r="N149" s="9" t="n">
        <f aca="false">IF(الإجابات!N149=الإجابات!N$2,1,0)</f>
        <v>1</v>
      </c>
      <c r="O149" s="9" t="n">
        <f aca="false">IF(الإجابات!O149=الإجابات!O$2,1,0)</f>
        <v>1</v>
      </c>
      <c r="P149" s="9" t="n">
        <f aca="false">IF(الإجابات!P149=الإجابات!P$2,1,0)</f>
        <v>0</v>
      </c>
      <c r="Q149" s="9" t="n">
        <f aca="false">IF(الإجابات!Q149=الإجابات!Q$2,1,0)</f>
        <v>1</v>
      </c>
      <c r="R149" s="9" t="n">
        <f aca="false">IF(الإجابات!R149=الإجابات!R$2,1,0)</f>
        <v>1</v>
      </c>
      <c r="S149" s="9" t="n">
        <f aca="false">IF(الإجابات!S149=الإجابات!S$2,1,0)</f>
        <v>0</v>
      </c>
      <c r="T149" s="9" t="n">
        <f aca="false">IF(الإجابات!T149=الإجابات!T$2,1,0)</f>
        <v>1</v>
      </c>
      <c r="U149" s="9" t="n">
        <f aca="false">IF(الإجابات!U149=الإجابات!U$2,1,0)</f>
        <v>1</v>
      </c>
      <c r="V149" s="9" t="n">
        <f aca="false">IF(الإجابات!V149=الإجابات!V$2,1,0)</f>
        <v>1</v>
      </c>
      <c r="W149" s="9" t="n">
        <f aca="false">IF(الإجابات!W149=الإجابات!W$2,1,0)</f>
        <v>1</v>
      </c>
      <c r="X149" s="9" t="n">
        <f aca="false">IF(الإجابات!X149=الإجابات!X$2,1,0)</f>
        <v>1</v>
      </c>
      <c r="Y149" s="9" t="n">
        <f aca="false">IF(الإجابات!Y149=الإجابات!Y$2,1,0)</f>
        <v>1</v>
      </c>
      <c r="Z149" s="9" t="n">
        <f aca="false">IF(الإجابات!Z149=الإجابات!Z$2,1,0)</f>
        <v>1</v>
      </c>
      <c r="AA149" s="9" t="n">
        <f aca="false">IF(الإجابات!AA149=الإجابات!AA$2,1,0)</f>
        <v>1</v>
      </c>
      <c r="AB149" s="9" t="n">
        <f aca="false">IF(الإجابات!AB149=الإجابات!AB$2,1,0)</f>
        <v>0</v>
      </c>
      <c r="AC149" s="9" t="n">
        <f aca="false">IF(الإجابات!AC149=الإجابات!AC$2,1,0)</f>
        <v>1</v>
      </c>
      <c r="AD149" s="9" t="n">
        <f aca="false">IF(الإجابات!AD149=الإجابات!AD$2,1,0)</f>
        <v>1</v>
      </c>
      <c r="AE149" s="9" t="n">
        <f aca="false">IF(الإجابات!AE149=الإجابات!AE$2,1,0)</f>
        <v>1</v>
      </c>
      <c r="AF149" s="9" t="n">
        <f aca="false">SUM(B149:AE149)</f>
        <v>26</v>
      </c>
    </row>
    <row r="150" customFormat="false" ht="15" hidden="false" customHeight="false" outlineLevel="0" collapsed="false">
      <c r="A150" s="0" t="str">
        <f aca="false">الإجابات!A150</f>
        <v>S148</v>
      </c>
      <c r="B150" s="9" t="n">
        <f aca="false">IF(الإجابات!B150=الإجابات!B$2,1,0)</f>
        <v>0</v>
      </c>
      <c r="C150" s="9" t="n">
        <f aca="false">IF(الإجابات!C150=الإجابات!C$2,1,0)</f>
        <v>1</v>
      </c>
      <c r="D150" s="9" t="n">
        <f aca="false">IF(الإجابات!D150=الإجابات!D$2,1,0)</f>
        <v>0</v>
      </c>
      <c r="E150" s="9" t="n">
        <f aca="false">IF(الإجابات!E150=الإجابات!E$2,1,0)</f>
        <v>1</v>
      </c>
      <c r="F150" s="9" t="n">
        <f aca="false">IF(الإجابات!F150=الإجابات!F$2,1,0)</f>
        <v>0</v>
      </c>
      <c r="G150" s="9" t="n">
        <f aca="false">IF(الإجابات!G150=الإجابات!G$2,1,0)</f>
        <v>1</v>
      </c>
      <c r="H150" s="9" t="n">
        <f aca="false">IF(الإجابات!H150=الإجابات!H$2,1,0)</f>
        <v>0</v>
      </c>
      <c r="I150" s="9" t="n">
        <f aca="false">IF(الإجابات!I150=الإجابات!I$2,1,0)</f>
        <v>1</v>
      </c>
      <c r="J150" s="9" t="n">
        <f aca="false">IF(الإجابات!J150=الإجابات!J$2,1,0)</f>
        <v>1</v>
      </c>
      <c r="K150" s="9" t="n">
        <f aca="false">IF(الإجابات!K150=الإجابات!K$2,1,0)</f>
        <v>1</v>
      </c>
      <c r="L150" s="9" t="n">
        <f aca="false">IF(الإجابات!L150=الإجابات!L$2,1,0)</f>
        <v>1</v>
      </c>
      <c r="M150" s="9" t="n">
        <f aca="false">IF(الإجابات!M150=الإجابات!M$2,1,0)</f>
        <v>1</v>
      </c>
      <c r="N150" s="9" t="n">
        <f aca="false">IF(الإجابات!N150=الإجابات!N$2,1,0)</f>
        <v>1</v>
      </c>
      <c r="O150" s="9" t="n">
        <f aca="false">IF(الإجابات!O150=الإجابات!O$2,1,0)</f>
        <v>1</v>
      </c>
      <c r="P150" s="9" t="n">
        <f aca="false">IF(الإجابات!P150=الإجابات!P$2,1,0)</f>
        <v>1</v>
      </c>
      <c r="Q150" s="9" t="n">
        <f aca="false">IF(الإجابات!Q150=الإجابات!Q$2,1,0)</f>
        <v>1</v>
      </c>
      <c r="R150" s="9" t="n">
        <f aca="false">IF(الإجابات!R150=الإجابات!R$2,1,0)</f>
        <v>1</v>
      </c>
      <c r="S150" s="9" t="n">
        <f aca="false">IF(الإجابات!S150=الإجابات!S$2,1,0)</f>
        <v>0</v>
      </c>
      <c r="T150" s="9" t="n">
        <f aca="false">IF(الإجابات!T150=الإجابات!T$2,1,0)</f>
        <v>1</v>
      </c>
      <c r="U150" s="9" t="n">
        <f aca="false">IF(الإجابات!U150=الإجابات!U$2,1,0)</f>
        <v>0</v>
      </c>
      <c r="V150" s="9" t="n">
        <f aca="false">IF(الإجابات!V150=الإجابات!V$2,1,0)</f>
        <v>1</v>
      </c>
      <c r="W150" s="9" t="n">
        <f aca="false">IF(الإجابات!W150=الإجابات!W$2,1,0)</f>
        <v>1</v>
      </c>
      <c r="X150" s="9" t="n">
        <f aca="false">IF(الإجابات!X150=الإجابات!X$2,1,0)</f>
        <v>0</v>
      </c>
      <c r="Y150" s="9" t="n">
        <f aca="false">IF(الإجابات!Y150=الإجابات!Y$2,1,0)</f>
        <v>1</v>
      </c>
      <c r="Z150" s="9" t="n">
        <f aca="false">IF(الإجابات!Z150=الإجابات!Z$2,1,0)</f>
        <v>0</v>
      </c>
      <c r="AA150" s="9" t="n">
        <f aca="false">IF(الإجابات!AA150=الإجابات!AA$2,1,0)</f>
        <v>0</v>
      </c>
      <c r="AB150" s="9" t="n">
        <f aca="false">IF(الإجابات!AB150=الإجابات!AB$2,1,0)</f>
        <v>0</v>
      </c>
      <c r="AC150" s="9" t="n">
        <f aca="false">IF(الإجابات!AC150=الإجابات!AC$2,1,0)</f>
        <v>1</v>
      </c>
      <c r="AD150" s="9" t="n">
        <f aca="false">IF(الإجابات!AD150=الإجابات!AD$2,1,0)</f>
        <v>0</v>
      </c>
      <c r="AE150" s="9" t="n">
        <f aca="false">IF(الإجابات!AE150=الإجابات!AE$2,1,0)</f>
        <v>1</v>
      </c>
      <c r="AF150" s="9" t="n">
        <f aca="false">SUM(B150:AE150)</f>
        <v>19</v>
      </c>
    </row>
    <row r="151" customFormat="false" ht="15" hidden="false" customHeight="false" outlineLevel="0" collapsed="false">
      <c r="A151" s="0" t="str">
        <f aca="false">الإجابات!A151</f>
        <v>S149</v>
      </c>
      <c r="B151" s="9" t="n">
        <f aca="false">IF(الإجابات!B151=الإجابات!B$2,1,0)</f>
        <v>0</v>
      </c>
      <c r="C151" s="9" t="n">
        <f aca="false">IF(الإجابات!C151=الإجابات!C$2,1,0)</f>
        <v>1</v>
      </c>
      <c r="D151" s="9" t="n">
        <f aca="false">IF(الإجابات!D151=الإجابات!D$2,1,0)</f>
        <v>0</v>
      </c>
      <c r="E151" s="9" t="n">
        <f aca="false">IF(الإجابات!E151=الإجابات!E$2,1,0)</f>
        <v>1</v>
      </c>
      <c r="F151" s="9" t="n">
        <f aca="false">IF(الإجابات!F151=الإجابات!F$2,1,0)</f>
        <v>0</v>
      </c>
      <c r="G151" s="9" t="n">
        <f aca="false">IF(الإجابات!G151=الإجابات!G$2,1,0)</f>
        <v>1</v>
      </c>
      <c r="H151" s="9" t="n">
        <f aca="false">IF(الإجابات!H151=الإجابات!H$2,1,0)</f>
        <v>0</v>
      </c>
      <c r="I151" s="9" t="n">
        <f aca="false">IF(الإجابات!I151=الإجابات!I$2,1,0)</f>
        <v>0</v>
      </c>
      <c r="J151" s="9" t="n">
        <f aca="false">IF(الإجابات!J151=الإجابات!J$2,1,0)</f>
        <v>1</v>
      </c>
      <c r="K151" s="9" t="n">
        <f aca="false">IF(الإجابات!K151=الإجابات!K$2,1,0)</f>
        <v>0</v>
      </c>
      <c r="L151" s="9" t="n">
        <f aca="false">IF(الإجابات!L151=الإجابات!L$2,1,0)</f>
        <v>1</v>
      </c>
      <c r="M151" s="9" t="n">
        <f aca="false">IF(الإجابات!M151=الإجابات!M$2,1,0)</f>
        <v>1</v>
      </c>
      <c r="N151" s="9" t="n">
        <f aca="false">IF(الإجابات!N151=الإجابات!N$2,1,0)</f>
        <v>0</v>
      </c>
      <c r="O151" s="9" t="n">
        <f aca="false">IF(الإجابات!O151=الإجابات!O$2,1,0)</f>
        <v>0</v>
      </c>
      <c r="P151" s="9" t="n">
        <f aca="false">IF(الإجابات!P151=الإجابات!P$2,1,0)</f>
        <v>1</v>
      </c>
      <c r="Q151" s="9" t="n">
        <f aca="false">IF(الإجابات!Q151=الإجابات!Q$2,1,0)</f>
        <v>1</v>
      </c>
      <c r="R151" s="9" t="n">
        <f aca="false">IF(الإجابات!R151=الإجابات!R$2,1,0)</f>
        <v>1</v>
      </c>
      <c r="S151" s="9" t="n">
        <f aca="false">IF(الإجابات!S151=الإجابات!S$2,1,0)</f>
        <v>1</v>
      </c>
      <c r="T151" s="9" t="n">
        <f aca="false">IF(الإجابات!T151=الإجابات!T$2,1,0)</f>
        <v>0</v>
      </c>
      <c r="U151" s="9" t="n">
        <f aca="false">IF(الإجابات!U151=الإجابات!U$2,1,0)</f>
        <v>1</v>
      </c>
      <c r="V151" s="9" t="n">
        <f aca="false">IF(الإجابات!V151=الإجابات!V$2,1,0)</f>
        <v>0</v>
      </c>
      <c r="W151" s="9" t="n">
        <f aca="false">IF(الإجابات!W151=الإجابات!W$2,1,0)</f>
        <v>1</v>
      </c>
      <c r="X151" s="9" t="n">
        <f aca="false">IF(الإجابات!X151=الإجابات!X$2,1,0)</f>
        <v>0</v>
      </c>
      <c r="Y151" s="9" t="n">
        <f aca="false">IF(الإجابات!Y151=الإجابات!Y$2,1,0)</f>
        <v>1</v>
      </c>
      <c r="Z151" s="9" t="n">
        <f aca="false">IF(الإجابات!Z151=الإجابات!Z$2,1,0)</f>
        <v>1</v>
      </c>
      <c r="AA151" s="9" t="n">
        <f aca="false">IF(الإجابات!AA151=الإجابات!AA$2,1,0)</f>
        <v>0</v>
      </c>
      <c r="AB151" s="9" t="n">
        <f aca="false">IF(الإجابات!AB151=الإجابات!AB$2,1,0)</f>
        <v>1</v>
      </c>
      <c r="AC151" s="9" t="n">
        <f aca="false">IF(الإجابات!AC151=الإجابات!AC$2,1,0)</f>
        <v>1</v>
      </c>
      <c r="AD151" s="9" t="n">
        <f aca="false">IF(الإجابات!AD151=الإجابات!AD$2,1,0)</f>
        <v>1</v>
      </c>
      <c r="AE151" s="9" t="n">
        <f aca="false">IF(الإجابات!AE151=الإجابات!AE$2,1,0)</f>
        <v>1</v>
      </c>
      <c r="AF151" s="9" t="n">
        <f aca="false">SUM(B151:AE151)</f>
        <v>18</v>
      </c>
    </row>
    <row r="152" customFormat="false" ht="15" hidden="false" customHeight="false" outlineLevel="0" collapsed="false">
      <c r="A152" s="0" t="str">
        <f aca="false">الإجابات!A152</f>
        <v>S150</v>
      </c>
      <c r="B152" s="9" t="n">
        <f aca="false">IF(الإجابات!B152=الإجابات!B$2,1,0)</f>
        <v>1</v>
      </c>
      <c r="C152" s="9" t="n">
        <f aca="false">IF(الإجابات!C152=الإجابات!C$2,1,0)</f>
        <v>0</v>
      </c>
      <c r="D152" s="9" t="n">
        <f aca="false">IF(الإجابات!D152=الإجابات!D$2,1,0)</f>
        <v>0</v>
      </c>
      <c r="E152" s="9" t="n">
        <f aca="false">IF(الإجابات!E152=الإجابات!E$2,1,0)</f>
        <v>1</v>
      </c>
      <c r="F152" s="9" t="n">
        <f aca="false">IF(الإجابات!F152=الإجابات!F$2,1,0)</f>
        <v>1</v>
      </c>
      <c r="G152" s="9" t="n">
        <f aca="false">IF(الإجابات!G152=الإجابات!G$2,1,0)</f>
        <v>0</v>
      </c>
      <c r="H152" s="9" t="n">
        <f aca="false">IF(الإجابات!H152=الإجابات!H$2,1,0)</f>
        <v>1</v>
      </c>
      <c r="I152" s="9" t="n">
        <f aca="false">IF(الإجابات!I152=الإجابات!I$2,1,0)</f>
        <v>1</v>
      </c>
      <c r="J152" s="9" t="n">
        <f aca="false">IF(الإجابات!J152=الإجابات!J$2,1,0)</f>
        <v>1</v>
      </c>
      <c r="K152" s="9" t="n">
        <f aca="false">IF(الإجابات!K152=الإجابات!K$2,1,0)</f>
        <v>1</v>
      </c>
      <c r="L152" s="9" t="n">
        <f aca="false">IF(الإجابات!L152=الإجابات!L$2,1,0)</f>
        <v>1</v>
      </c>
      <c r="M152" s="9" t="n">
        <f aca="false">IF(الإجابات!M152=الإجابات!M$2,1,0)</f>
        <v>1</v>
      </c>
      <c r="N152" s="9" t="n">
        <f aca="false">IF(الإجابات!N152=الإجابات!N$2,1,0)</f>
        <v>1</v>
      </c>
      <c r="O152" s="9" t="n">
        <f aca="false">IF(الإجابات!O152=الإجابات!O$2,1,0)</f>
        <v>1</v>
      </c>
      <c r="P152" s="9" t="n">
        <f aca="false">IF(الإجابات!P152=الإجابات!P$2,1,0)</f>
        <v>1</v>
      </c>
      <c r="Q152" s="9" t="n">
        <f aca="false">IF(الإجابات!Q152=الإجابات!Q$2,1,0)</f>
        <v>1</v>
      </c>
      <c r="R152" s="9" t="n">
        <f aca="false">IF(الإجابات!R152=الإجابات!R$2,1,0)</f>
        <v>1</v>
      </c>
      <c r="S152" s="9" t="n">
        <f aca="false">IF(الإجابات!S152=الإجابات!S$2,1,0)</f>
        <v>0</v>
      </c>
      <c r="T152" s="9" t="n">
        <f aca="false">IF(الإجابات!T152=الإجابات!T$2,1,0)</f>
        <v>0</v>
      </c>
      <c r="U152" s="9" t="n">
        <f aca="false">IF(الإجابات!U152=الإجابات!U$2,1,0)</f>
        <v>1</v>
      </c>
      <c r="V152" s="9" t="n">
        <f aca="false">IF(الإجابات!V152=الإجابات!V$2,1,0)</f>
        <v>1</v>
      </c>
      <c r="W152" s="9" t="n">
        <f aca="false">IF(الإجابات!W152=الإجابات!W$2,1,0)</f>
        <v>0</v>
      </c>
      <c r="X152" s="9" t="n">
        <f aca="false">IF(الإجابات!X152=الإجابات!X$2,1,0)</f>
        <v>0</v>
      </c>
      <c r="Y152" s="9" t="n">
        <f aca="false">IF(الإجابات!Y152=الإجابات!Y$2,1,0)</f>
        <v>0</v>
      </c>
      <c r="Z152" s="9" t="n">
        <f aca="false">IF(الإجابات!Z152=الإجابات!Z$2,1,0)</f>
        <v>1</v>
      </c>
      <c r="AA152" s="9" t="n">
        <f aca="false">IF(الإجابات!AA152=الإجابات!AA$2,1,0)</f>
        <v>0</v>
      </c>
      <c r="AB152" s="9" t="n">
        <f aca="false">IF(الإجابات!AB152=الإجابات!AB$2,1,0)</f>
        <v>0</v>
      </c>
      <c r="AC152" s="9" t="n">
        <f aca="false">IF(الإجابات!AC152=الإجابات!AC$2,1,0)</f>
        <v>1</v>
      </c>
      <c r="AD152" s="9" t="n">
        <f aca="false">IF(الإجابات!AD152=الإجابات!AD$2,1,0)</f>
        <v>1</v>
      </c>
      <c r="AE152" s="9" t="n">
        <f aca="false">IF(الإجابات!AE152=الإجابات!AE$2,1,0)</f>
        <v>1</v>
      </c>
      <c r="AF152" s="9" t="n">
        <f aca="false">SUM(B152:AE152)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4" min="11" style="0" width="7"/>
    <col collapsed="false" customWidth="true" hidden="false" outlineLevel="0" max="15" min="15" style="0" width="9"/>
    <col collapsed="false" customWidth="true" hidden="false" outlineLevel="0" max="16" min="16" style="0" width="38"/>
  </cols>
  <sheetData>
    <row r="1" customFormat="false" ht="17.9" hidden="false" customHeight="false" outlineLevel="0" collapsed="false">
      <c r="A1" s="4" t="s">
        <v>201</v>
      </c>
      <c r="B1" s="4"/>
    </row>
    <row r="2" customFormat="false" ht="15" hidden="false" customHeight="false" outlineLevel="0" collapsed="false">
      <c r="A2" s="7" t="s">
        <v>202</v>
      </c>
      <c r="B2" s="7" t="n">
        <f aca="false">COUNT(التصحيح!$AF$3:$AF$152)</f>
        <v>150</v>
      </c>
    </row>
    <row r="3" customFormat="false" ht="17.9" hidden="false" customHeight="false" outlineLevel="0" collapsed="false">
      <c r="A3" s="7" t="s">
        <v>203</v>
      </c>
      <c r="B3" s="10" t="n">
        <v>0.27</v>
      </c>
    </row>
    <row r="4" customFormat="false" ht="15" hidden="false" customHeight="false" outlineLevel="0" collapsed="false">
      <c r="A4" s="7" t="s">
        <v>204</v>
      </c>
      <c r="B4" s="7" t="n">
        <f aca="false">ROUND(B2*B3,0)</f>
        <v>41</v>
      </c>
    </row>
    <row r="5" customFormat="false" ht="17.9" hidden="false" customHeight="false" outlineLevel="0" collapsed="false">
      <c r="A5" s="7" t="s">
        <v>205</v>
      </c>
      <c r="B5" s="7" t="n">
        <f aca="false">LARGE(التصحيح!$AF$3:$AF$152,B4)</f>
        <v>21</v>
      </c>
    </row>
    <row r="6" customFormat="false" ht="17.9" hidden="false" customHeight="false" outlineLevel="0" collapsed="false">
      <c r="A6" s="7" t="s">
        <v>206</v>
      </c>
      <c r="B6" s="7" t="n">
        <f aca="false">SMALL(التصحيح!$AF$3:$AF$152,B4)</f>
        <v>11</v>
      </c>
    </row>
    <row r="7" customFormat="false" ht="15" hidden="false" customHeight="false" outlineLevel="0" collapsed="false">
      <c r="A7" s="7" t="s">
        <v>207</v>
      </c>
      <c r="B7" s="7" t="n">
        <f aca="false">COUNTIF(التصحيح!$AF$3:$AF$152,"&gt;="&amp;B5)</f>
        <v>45</v>
      </c>
    </row>
    <row r="8" customFormat="false" ht="15" hidden="false" customHeight="false" outlineLevel="0" collapsed="false">
      <c r="A8" s="7" t="s">
        <v>208</v>
      </c>
      <c r="B8" s="7" t="n">
        <f aca="false">COUNTIF(التصحيح!$AF$3:$AF$152,"&lt;="&amp;B6)</f>
        <v>45</v>
      </c>
    </row>
    <row r="9" customFormat="false" ht="17.9" hidden="false" customHeight="false" outlineLevel="0" collapsed="false">
      <c r="A9" s="7" t="s">
        <v>209</v>
      </c>
      <c r="B9" s="11" t="n">
        <v>30</v>
      </c>
    </row>
    <row r="10" customFormat="false" ht="15" hidden="false" customHeight="false" outlineLevel="0" collapsed="false">
      <c r="A10" s="7" t="s">
        <v>210</v>
      </c>
      <c r="B10" s="12" t="n">
        <f aca="false">VARP(التصحيح!$AF$3:$AF$152)</f>
        <v>40.9555555555556</v>
      </c>
    </row>
    <row r="11" customFormat="false" ht="15" hidden="false" customHeight="false" outlineLevel="0" collapsed="false">
      <c r="A11" s="7" t="s">
        <v>211</v>
      </c>
      <c r="B11" s="12" t="n">
        <f aca="false">SQRT(B10)</f>
        <v>6.39965276835826</v>
      </c>
    </row>
    <row r="12" customFormat="false" ht="15" hidden="false" customHeight="false" outlineLevel="0" collapsed="false">
      <c r="A12" s="7" t="s">
        <v>212</v>
      </c>
      <c r="B12" s="13" t="n">
        <f aca="false">SUM(G21:G50)</f>
        <v>6.51973333333333</v>
      </c>
    </row>
    <row r="13" customFormat="false" ht="15" hidden="false" customHeight="false" outlineLevel="0" collapsed="false">
      <c r="A13" s="7" t="s">
        <v>213</v>
      </c>
      <c r="B13" s="10" t="n">
        <v>0.2</v>
      </c>
    </row>
    <row r="14" customFormat="false" ht="15" hidden="false" customHeight="false" outlineLevel="0" collapsed="false">
      <c r="A14" s="7" t="s">
        <v>214</v>
      </c>
      <c r="B14" s="10" t="n">
        <v>0.9</v>
      </c>
    </row>
    <row r="15" customFormat="false" ht="15" hidden="false" customHeight="false" outlineLevel="0" collapsed="false">
      <c r="A15" s="7" t="s">
        <v>215</v>
      </c>
      <c r="B15" s="10" t="n">
        <v>0.2</v>
      </c>
    </row>
    <row r="16" customFormat="false" ht="15" hidden="false" customHeight="false" outlineLevel="0" collapsed="false">
      <c r="A16" s="7" t="s">
        <v>216</v>
      </c>
      <c r="B16" s="10" t="n">
        <v>0.3</v>
      </c>
    </row>
    <row r="17" customFormat="false" ht="15" hidden="false" customHeight="false" outlineLevel="0" collapsed="false">
      <c r="A17" s="7" t="s">
        <v>217</v>
      </c>
      <c r="B17" s="10" t="n">
        <v>0.05</v>
      </c>
    </row>
    <row r="19" customFormat="false" ht="19.4" hidden="false" customHeight="false" outlineLevel="0" collapsed="false">
      <c r="A19" s="14" t="s">
        <v>218</v>
      </c>
    </row>
    <row r="20" customFormat="false" ht="34.3" hidden="false" customHeight="false" outlineLevel="0" collapsed="false">
      <c r="A20" s="4" t="s">
        <v>219</v>
      </c>
      <c r="B20" s="4" t="s">
        <v>220</v>
      </c>
      <c r="C20" s="4" t="s">
        <v>221</v>
      </c>
      <c r="D20" s="4" t="s">
        <v>222</v>
      </c>
      <c r="E20" s="4" t="s">
        <v>223</v>
      </c>
      <c r="F20" s="4" t="s">
        <v>224</v>
      </c>
      <c r="G20" s="4" t="s">
        <v>225</v>
      </c>
      <c r="H20" s="4" t="s">
        <v>226</v>
      </c>
      <c r="I20" s="4" t="s">
        <v>227</v>
      </c>
      <c r="J20" s="4" t="s">
        <v>228</v>
      </c>
      <c r="K20" s="4" t="s">
        <v>229</v>
      </c>
      <c r="L20" s="4" t="s">
        <v>230</v>
      </c>
      <c r="M20" s="4" t="s">
        <v>231</v>
      </c>
      <c r="N20" s="4" t="s">
        <v>232</v>
      </c>
      <c r="O20" s="4" t="s">
        <v>233</v>
      </c>
      <c r="P20" s="4" t="s">
        <v>234</v>
      </c>
    </row>
    <row r="21" customFormat="false" ht="17.9" hidden="false" customHeight="false" outlineLevel="0" collapsed="false">
      <c r="A21" s="15" t="s">
        <v>14</v>
      </c>
      <c r="B21" s="15" t="str">
        <f aca="false">الإجابات!B2</f>
        <v>D</v>
      </c>
      <c r="C21" s="16" t="n">
        <f aca="false">AVERAGE(التصحيح!$B$3:$B$152)</f>
        <v>0.433333333333333</v>
      </c>
      <c r="D21" s="16" t="n">
        <f aca="false">SUMIF(التصحيح!$AF$3:$AF$152,"&gt;="&amp;$B$5,التصحيح!$B$3:$B$152)/$B$7</f>
        <v>0.777777777777778</v>
      </c>
      <c r="E21" s="16" t="n">
        <f aca="false">SUMIF(التصحيح!$AF$3:$AF$152,"&lt;="&amp;$B$6,التصحيح!$B$3:$B$152)/$B$8</f>
        <v>0.133333333333333</v>
      </c>
      <c r="F21" s="16" t="n">
        <f aca="false">D21-E21</f>
        <v>0.644444444444445</v>
      </c>
      <c r="G21" s="17" t="n">
        <f aca="false">VARP(التصحيح!$B$3:$B$152)</f>
        <v>0.245555555555555</v>
      </c>
      <c r="H21" s="16" t="n">
        <f aca="false">IF(G21=0,0,CORREL(التصحيح!$B$3:$B$152,التصحيح!$AF$3:$AF$152))</f>
        <v>0.543773344206036</v>
      </c>
      <c r="I21" s="16" t="n">
        <f aca="false">IF(G21=0,0,(H21*$B$11-SQRT(G21))/SQRT(G21+$B$10-2*H21*SQRT(G21)*$B$11))</f>
        <v>0.485723821845763</v>
      </c>
      <c r="J21" s="16" t="n">
        <f aca="false">($B$9-1)/($B$9-2)*(1-($B$12-G21)/($B$10+G21-2*H21*SQRT(G21)*$B$11))</f>
        <v>0.863585198390508</v>
      </c>
      <c r="K21" s="18" t="n">
        <f aca="false">COUNTIF(الإجابات!$B$3:$B$152,"A")/$B$2</f>
        <v>0.16</v>
      </c>
      <c r="L21" s="18" t="n">
        <f aca="false">COUNTIF(الإجابات!$B$3:$B$152,"B")/$B$2</f>
        <v>0.22</v>
      </c>
      <c r="M21" s="18" t="n">
        <f aca="false">COUNTIF(الإجابات!$B$3:$B$152,"C")/$B$2</f>
        <v>0.186666666666667</v>
      </c>
      <c r="N21" s="18" t="n">
        <f aca="false">COUNTIF(الإجابات!$B$3:$B$152,"D")/$B$2</f>
        <v>0.433333333333333</v>
      </c>
      <c r="O21" s="18" t="n">
        <f aca="false">MIN(IF(B21="A",1,K21),IF(B21="B",1,L21),IF(B21="C",1,M21),IF(B21="D",1,N21))</f>
        <v>0.16</v>
      </c>
      <c r="P21" s="19" t="str">
        <f aca="false">IF(I21&lt;-0.1,"تمييز سالب: راجِع المفتاح فوراً",IF(OR(C21&gt;$B$14,C21&lt;$B$13),"صعوبة متطرفة: راجِع الصياغة أو المستوى",IF(I21&lt;$B$15,"تمييز ضعيف: راجِع الصياغة والمموهات",IF(O21&lt;$B$17,"مموّه غير فعّال: استبدله",IF(I21&lt;$B$16,"مقبولة وقابلة للتحسين","جيدة")))))</f>
        <v>جيدة</v>
      </c>
    </row>
    <row r="22" customFormat="false" ht="17.9" hidden="false" customHeight="false" outlineLevel="0" collapsed="false">
      <c r="A22" s="15" t="s">
        <v>15</v>
      </c>
      <c r="B22" s="15" t="str">
        <f aca="false">الإجابات!C2</f>
        <v>C</v>
      </c>
      <c r="C22" s="16" t="n">
        <f aca="false">AVERAGE(التصحيح!$C$3:$C$152)</f>
        <v>0.406666666666667</v>
      </c>
      <c r="D22" s="16" t="n">
        <f aca="false">SUMIF(التصحيح!$AF$3:$AF$152,"&gt;="&amp;$B$5,التصحيح!$C$3:$C$152)/$B$7</f>
        <v>0.755555555555556</v>
      </c>
      <c r="E22" s="16" t="n">
        <f aca="false">SUMIF(التصحيح!$AF$3:$AF$152,"&lt;="&amp;$B$6,التصحيح!$C$3:$C$152)/$B$8</f>
        <v>0.133333333333333</v>
      </c>
      <c r="F22" s="16" t="n">
        <f aca="false">D22-E22</f>
        <v>0.622222222222222</v>
      </c>
      <c r="G22" s="17" t="n">
        <f aca="false">VARP(التصحيح!$C$3:$C$152)</f>
        <v>0.241288888888889</v>
      </c>
      <c r="H22" s="16" t="n">
        <f aca="false">IF(G22=0,0,CORREL(التصحيح!$C$3:$C$152,التصحيح!$AF$3:$AF$152))</f>
        <v>0.531311462120981</v>
      </c>
      <c r="I22" s="16" t="n">
        <f aca="false">IF(G22=0,0,(H22*$B$11-SQRT(G22))/SQRT(G22+$B$10-2*H22*SQRT(G22)*$B$11))</f>
        <v>0.47279584324291</v>
      </c>
      <c r="J22" s="16" t="n">
        <f aca="false">($B$9-1)/($B$9-2)*(1-($B$12-G22)/($B$10+G22-2*H22*SQRT(G22)*$B$11))</f>
        <v>0.863942151988559</v>
      </c>
      <c r="K22" s="18" t="n">
        <f aca="false">COUNTIF(الإجابات!$C$3:$C$152,"A")/$B$2</f>
        <v>0.193333333333333</v>
      </c>
      <c r="L22" s="18" t="n">
        <f aca="false">COUNTIF(الإجابات!$C$3:$C$152,"B")/$B$2</f>
        <v>0.233333333333333</v>
      </c>
      <c r="M22" s="18" t="n">
        <f aca="false">COUNTIF(الإجابات!$C$3:$C$152,"C")/$B$2</f>
        <v>0.406666666666667</v>
      </c>
      <c r="N22" s="18" t="n">
        <f aca="false">COUNTIF(الإجابات!$C$3:$C$152,"D")/$B$2</f>
        <v>0.166666666666667</v>
      </c>
      <c r="O22" s="18" t="n">
        <f aca="false">MIN(IF(B22="A",1,K22),IF(B22="B",1,L22),IF(B22="C",1,M22),IF(B22="D",1,N22))</f>
        <v>0.166666666666667</v>
      </c>
      <c r="P22" s="19" t="str">
        <f aca="false">IF(I22&lt;-0.1,"تمييز سالب: راجِع المفتاح فوراً",IF(OR(C22&gt;$B$14,C22&lt;$B$13),"صعوبة متطرفة: راجِع الصياغة أو المستوى",IF(I22&lt;$B$15,"تمييز ضعيف: راجِع الصياغة والمموهات",IF(O22&lt;$B$17,"مموّه غير فعّال: استبدله",IF(I22&lt;$B$16,"مقبولة وقابلة للتحسين","جيدة")))))</f>
        <v>جيدة</v>
      </c>
    </row>
    <row r="23" customFormat="false" ht="17.9" hidden="false" customHeight="false" outlineLevel="0" collapsed="false">
      <c r="A23" s="15" t="s">
        <v>16</v>
      </c>
      <c r="B23" s="15" t="str">
        <f aca="false">الإجابات!D2</f>
        <v>D</v>
      </c>
      <c r="C23" s="16" t="n">
        <f aca="false">AVERAGE(التصحيح!$D$3:$D$152)</f>
        <v>0.373333333333333</v>
      </c>
      <c r="D23" s="16" t="n">
        <f aca="false">SUMIF(التصحيح!$AF$3:$AF$152,"&gt;="&amp;$B$5,التصحيح!$D$3:$D$152)/$B$7</f>
        <v>0.666666666666667</v>
      </c>
      <c r="E23" s="16" t="n">
        <f aca="false">SUMIF(التصحيح!$AF$3:$AF$152,"&lt;="&amp;$B$6,التصحيح!$D$3:$D$152)/$B$8</f>
        <v>0.244444444444444</v>
      </c>
      <c r="F23" s="16" t="n">
        <f aca="false">D23-E23</f>
        <v>0.422222222222222</v>
      </c>
      <c r="G23" s="17" t="n">
        <f aca="false">VARP(التصحيح!$D$3:$D$152)</f>
        <v>0.233955555555556</v>
      </c>
      <c r="H23" s="16" t="n">
        <f aca="false">IF(G23=0,0,CORREL(التصحيح!$D$3:$D$152,التصحيح!$AF$3:$AF$152))</f>
        <v>0.415377361716387</v>
      </c>
      <c r="I23" s="16" t="n">
        <f aca="false">IF(G23=0,0,(H23*$B$11-SQRT(G23))/SQRT(G23+$B$10-2*H23*SQRT(G23)*$B$11))</f>
        <v>0.349929874995954</v>
      </c>
      <c r="J23" s="16" t="n">
        <f aca="false">($B$9-1)/($B$9-2)*(1-($B$12-G23)/($B$10+G23-2*H23*SQRT(G23)*$B$11))</f>
        <v>0.867132864258554</v>
      </c>
      <c r="K23" s="18" t="n">
        <f aca="false">COUNTIF(الإجابات!$D$3:$D$152,"A")/$B$2</f>
        <v>0.166666666666667</v>
      </c>
      <c r="L23" s="18" t="n">
        <f aca="false">COUNTIF(الإجابات!$D$3:$D$152,"B")/$B$2</f>
        <v>0.2</v>
      </c>
      <c r="M23" s="18" t="n">
        <f aca="false">COUNTIF(الإجابات!$D$3:$D$152,"C")/$B$2</f>
        <v>0.26</v>
      </c>
      <c r="N23" s="18" t="n">
        <f aca="false">COUNTIF(الإجابات!$D$3:$D$152,"D")/$B$2</f>
        <v>0.373333333333333</v>
      </c>
      <c r="O23" s="18" t="n">
        <f aca="false">MIN(IF(B23="A",1,K23),IF(B23="B",1,L23),IF(B23="C",1,M23),IF(B23="D",1,N23))</f>
        <v>0.166666666666667</v>
      </c>
      <c r="P23" s="19" t="str">
        <f aca="false">IF(I23&lt;-0.1,"تمييز سالب: راجِع المفتاح فوراً",IF(OR(C23&gt;$B$14,C23&lt;$B$13),"صعوبة متطرفة: راجِع الصياغة أو المستوى",IF(I23&lt;$B$15,"تمييز ضعيف: راجِع الصياغة والمموهات",IF(O23&lt;$B$17,"مموّه غير فعّال: استبدله",IF(I23&lt;$B$16,"مقبولة وقابلة للتحسين","جيدة")))))</f>
        <v>جيدة</v>
      </c>
    </row>
    <row r="24" customFormat="false" ht="17.9" hidden="false" customHeight="false" outlineLevel="0" collapsed="false">
      <c r="A24" s="15" t="s">
        <v>17</v>
      </c>
      <c r="B24" s="15" t="str">
        <f aca="false">الإجابات!E2</f>
        <v>B</v>
      </c>
      <c r="C24" s="16" t="n">
        <f aca="false">AVERAGE(التصحيح!$E$3:$E$152)</f>
        <v>0.766666666666667</v>
      </c>
      <c r="D24" s="16" t="n">
        <f aca="false">SUMIF(التصحيح!$AF$3:$AF$152,"&gt;="&amp;$B$5,التصحيح!$E$3:$E$152)/$B$7</f>
        <v>1</v>
      </c>
      <c r="E24" s="16" t="n">
        <f aca="false">SUMIF(التصحيح!$AF$3:$AF$152,"&lt;="&amp;$B$6,التصحيح!$E$3:$E$152)/$B$8</f>
        <v>0.444444444444444</v>
      </c>
      <c r="F24" s="16" t="n">
        <f aca="false">D24-E24</f>
        <v>0.555555555555556</v>
      </c>
      <c r="G24" s="17" t="n">
        <f aca="false">VARP(التصحيح!$E$3:$E$152)</f>
        <v>0.178888888888889</v>
      </c>
      <c r="H24" s="16" t="n">
        <f aca="false">IF(G24=0,0,CORREL(التصحيح!$E$3:$E$152,التصحيح!$AF$3:$AF$152))</f>
        <v>0.495879701184197</v>
      </c>
      <c r="I24" s="16" t="n">
        <f aca="false">IF(G24=0,0,(H24*$B$11-SQRT(G24))/SQRT(G24+$B$10-2*H24*SQRT(G24)*$B$11))</f>
        <v>0.443572197019759</v>
      </c>
      <c r="J24" s="16" t="n">
        <f aca="false">($B$9-1)/($B$9-2)*(1-($B$12-G24)/($B$10+G24-2*H24*SQRT(G24)*$B$11))</f>
        <v>0.86491316283774</v>
      </c>
      <c r="K24" s="18" t="n">
        <f aca="false">COUNTIF(الإجابات!$E$3:$E$152,"A")/$B$2</f>
        <v>0.0533333333333333</v>
      </c>
      <c r="L24" s="18" t="n">
        <f aca="false">COUNTIF(الإجابات!$E$3:$E$152,"B")/$B$2</f>
        <v>0.766666666666667</v>
      </c>
      <c r="M24" s="18" t="n">
        <f aca="false">COUNTIF(الإجابات!$E$3:$E$152,"C")/$B$2</f>
        <v>0.06</v>
      </c>
      <c r="N24" s="18" t="n">
        <f aca="false">COUNTIF(الإجابات!$E$3:$E$152,"D")/$B$2</f>
        <v>0.12</v>
      </c>
      <c r="O24" s="18" t="n">
        <f aca="false">MIN(IF(B24="A",1,K24),IF(B24="B",1,L24),IF(B24="C",1,M24),IF(B24="D",1,N24))</f>
        <v>0.0533333333333333</v>
      </c>
      <c r="P24" s="19" t="str">
        <f aca="false">IF(I24&lt;-0.1,"تمييز سالب: راجِع المفتاح فوراً",IF(OR(C24&gt;$B$14,C24&lt;$B$13),"صعوبة متطرفة: راجِع الصياغة أو المستوى",IF(I24&lt;$B$15,"تمييز ضعيف: راجِع الصياغة والمموهات",IF(O24&lt;$B$17,"مموّه غير فعّال: استبدله",IF(I24&lt;$B$16,"مقبولة وقابلة للتحسين","جيدة")))))</f>
        <v>جيدة</v>
      </c>
    </row>
    <row r="25" customFormat="false" ht="17.9" hidden="false" customHeight="false" outlineLevel="0" collapsed="false">
      <c r="A25" s="15" t="s">
        <v>18</v>
      </c>
      <c r="B25" s="15" t="str">
        <f aca="false">الإجابات!F2</f>
        <v>B</v>
      </c>
      <c r="C25" s="16" t="n">
        <f aca="false">AVERAGE(التصحيح!$F$3:$F$152)</f>
        <v>0.426666666666667</v>
      </c>
      <c r="D25" s="16" t="n">
        <f aca="false">SUMIF(التصحيح!$AF$3:$AF$152,"&gt;="&amp;$B$5,التصحيح!$F$3:$F$152)/$B$7</f>
        <v>0.711111111111111</v>
      </c>
      <c r="E25" s="16" t="n">
        <f aca="false">SUMIF(التصحيح!$AF$3:$AF$152,"&lt;="&amp;$B$6,التصحيح!$F$3:$F$152)/$B$8</f>
        <v>0.133333333333333</v>
      </c>
      <c r="F25" s="16" t="n">
        <f aca="false">D25-E25</f>
        <v>0.577777777777778</v>
      </c>
      <c r="G25" s="17" t="n">
        <f aca="false">VARP(التصحيح!$F$3:$F$152)</f>
        <v>0.244622222222222</v>
      </c>
      <c r="H25" s="16" t="n">
        <f aca="false">IF(G25=0,0,CORREL(التصحيح!$F$3:$F$152,التصحيح!$AF$3:$AF$152))</f>
        <v>0.505774379665325</v>
      </c>
      <c r="I25" s="16" t="n">
        <f aca="false">IF(G25=0,0,(H25*$B$11-SQRT(G25))/SQRT(G25+$B$10-2*H25*SQRT(G25)*$B$11))</f>
        <v>0.444850906075961</v>
      </c>
      <c r="J25" s="16" t="n">
        <f aca="false">($B$9-1)/($B$9-2)*(1-($B$12-G25)/($B$10+G25-2*H25*SQRT(G25)*$B$11))</f>
        <v>0.864674920314105</v>
      </c>
      <c r="K25" s="18" t="n">
        <f aca="false">COUNTIF(الإجابات!$F$3:$F$152,"A")/$B$2</f>
        <v>0.286666666666667</v>
      </c>
      <c r="L25" s="18" t="n">
        <f aca="false">COUNTIF(الإجابات!$F$3:$F$152,"B")/$B$2</f>
        <v>0.426666666666667</v>
      </c>
      <c r="M25" s="18" t="n">
        <f aca="false">COUNTIF(الإجابات!$F$3:$F$152,"C")/$B$2</f>
        <v>0.173333333333333</v>
      </c>
      <c r="N25" s="18" t="n">
        <f aca="false">COUNTIF(الإجابات!$F$3:$F$152,"D")/$B$2</f>
        <v>0.113333333333333</v>
      </c>
      <c r="O25" s="18" t="n">
        <f aca="false">MIN(IF(B25="A",1,K25),IF(B25="B",1,L25),IF(B25="C",1,M25),IF(B25="D",1,N25))</f>
        <v>0.113333333333333</v>
      </c>
      <c r="P25" s="19" t="str">
        <f aca="false">IF(I25&lt;-0.1,"تمييز سالب: راجِع المفتاح فوراً",IF(OR(C25&gt;$B$14,C25&lt;$B$13),"صعوبة متطرفة: راجِع الصياغة أو المستوى",IF(I25&lt;$B$15,"تمييز ضعيف: راجِع الصياغة والمموهات",IF(O25&lt;$B$17,"مموّه غير فعّال: استبدله",IF(I25&lt;$B$16,"مقبولة وقابلة للتحسين","جيدة")))))</f>
        <v>جيدة</v>
      </c>
    </row>
    <row r="26" customFormat="false" ht="17.9" hidden="false" customHeight="false" outlineLevel="0" collapsed="false">
      <c r="A26" s="15" t="s">
        <v>19</v>
      </c>
      <c r="B26" s="15" t="str">
        <f aca="false">الإجابات!G2</f>
        <v>B</v>
      </c>
      <c r="C26" s="16" t="n">
        <f aca="false">AVERAGE(التصحيح!$G$3:$G$152)</f>
        <v>0.473333333333333</v>
      </c>
      <c r="D26" s="16" t="n">
        <f aca="false">SUMIF(التصحيح!$AF$3:$AF$152,"&gt;="&amp;$B$5,التصحيح!$G$3:$G$152)/$B$7</f>
        <v>0.822222222222222</v>
      </c>
      <c r="E26" s="16" t="n">
        <f aca="false">SUMIF(التصحيح!$AF$3:$AF$152,"&lt;="&amp;$B$6,التصحيح!$G$3:$G$152)/$B$8</f>
        <v>0.222222222222222</v>
      </c>
      <c r="F26" s="16" t="n">
        <f aca="false">D26-E26</f>
        <v>0.6</v>
      </c>
      <c r="G26" s="17" t="n">
        <f aca="false">VARP(التصحيح!$G$3:$G$152)</f>
        <v>0.249288888888889</v>
      </c>
      <c r="H26" s="16" t="n">
        <f aca="false">IF(G26=0,0,CORREL(التصحيح!$G$3:$G$152,التصحيح!$AF$3:$AF$152))</f>
        <v>0.481683868109314</v>
      </c>
      <c r="I26" s="16" t="n">
        <f aca="false">IF(G26=0,0,(H26*$B$11-SQRT(G26))/SQRT(G26+$B$10-2*H26*SQRT(G26)*$B$11))</f>
        <v>0.418373558023591</v>
      </c>
      <c r="J26" s="16" t="n">
        <f aca="false">($B$9-1)/($B$9-2)*(1-($B$12-G26)/($B$10+G26-2*H26*SQRT(G26)*$B$11))</f>
        <v>0.865376906991457</v>
      </c>
      <c r="K26" s="18" t="n">
        <f aca="false">COUNTIF(الإجابات!$G$3:$G$152,"A")/$B$2</f>
        <v>0.226666666666667</v>
      </c>
      <c r="L26" s="18" t="n">
        <f aca="false">COUNTIF(الإجابات!$G$3:$G$152,"B")/$B$2</f>
        <v>0.473333333333333</v>
      </c>
      <c r="M26" s="18" t="n">
        <f aca="false">COUNTIF(الإجابات!$G$3:$G$152,"C")/$B$2</f>
        <v>0.126666666666667</v>
      </c>
      <c r="N26" s="18" t="n">
        <f aca="false">COUNTIF(الإجابات!$G$3:$G$152,"D")/$B$2</f>
        <v>0.173333333333333</v>
      </c>
      <c r="O26" s="18" t="n">
        <f aca="false">MIN(IF(B26="A",1,K26),IF(B26="B",1,L26),IF(B26="C",1,M26),IF(B26="D",1,N26))</f>
        <v>0.126666666666667</v>
      </c>
      <c r="P26" s="19" t="str">
        <f aca="false">IF(I26&lt;-0.1,"تمييز سالب: راجِع المفتاح فوراً",IF(OR(C26&gt;$B$14,C26&lt;$B$13),"صعوبة متطرفة: راجِع الصياغة أو المستوى",IF(I26&lt;$B$15,"تمييز ضعيف: راجِع الصياغة والمموهات",IF(O26&lt;$B$17,"مموّه غير فعّال: استبدله",IF(I26&lt;$B$16,"مقبولة وقابلة للتحسين","جيدة")))))</f>
        <v>جيدة</v>
      </c>
    </row>
    <row r="27" customFormat="false" ht="17.9" hidden="false" customHeight="false" outlineLevel="0" collapsed="false">
      <c r="A27" s="15" t="s">
        <v>20</v>
      </c>
      <c r="B27" s="15" t="str">
        <f aca="false">الإجابات!H2</f>
        <v>B</v>
      </c>
      <c r="C27" s="16" t="n">
        <f aca="false">AVERAGE(التصحيح!$H$3:$H$152)</f>
        <v>0.253333333333333</v>
      </c>
      <c r="D27" s="16" t="n">
        <f aca="false">SUMIF(التصحيح!$AF$3:$AF$152,"&gt;="&amp;$B$5,التصحيح!$H$3:$H$152)/$B$7</f>
        <v>0.0444444444444444</v>
      </c>
      <c r="E27" s="16" t="n">
        <f aca="false">SUMIF(التصحيح!$AF$3:$AF$152,"&lt;="&amp;$B$6,التصحيح!$H$3:$H$152)/$B$8</f>
        <v>0.444444444444444</v>
      </c>
      <c r="F27" s="16" t="n">
        <f aca="false">D27-E27</f>
        <v>-0.4</v>
      </c>
      <c r="G27" s="17" t="n">
        <f aca="false">VARP(التصحيح!$H$3:$H$152)</f>
        <v>0.189155555555556</v>
      </c>
      <c r="H27" s="16" t="n">
        <f aca="false">IF(G27=0,0,CORREL(التصحيح!$H$3:$H$152,التصحيح!$AF$3:$AF$152))</f>
        <v>-0.373013336004352</v>
      </c>
      <c r="I27" s="16" t="n">
        <f aca="false">IF(G27=0,0,(H27*$B$11-SQRT(G27))/SQRT(G27+$B$10-2*H27*SQRT(G27)*$B$11))</f>
        <v>-0.429260096002956</v>
      </c>
      <c r="J27" s="16" t="n">
        <f aca="false">($B$9-1)/($B$9-2)*(1-($B$12-G27)/($B$10+G27-2*H27*SQRT(G27)*$B$11))</f>
        <v>0.884013810403254</v>
      </c>
      <c r="K27" s="18" t="n">
        <f aca="false">COUNTIF(الإجابات!$H$3:$H$152,"A")/$B$2</f>
        <v>0.0333333333333333</v>
      </c>
      <c r="L27" s="18" t="n">
        <f aca="false">COUNTIF(الإجابات!$H$3:$H$152,"B")/$B$2</f>
        <v>0.253333333333333</v>
      </c>
      <c r="M27" s="18" t="n">
        <f aca="false">COUNTIF(الإجابات!$H$3:$H$152,"C")/$B$2</f>
        <v>0.68</v>
      </c>
      <c r="N27" s="18" t="n">
        <f aca="false">COUNTIF(الإجابات!$H$3:$H$152,"D")/$B$2</f>
        <v>0.0333333333333333</v>
      </c>
      <c r="O27" s="18" t="n">
        <f aca="false">MIN(IF(B27="A",1,K27),IF(B27="B",1,L27),IF(B27="C",1,M27),IF(B27="D",1,N27))</f>
        <v>0.0333333333333333</v>
      </c>
      <c r="P27" s="19" t="str">
        <f aca="false">IF(I27&lt;-0.1,"تمييز سالب: راجِع المفتاح فوراً",IF(OR(C27&gt;$B$14,C27&lt;$B$13),"صعوبة متطرفة: راجِع الصياغة أو المستوى",IF(I27&lt;$B$15,"تمييز ضعيف: راجِع الصياغة والمموهات",IF(O27&lt;$B$17,"مموّه غير فعّال: استبدله",IF(I27&lt;$B$16,"مقبولة وقابلة للتحسين","جيدة")))))</f>
        <v>تمييز سالب: راجِع المفتاح فوراً</v>
      </c>
    </row>
    <row r="28" customFormat="false" ht="17.9" hidden="false" customHeight="false" outlineLevel="0" collapsed="false">
      <c r="A28" s="15" t="s">
        <v>21</v>
      </c>
      <c r="B28" s="15" t="str">
        <f aca="false">الإجابات!I2</f>
        <v>C</v>
      </c>
      <c r="C28" s="16" t="n">
        <f aca="false">AVERAGE(التصحيح!$I$3:$I$152)</f>
        <v>0.66</v>
      </c>
      <c r="D28" s="16" t="n">
        <f aca="false">SUMIF(التصحيح!$AF$3:$AF$152,"&gt;="&amp;$B$5,التصحيح!$I$3:$I$152)/$B$7</f>
        <v>0.977777777777778</v>
      </c>
      <c r="E28" s="16" t="n">
        <f aca="false">SUMIF(التصحيح!$AF$3:$AF$152,"&lt;="&amp;$B$6,التصحيح!$I$3:$I$152)/$B$8</f>
        <v>0.266666666666667</v>
      </c>
      <c r="F28" s="16" t="n">
        <f aca="false">D28-E28</f>
        <v>0.711111111111111</v>
      </c>
      <c r="G28" s="17" t="n">
        <f aca="false">VARP(التصحيح!$I$3:$I$152)</f>
        <v>0.224400000000001</v>
      </c>
      <c r="H28" s="16" t="n">
        <f aca="false">IF(G28=0,0,CORREL(التصحيح!$I$3:$I$152,التصحيح!$AF$3:$AF$152))</f>
        <v>0.617501486480178</v>
      </c>
      <c r="I28" s="16" t="n">
        <f aca="false">IF(G28=0,0,(H28*$B$11-SQRT(G28))/SQRT(G28+$B$10-2*H28*SQRT(G28)*$B$11))</f>
        <v>0.568454744367242</v>
      </c>
      <c r="J28" s="16" t="n">
        <f aca="false">($B$9-1)/($B$9-2)*(1-($B$12-G28)/($B$10+G28-2*H28*SQRT(G28)*$B$11))</f>
        <v>0.861545720496533</v>
      </c>
      <c r="K28" s="18" t="n">
        <f aca="false">COUNTIF(الإجابات!$I$3:$I$152,"A")/$B$2</f>
        <v>0.133333333333333</v>
      </c>
      <c r="L28" s="18" t="n">
        <f aca="false">COUNTIF(الإجابات!$I$3:$I$152,"B")/$B$2</f>
        <v>0.1</v>
      </c>
      <c r="M28" s="18" t="n">
        <f aca="false">COUNTIF(الإجابات!$I$3:$I$152,"C")/$B$2</f>
        <v>0.66</v>
      </c>
      <c r="N28" s="18" t="n">
        <f aca="false">COUNTIF(الإجابات!$I$3:$I$152,"D")/$B$2</f>
        <v>0.106666666666667</v>
      </c>
      <c r="O28" s="18" t="n">
        <f aca="false">MIN(IF(B28="A",1,K28),IF(B28="B",1,L28),IF(B28="C",1,M28),IF(B28="D",1,N28))</f>
        <v>0.1</v>
      </c>
      <c r="P28" s="19" t="str">
        <f aca="false">IF(I28&lt;-0.1,"تمييز سالب: راجِع المفتاح فوراً",IF(OR(C28&gt;$B$14,C28&lt;$B$13),"صعوبة متطرفة: راجِع الصياغة أو المستوى",IF(I28&lt;$B$15,"تمييز ضعيف: راجِع الصياغة والمموهات",IF(O28&lt;$B$17,"مموّه غير فعّال: استبدله",IF(I28&lt;$B$16,"مقبولة وقابلة للتحسين","جيدة")))))</f>
        <v>جيدة</v>
      </c>
    </row>
    <row r="29" customFormat="false" ht="17.9" hidden="false" customHeight="false" outlineLevel="0" collapsed="false">
      <c r="A29" s="15" t="s">
        <v>22</v>
      </c>
      <c r="B29" s="15" t="str">
        <f aca="false">الإجابات!J2</f>
        <v>A</v>
      </c>
      <c r="C29" s="16" t="n">
        <f aca="false">AVERAGE(التصحيح!$J$3:$J$152)</f>
        <v>0.906666666666667</v>
      </c>
      <c r="D29" s="16" t="n">
        <f aca="false">SUMIF(التصحيح!$AF$3:$AF$152,"&gt;="&amp;$B$5,التصحيح!$J$3:$J$152)/$B$7</f>
        <v>1</v>
      </c>
      <c r="E29" s="16" t="n">
        <f aca="false">SUMIF(التصحيح!$AF$3:$AF$152,"&lt;="&amp;$B$6,التصحيح!$J$3:$J$152)/$B$8</f>
        <v>0.755555555555556</v>
      </c>
      <c r="F29" s="16" t="n">
        <f aca="false">D29-E29</f>
        <v>0.244444444444444</v>
      </c>
      <c r="G29" s="17" t="n">
        <f aca="false">VARP(التصحيح!$J$3:$J$152)</f>
        <v>0.0846222222222224</v>
      </c>
      <c r="H29" s="16" t="n">
        <f aca="false">IF(G29=0,0,CORREL(التصحيح!$J$3:$J$152,التصحيح!$AF$3:$AF$152))</f>
        <v>0.34210943254515</v>
      </c>
      <c r="I29" s="16" t="n">
        <f aca="false">IF(G29=0,0,(H29*$B$11-SQRT(G29))/SQRT(G29+$B$10-2*H29*SQRT(G29)*$B$11))</f>
        <v>0.301056826870436</v>
      </c>
      <c r="J29" s="16" t="n">
        <f aca="false">($B$9-1)/($B$9-2)*(1-($B$12-G29)/($B$10+G29-2*H29*SQRT(G29)*$B$11))</f>
        <v>0.868112076111795</v>
      </c>
      <c r="K29" s="18" t="n">
        <f aca="false">COUNTIF(الإجابات!$J$3:$J$152,"A")/$B$2</f>
        <v>0.906666666666667</v>
      </c>
      <c r="L29" s="18" t="n">
        <f aca="false">COUNTIF(الإجابات!$J$3:$J$152,"B")/$B$2</f>
        <v>0.04</v>
      </c>
      <c r="M29" s="18" t="n">
        <f aca="false">COUNTIF(الإجابات!$J$3:$J$152,"C")/$B$2</f>
        <v>0.0333333333333333</v>
      </c>
      <c r="N29" s="18" t="n">
        <f aca="false">COUNTIF(الإجابات!$J$3:$J$152,"D")/$B$2</f>
        <v>0.02</v>
      </c>
      <c r="O29" s="18" t="n">
        <f aca="false">MIN(IF(B29="A",1,K29),IF(B29="B",1,L29),IF(B29="C",1,M29),IF(B29="D",1,N29))</f>
        <v>0.02</v>
      </c>
      <c r="P29" s="19" t="str">
        <f aca="false">IF(I29&lt;-0.1,"تمييز سالب: راجِع المفتاح فوراً",IF(OR(C29&gt;$B$14,C29&lt;$B$13),"صعوبة متطرفة: راجِع الصياغة أو المستوى",IF(I29&lt;$B$15,"تمييز ضعيف: راجِع الصياغة والمموهات",IF(O29&lt;$B$17,"مموّه غير فعّال: استبدله",IF(I29&lt;$B$16,"مقبولة وقابلة للتحسين","جيدة")))))</f>
        <v>صعوبة متطرفة: راجِع الصياغة أو المستوى</v>
      </c>
    </row>
    <row r="30" customFormat="false" ht="17.9" hidden="false" customHeight="false" outlineLevel="0" collapsed="false">
      <c r="A30" s="15" t="s">
        <v>23</v>
      </c>
      <c r="B30" s="15" t="str">
        <f aca="false">الإجابات!K2</f>
        <v>D</v>
      </c>
      <c r="C30" s="16" t="n">
        <f aca="false">AVERAGE(التصحيح!$K$3:$K$152)</f>
        <v>0.493333333333333</v>
      </c>
      <c r="D30" s="16" t="n">
        <f aca="false">SUMIF(التصحيح!$AF$3:$AF$152,"&gt;="&amp;$B$5,التصحيح!$K$3:$K$152)/$B$7</f>
        <v>0.933333333333333</v>
      </c>
      <c r="E30" s="16" t="n">
        <f aca="false">SUMIF(التصحيح!$AF$3:$AF$152,"&lt;="&amp;$B$6,التصحيح!$K$3:$K$152)/$B$8</f>
        <v>0.177777777777778</v>
      </c>
      <c r="F30" s="16" t="n">
        <f aca="false">D30-E30</f>
        <v>0.755555555555556</v>
      </c>
      <c r="G30" s="17" t="n">
        <f aca="false">VARP(التصحيح!$K$3:$K$152)</f>
        <v>0.249955555555556</v>
      </c>
      <c r="H30" s="16" t="n">
        <f aca="false">IF(G30=0,0,CORREL(التصحيح!$K$3:$K$152,التصحيح!$AF$3:$AF$152))</f>
        <v>0.628145470158095</v>
      </c>
      <c r="I30" s="16" t="n">
        <f aca="false">IF(G30=0,0,(H30*$B$11-SQRT(G30))/SQRT(G30+$B$10-2*H30*SQRT(G30)*$B$11))</f>
        <v>0.577228715085824</v>
      </c>
      <c r="J30" s="16" t="n">
        <f aca="false">($B$9-1)/($B$9-2)*(1-($B$12-G30)/($B$10+G30-2*H30*SQRT(G30)*$B$11))</f>
        <v>0.861086571684002</v>
      </c>
      <c r="K30" s="18" t="n">
        <f aca="false">COUNTIF(الإجابات!$K$3:$K$152,"A")/$B$2</f>
        <v>0.186666666666667</v>
      </c>
      <c r="L30" s="18" t="n">
        <f aca="false">COUNTIF(الإجابات!$K$3:$K$152,"B")/$B$2</f>
        <v>0.2</v>
      </c>
      <c r="M30" s="18" t="n">
        <f aca="false">COUNTIF(الإجابات!$K$3:$K$152,"C")/$B$2</f>
        <v>0.12</v>
      </c>
      <c r="N30" s="18" t="n">
        <f aca="false">COUNTIF(الإجابات!$K$3:$K$152,"D")/$B$2</f>
        <v>0.493333333333333</v>
      </c>
      <c r="O30" s="18" t="n">
        <f aca="false">MIN(IF(B30="A",1,K30),IF(B30="B",1,L30),IF(B30="C",1,M30),IF(B30="D",1,N30))</f>
        <v>0.12</v>
      </c>
      <c r="P30" s="19" t="str">
        <f aca="false">IF(I30&lt;-0.1,"تمييز سالب: راجِع المفتاح فوراً",IF(OR(C30&gt;$B$14,C30&lt;$B$13),"صعوبة متطرفة: راجِع الصياغة أو المستوى",IF(I30&lt;$B$15,"تمييز ضعيف: راجِع الصياغة والمموهات",IF(O30&lt;$B$17,"مموّه غير فعّال: استبدله",IF(I30&lt;$B$16,"مقبولة وقابلة للتحسين","جيدة")))))</f>
        <v>جيدة</v>
      </c>
    </row>
    <row r="31" customFormat="false" ht="17.9" hidden="false" customHeight="false" outlineLevel="0" collapsed="false">
      <c r="A31" s="15" t="s">
        <v>24</v>
      </c>
      <c r="B31" s="15" t="str">
        <f aca="false">الإجابات!L2</f>
        <v>A</v>
      </c>
      <c r="C31" s="16" t="n">
        <f aca="false">AVERAGE(التصحيح!$L$3:$L$152)</f>
        <v>0.62</v>
      </c>
      <c r="D31" s="16" t="n">
        <f aca="false">SUMIF(التصحيح!$AF$3:$AF$152,"&gt;="&amp;$B$5,التصحيح!$L$3:$L$152)/$B$7</f>
        <v>0.933333333333333</v>
      </c>
      <c r="E31" s="16" t="n">
        <f aca="false">SUMIF(التصحيح!$AF$3:$AF$152,"&lt;="&amp;$B$6,التصحيح!$L$3:$L$152)/$B$8</f>
        <v>0.222222222222222</v>
      </c>
      <c r="F31" s="16" t="n">
        <f aca="false">D31-E31</f>
        <v>0.711111111111111</v>
      </c>
      <c r="G31" s="17" t="n">
        <f aca="false">VARP(التصحيح!$L$3:$L$152)</f>
        <v>0.2356</v>
      </c>
      <c r="H31" s="16" t="n">
        <f aca="false">IF(G31=0,0,CORREL(التصحيح!$L$3:$L$152,التصحيح!$AF$3:$AF$152))</f>
        <v>0.580754360650138</v>
      </c>
      <c r="I31" s="16" t="n">
        <f aca="false">IF(G31=0,0,(H31*$B$11-SQRT(G31))/SQRT(G31+$B$10-2*H31*SQRT(G31)*$B$11))</f>
        <v>0.527075184938679</v>
      </c>
      <c r="J31" s="16" t="n">
        <f aca="false">($B$9-1)/($B$9-2)*(1-($B$12-G31)/($B$10+G31-2*H31*SQRT(G31)*$B$11))</f>
        <v>0.862536526410768</v>
      </c>
      <c r="K31" s="18" t="n">
        <f aca="false">COUNTIF(الإجابات!$L$3:$L$152,"A")/$B$2</f>
        <v>0.62</v>
      </c>
      <c r="L31" s="18" t="n">
        <f aca="false">COUNTIF(الإجابات!$L$3:$L$152,"B")/$B$2</f>
        <v>0.213333333333333</v>
      </c>
      <c r="M31" s="18" t="n">
        <f aca="false">COUNTIF(الإجابات!$L$3:$L$152,"C")/$B$2</f>
        <v>0.133333333333333</v>
      </c>
      <c r="N31" s="18" t="n">
        <f aca="false">COUNTIF(الإجابات!$L$3:$L$152,"D")/$B$2</f>
        <v>0.0333333333333333</v>
      </c>
      <c r="O31" s="18" t="n">
        <f aca="false">MIN(IF(B31="A",1,K31),IF(B31="B",1,L31),IF(B31="C",1,M31),IF(B31="D",1,N31))</f>
        <v>0.0333333333333333</v>
      </c>
      <c r="P31" s="19" t="str">
        <f aca="false">IF(I31&lt;-0.1,"تمييز سالب: راجِع المفتاح فوراً",IF(OR(C31&gt;$B$14,C31&lt;$B$13),"صعوبة متطرفة: راجِع الصياغة أو المستوى",IF(I31&lt;$B$15,"تمييز ضعيف: راجِع الصياغة والمموهات",IF(O31&lt;$B$17,"مموّه غير فعّال: استبدله",IF(I31&lt;$B$16,"مقبولة وقابلة للتحسين","جيدة")))))</f>
        <v>مموّه غير فعّال: استبدله</v>
      </c>
    </row>
    <row r="32" customFormat="false" ht="17.9" hidden="false" customHeight="false" outlineLevel="0" collapsed="false">
      <c r="A32" s="15" t="s">
        <v>25</v>
      </c>
      <c r="B32" s="15" t="str">
        <f aca="false">الإجابات!M2</f>
        <v>C</v>
      </c>
      <c r="C32" s="16" t="n">
        <f aca="false">AVERAGE(التصحيح!$M$3:$M$152)</f>
        <v>0.973333333333333</v>
      </c>
      <c r="D32" s="16" t="n">
        <f aca="false">SUMIF(التصحيح!$AF$3:$AF$152,"&gt;="&amp;$B$5,التصحيح!$M$3:$M$152)/$B$7</f>
        <v>1</v>
      </c>
      <c r="E32" s="16" t="n">
        <f aca="false">SUMIF(التصحيح!$AF$3:$AF$152,"&lt;="&amp;$B$6,التصحيح!$M$3:$M$152)/$B$8</f>
        <v>0.911111111111111</v>
      </c>
      <c r="F32" s="16" t="n">
        <f aca="false">D32-E32</f>
        <v>0.0888888888888889</v>
      </c>
      <c r="G32" s="17" t="n">
        <f aca="false">VARP(التصحيح!$M$3:$M$152)</f>
        <v>0.0259555555555556</v>
      </c>
      <c r="H32" s="16" t="n">
        <f aca="false">IF(G32=0,0,CORREL(التصحيح!$M$3:$M$152,التصحيح!$AF$3:$AF$152))</f>
        <v>0.244846692855149</v>
      </c>
      <c r="I32" s="16" t="n">
        <f aca="false">IF(G32=0,0,(H32*$B$11-SQRT(G32))/SQRT(G32+$B$10-2*H32*SQRT(G32)*$B$11))</f>
        <v>0.220968112005339</v>
      </c>
      <c r="J32" s="16" t="n">
        <f aca="false">($B$9-1)/($B$9-2)*(1-($B$12-G32)/($B$10+G32-2*H32*SQRT(G32)*$B$11))</f>
        <v>0.869551744389236</v>
      </c>
      <c r="K32" s="18" t="n">
        <f aca="false">COUNTIF(الإجابات!$M$3:$M$152,"A")/$B$2</f>
        <v>0.0133333333333333</v>
      </c>
      <c r="L32" s="18" t="n">
        <f aca="false">COUNTIF(الإجابات!$M$3:$M$152,"B")/$B$2</f>
        <v>0.00666666666666667</v>
      </c>
      <c r="M32" s="18" t="n">
        <f aca="false">COUNTIF(الإجابات!$M$3:$M$152,"C")/$B$2</f>
        <v>0.973333333333333</v>
      </c>
      <c r="N32" s="18" t="n">
        <f aca="false">COUNTIF(الإجابات!$M$3:$M$152,"D")/$B$2</f>
        <v>0.00666666666666667</v>
      </c>
      <c r="O32" s="18" t="n">
        <f aca="false">MIN(IF(B32="A",1,K32),IF(B32="B",1,L32),IF(B32="C",1,M32),IF(B32="D",1,N32))</f>
        <v>0.00666666666666667</v>
      </c>
      <c r="P32" s="19" t="str">
        <f aca="false">IF(I32&lt;-0.1,"تمييز سالب: راجِع المفتاح فوراً",IF(OR(C32&gt;$B$14,C32&lt;$B$13),"صعوبة متطرفة: راجِع الصياغة أو المستوى",IF(I32&lt;$B$15,"تمييز ضعيف: راجِع الصياغة والمموهات",IF(O32&lt;$B$17,"مموّه غير فعّال: استبدله",IF(I32&lt;$B$16,"مقبولة وقابلة للتحسين","جيدة")))))</f>
        <v>صعوبة متطرفة: راجِع الصياغة أو المستوى</v>
      </c>
    </row>
    <row r="33" customFormat="false" ht="17.9" hidden="false" customHeight="false" outlineLevel="0" collapsed="false">
      <c r="A33" s="15" t="s">
        <v>26</v>
      </c>
      <c r="B33" s="15" t="str">
        <f aca="false">الإجابات!N2</f>
        <v>B</v>
      </c>
      <c r="C33" s="16" t="n">
        <f aca="false">AVERAGE(التصحيح!$N$3:$N$152)</f>
        <v>0.413333333333333</v>
      </c>
      <c r="D33" s="16" t="n">
        <f aca="false">SUMIF(التصحيح!$AF$3:$AF$152,"&gt;="&amp;$B$5,التصحيح!$N$3:$N$152)/$B$7</f>
        <v>0.844444444444444</v>
      </c>
      <c r="E33" s="16" t="n">
        <f aca="false">SUMIF(التصحيح!$AF$3:$AF$152,"&lt;="&amp;$B$6,التصحيح!$N$3:$N$152)/$B$8</f>
        <v>0.0444444444444444</v>
      </c>
      <c r="F33" s="16" t="n">
        <f aca="false">D33-E33</f>
        <v>0.8</v>
      </c>
      <c r="G33" s="17" t="n">
        <f aca="false">VARP(التصحيح!$N$3:$N$152)</f>
        <v>0.242488888888889</v>
      </c>
      <c r="H33" s="16" t="n">
        <f aca="false">IF(G33=0,0,CORREL(التصحيح!$N$3:$N$152,التصحيح!$AF$3:$AF$152))</f>
        <v>0.655936032917182</v>
      </c>
      <c r="I33" s="16" t="n">
        <f aca="false">IF(G33=0,0,(H33*$B$11-SQRT(G33))/SQRT(G33+$B$10-2*H33*SQRT(G33)*$B$11))</f>
        <v>0.60862801093688</v>
      </c>
      <c r="J33" s="16" t="n">
        <f aca="false">($B$9-1)/($B$9-2)*(1-($B$12-G33)/($B$10+G33-2*H33*SQRT(G33)*$B$11))</f>
        <v>0.860302486384704</v>
      </c>
      <c r="K33" s="18" t="n">
        <f aca="false">COUNTIF(الإجابات!$N$3:$N$152,"A")/$B$2</f>
        <v>0.266666666666667</v>
      </c>
      <c r="L33" s="18" t="n">
        <f aca="false">COUNTIF(الإجابات!$N$3:$N$152,"B")/$B$2</f>
        <v>0.413333333333333</v>
      </c>
      <c r="M33" s="18" t="n">
        <f aca="false">COUNTIF(الإجابات!$N$3:$N$152,"C")/$B$2</f>
        <v>0.18</v>
      </c>
      <c r="N33" s="18" t="n">
        <f aca="false">COUNTIF(الإجابات!$N$3:$N$152,"D")/$B$2</f>
        <v>0.14</v>
      </c>
      <c r="O33" s="18" t="n">
        <f aca="false">MIN(IF(B33="A",1,K33),IF(B33="B",1,L33),IF(B33="C",1,M33),IF(B33="D",1,N33))</f>
        <v>0.14</v>
      </c>
      <c r="P33" s="19" t="str">
        <f aca="false">IF(I33&lt;-0.1,"تمييز سالب: راجِع المفتاح فوراً",IF(OR(C33&gt;$B$14,C33&lt;$B$13),"صعوبة متطرفة: راجِع الصياغة أو المستوى",IF(I33&lt;$B$15,"تمييز ضعيف: راجِع الصياغة والمموهات",IF(O33&lt;$B$17,"مموّه غير فعّال: استبدله",IF(I33&lt;$B$16,"مقبولة وقابلة للتحسين","جيدة")))))</f>
        <v>جيدة</v>
      </c>
    </row>
    <row r="34" customFormat="false" ht="17.9" hidden="false" customHeight="false" outlineLevel="0" collapsed="false">
      <c r="A34" s="15" t="s">
        <v>27</v>
      </c>
      <c r="B34" s="15" t="str">
        <f aca="false">الإجابات!O2</f>
        <v>D</v>
      </c>
      <c r="C34" s="16" t="n">
        <f aca="false">AVERAGE(التصحيح!$O$3:$O$152)</f>
        <v>0.62</v>
      </c>
      <c r="D34" s="16" t="n">
        <f aca="false">SUMIF(التصحيح!$AF$3:$AF$152,"&gt;="&amp;$B$5,التصحيح!$O$3:$O$152)/$B$7</f>
        <v>0.911111111111111</v>
      </c>
      <c r="E34" s="16" t="n">
        <f aca="false">SUMIF(التصحيح!$AF$3:$AF$152,"&lt;="&amp;$B$6,التصحيح!$O$3:$O$152)/$B$8</f>
        <v>0.355555555555556</v>
      </c>
      <c r="F34" s="16" t="n">
        <f aca="false">D34-E34</f>
        <v>0.555555555555556</v>
      </c>
      <c r="G34" s="17" t="n">
        <f aca="false">VARP(التصحيح!$O$3:$O$152)</f>
        <v>0.2356</v>
      </c>
      <c r="H34" s="16" t="n">
        <f aca="false">IF(G34=0,0,CORREL(التصحيح!$O$3:$O$152,التصحيح!$AF$3:$AF$152))</f>
        <v>0.482030411685221</v>
      </c>
      <c r="I34" s="16" t="n">
        <f aca="false">IF(G34=0,0,(H34*$B$11-SQRT(G34))/SQRT(G34+$B$10-2*H34*SQRT(G34)*$B$11))</f>
        <v>0.420598976915863</v>
      </c>
      <c r="J34" s="16" t="n">
        <f aca="false">($B$9-1)/($B$9-2)*(1-($B$12-G34)/($B$10+G34-2*H34*SQRT(G34)*$B$11))</f>
        <v>0.865317297509436</v>
      </c>
      <c r="K34" s="18" t="n">
        <f aca="false">COUNTIF(الإجابات!$O$3:$O$152,"A")/$B$2</f>
        <v>0.08</v>
      </c>
      <c r="L34" s="18" t="n">
        <f aca="false">COUNTIF(الإجابات!$O$3:$O$152,"B")/$B$2</f>
        <v>0.18</v>
      </c>
      <c r="M34" s="18" t="n">
        <f aca="false">COUNTIF(الإجابات!$O$3:$O$152,"C")/$B$2</f>
        <v>0.12</v>
      </c>
      <c r="N34" s="18" t="n">
        <f aca="false">COUNTIF(الإجابات!$O$3:$O$152,"D")/$B$2</f>
        <v>0.62</v>
      </c>
      <c r="O34" s="18" t="n">
        <f aca="false">MIN(IF(B34="A",1,K34),IF(B34="B",1,L34),IF(B34="C",1,M34),IF(B34="D",1,N34))</f>
        <v>0.08</v>
      </c>
      <c r="P34" s="19" t="str">
        <f aca="false">IF(I34&lt;-0.1,"تمييز سالب: راجِع المفتاح فوراً",IF(OR(C34&gt;$B$14,C34&lt;$B$13),"صعوبة متطرفة: راجِع الصياغة أو المستوى",IF(I34&lt;$B$15,"تمييز ضعيف: راجِع الصياغة والمموهات",IF(O34&lt;$B$17,"مموّه غير فعّال: استبدله",IF(I34&lt;$B$16,"مقبولة وقابلة للتحسين","جيدة")))))</f>
        <v>جيدة</v>
      </c>
    </row>
    <row r="35" customFormat="false" ht="17.9" hidden="false" customHeight="false" outlineLevel="0" collapsed="false">
      <c r="A35" s="15" t="s">
        <v>28</v>
      </c>
      <c r="B35" s="15" t="str">
        <f aca="false">الإجابات!P2</f>
        <v>C</v>
      </c>
      <c r="C35" s="16" t="n">
        <f aca="false">AVERAGE(التصحيح!$P$3:$P$152)</f>
        <v>0.4</v>
      </c>
      <c r="D35" s="16" t="n">
        <f aca="false">SUMIF(التصحيح!$AF$3:$AF$152,"&gt;="&amp;$B$5,التصحيح!$P$3:$P$152)/$B$7</f>
        <v>0.422222222222222</v>
      </c>
      <c r="E35" s="16" t="n">
        <f aca="false">SUMIF(التصحيح!$AF$3:$AF$152,"&lt;="&amp;$B$6,التصحيح!$P$3:$P$152)/$B$8</f>
        <v>0.155555555555556</v>
      </c>
      <c r="F35" s="16" t="n">
        <f aca="false">D35-E35</f>
        <v>0.266666666666667</v>
      </c>
      <c r="G35" s="17" t="n">
        <f aca="false">VARP(التصحيح!$P$3:$P$152)</f>
        <v>0.24</v>
      </c>
      <c r="H35" s="16" t="n">
        <f aca="false">IF(G35=0,0,CORREL(التصحيح!$P$3:$P$152,التصحيح!$AF$3:$AF$152))</f>
        <v>0.221146488958305</v>
      </c>
      <c r="I35" s="16" t="n">
        <f aca="false">IF(G35=0,0,(H35*$B$11-SQRT(G35))/SQRT(G35+$B$10-2*H35*SQRT(G35)*$B$11))</f>
        <v>0.146663486454842</v>
      </c>
      <c r="J35" s="16" t="n">
        <f aca="false">($B$9-1)/($B$9-2)*(1-($B$12-G35)/($B$10+G35-2*H35*SQRT(G35)*$B$11))</f>
        <v>0.872333450294263</v>
      </c>
      <c r="K35" s="18" t="n">
        <f aca="false">COUNTIF(الإجابات!$P$3:$P$152,"A")/$B$2</f>
        <v>0.373333333333333</v>
      </c>
      <c r="L35" s="18" t="n">
        <f aca="false">COUNTIF(الإجابات!$P$3:$P$152,"B")/$B$2</f>
        <v>0.08</v>
      </c>
      <c r="M35" s="18" t="n">
        <f aca="false">COUNTIF(الإجابات!$P$3:$P$152,"C")/$B$2</f>
        <v>0.4</v>
      </c>
      <c r="N35" s="18" t="n">
        <f aca="false">COUNTIF(الإجابات!$P$3:$P$152,"D")/$B$2</f>
        <v>0.146666666666667</v>
      </c>
      <c r="O35" s="18" t="n">
        <f aca="false">MIN(IF(B35="A",1,K35),IF(B35="B",1,L35),IF(B35="C",1,M35),IF(B35="D",1,N35))</f>
        <v>0.08</v>
      </c>
      <c r="P35" s="19" t="str">
        <f aca="false">IF(I35&lt;-0.1,"تمييز سالب: راجِع المفتاح فوراً",IF(OR(C35&gt;$B$14,C35&lt;$B$13),"صعوبة متطرفة: راجِع الصياغة أو المستوى",IF(I35&lt;$B$15,"تمييز ضعيف: راجِع الصياغة والمموهات",IF(O35&lt;$B$17,"مموّه غير فعّال: استبدله",IF(I35&lt;$B$16,"مقبولة وقابلة للتحسين","جيدة")))))</f>
        <v>تمييز ضعيف: راجِع الصياغة والمموهات</v>
      </c>
    </row>
    <row r="36" customFormat="false" ht="17.9" hidden="false" customHeight="false" outlineLevel="0" collapsed="false">
      <c r="A36" s="15" t="s">
        <v>29</v>
      </c>
      <c r="B36" s="15" t="str">
        <f aca="false">الإجابات!Q2</f>
        <v>A</v>
      </c>
      <c r="C36" s="16" t="n">
        <f aca="false">AVERAGE(التصحيح!$Q$3:$Q$152)</f>
        <v>0.84</v>
      </c>
      <c r="D36" s="16" t="n">
        <f aca="false">SUMIF(التصحيح!$AF$3:$AF$152,"&gt;="&amp;$B$5,التصحيح!$Q$3:$Q$152)/$B$7</f>
        <v>1</v>
      </c>
      <c r="E36" s="16" t="n">
        <f aca="false">SUMIF(التصحيح!$AF$3:$AF$152,"&lt;="&amp;$B$6,التصحيح!$Q$3:$Q$152)/$B$8</f>
        <v>0.577777777777778</v>
      </c>
      <c r="F36" s="16" t="n">
        <f aca="false">D36-E36</f>
        <v>0.422222222222222</v>
      </c>
      <c r="G36" s="17" t="n">
        <f aca="false">VARP(التصحيح!$Q$3:$Q$152)</f>
        <v>0.1344</v>
      </c>
      <c r="H36" s="16" t="n">
        <f aca="false">IF(G36=0,0,CORREL(التصحيح!$Q$3:$Q$152,التصحيح!$AF$3:$AF$152))</f>
        <v>0.463738176840309</v>
      </c>
      <c r="I36" s="16" t="n">
        <f aca="false">IF(G36=0,0,(H36*$B$11-SQRT(G36))/SQRT(G36+$B$10-2*H36*SQRT(G36)*$B$11))</f>
        <v>0.416978745840834</v>
      </c>
      <c r="J36" s="16" t="n">
        <f aca="false">($B$9-1)/($B$9-2)*(1-($B$12-G36)/($B$10+G36-2*H36*SQRT(G36)*$B$11))</f>
        <v>0.865765462523095</v>
      </c>
      <c r="K36" s="18" t="n">
        <f aca="false">COUNTIF(الإجابات!$Q$3:$Q$152,"A")/$B$2</f>
        <v>0.84</v>
      </c>
      <c r="L36" s="18" t="n">
        <f aca="false">COUNTIF(الإجابات!$Q$3:$Q$152,"B")/$B$2</f>
        <v>0.0533333333333333</v>
      </c>
      <c r="M36" s="18" t="n">
        <f aca="false">COUNTIF(الإجابات!$Q$3:$Q$152,"C")/$B$2</f>
        <v>0.0533333333333333</v>
      </c>
      <c r="N36" s="18" t="n">
        <f aca="false">COUNTIF(الإجابات!$Q$3:$Q$152,"D")/$B$2</f>
        <v>0.0533333333333333</v>
      </c>
      <c r="O36" s="18" t="n">
        <f aca="false">MIN(IF(B36="A",1,K36),IF(B36="B",1,L36),IF(B36="C",1,M36),IF(B36="D",1,N36))</f>
        <v>0.0533333333333333</v>
      </c>
      <c r="P36" s="19" t="str">
        <f aca="false">IF(I36&lt;-0.1,"تمييز سالب: راجِع المفتاح فوراً",IF(OR(C36&gt;$B$14,C36&lt;$B$13),"صعوبة متطرفة: راجِع الصياغة أو المستوى",IF(I36&lt;$B$15,"تمييز ضعيف: راجِع الصياغة والمموهات",IF(O36&lt;$B$17,"مموّه غير فعّال: استبدله",IF(I36&lt;$B$16,"مقبولة وقابلة للتحسين","جيدة")))))</f>
        <v>جيدة</v>
      </c>
    </row>
    <row r="37" customFormat="false" ht="17.9" hidden="false" customHeight="false" outlineLevel="0" collapsed="false">
      <c r="A37" s="15" t="s">
        <v>30</v>
      </c>
      <c r="B37" s="15" t="str">
        <f aca="false">الإجابات!R2</f>
        <v>A</v>
      </c>
      <c r="C37" s="16" t="n">
        <f aca="false">AVERAGE(التصحيح!$R$3:$R$152)</f>
        <v>0.866666666666667</v>
      </c>
      <c r="D37" s="16" t="n">
        <f aca="false">SUMIF(التصحيح!$AF$3:$AF$152,"&gt;="&amp;$B$5,التصحيح!$R$3:$R$152)/$B$7</f>
        <v>1</v>
      </c>
      <c r="E37" s="16" t="n">
        <f aca="false">SUMIF(التصحيح!$AF$3:$AF$152,"&lt;="&amp;$B$6,التصحيح!$R$3:$R$152)/$B$8</f>
        <v>0.6</v>
      </c>
      <c r="F37" s="16" t="n">
        <f aca="false">D37-E37</f>
        <v>0.4</v>
      </c>
      <c r="G37" s="17" t="n">
        <f aca="false">VARP(التصحيح!$R$3:$R$152)</f>
        <v>0.115555555555555</v>
      </c>
      <c r="H37" s="16" t="n">
        <f aca="false">IF(G37=0,0,CORREL(التصحيح!$R$3:$R$152,التصحيح!$AF$3:$AF$152))</f>
        <v>0.448435701341701</v>
      </c>
      <c r="I37" s="16" t="n">
        <f aca="false">IF(G37=0,0,(H37*$B$11-SQRT(G37))/SQRT(G37+$B$10-2*H37*SQRT(G37)*$B$11))</f>
        <v>0.404486110621491</v>
      </c>
      <c r="J37" s="16" t="n">
        <f aca="false">($B$9-1)/($B$9-2)*(1-($B$12-G37)/($B$10+G37-2*H37*SQRT(G37)*$B$11))</f>
        <v>0.866161667802772</v>
      </c>
      <c r="K37" s="18" t="n">
        <f aca="false">COUNTIF(الإجابات!$R$3:$R$152,"A")/$B$2</f>
        <v>0.866666666666667</v>
      </c>
      <c r="L37" s="18" t="n">
        <f aca="false">COUNTIF(الإجابات!$R$3:$R$152,"B")/$B$2</f>
        <v>0.0666666666666667</v>
      </c>
      <c r="M37" s="18" t="n">
        <f aca="false">COUNTIF(الإجابات!$R$3:$R$152,"C")/$B$2</f>
        <v>0.0466666666666667</v>
      </c>
      <c r="N37" s="18" t="n">
        <f aca="false">COUNTIF(الإجابات!$R$3:$R$152,"D")/$B$2</f>
        <v>0.02</v>
      </c>
      <c r="O37" s="18" t="n">
        <f aca="false">MIN(IF(B37="A",1,K37),IF(B37="B",1,L37),IF(B37="C",1,M37),IF(B37="D",1,N37))</f>
        <v>0.02</v>
      </c>
      <c r="P37" s="19" t="str">
        <f aca="false">IF(I37&lt;-0.1,"تمييز سالب: راجِع المفتاح فوراً",IF(OR(C37&gt;$B$14,C37&lt;$B$13),"صعوبة متطرفة: راجِع الصياغة أو المستوى",IF(I37&lt;$B$15,"تمييز ضعيف: راجِع الصياغة والمموهات",IF(O37&lt;$B$17,"مموّه غير فعّال: استبدله",IF(I37&lt;$B$16,"مقبولة وقابلة للتحسين","جيدة")))))</f>
        <v>مموّه غير فعّال: استبدله</v>
      </c>
    </row>
    <row r="38" customFormat="false" ht="17.9" hidden="false" customHeight="false" outlineLevel="0" collapsed="false">
      <c r="A38" s="15" t="s">
        <v>31</v>
      </c>
      <c r="B38" s="15" t="str">
        <f aca="false">الإجابات!S2</f>
        <v>A</v>
      </c>
      <c r="C38" s="16" t="n">
        <f aca="false">AVERAGE(التصحيح!$S$3:$S$152)</f>
        <v>0.24</v>
      </c>
      <c r="D38" s="16" t="n">
        <f aca="false">SUMIF(التصحيح!$AF$3:$AF$152,"&gt;="&amp;$B$5,التصحيح!$S$3:$S$152)/$B$7</f>
        <v>0.288888888888889</v>
      </c>
      <c r="E38" s="16" t="n">
        <f aca="false">SUMIF(التصحيح!$AF$3:$AF$152,"&lt;="&amp;$B$6,التصحيح!$S$3:$S$152)/$B$8</f>
        <v>0.2</v>
      </c>
      <c r="F38" s="16" t="n">
        <f aca="false">D38-E38</f>
        <v>0.0888888888888889</v>
      </c>
      <c r="G38" s="17" t="n">
        <f aca="false">VARP(التصحيح!$S$3:$S$152)</f>
        <v>0.1824</v>
      </c>
      <c r="H38" s="16" t="n">
        <f aca="false">IF(G38=0,0,CORREL(التصحيح!$S$3:$S$152,التصحيح!$AF$3:$AF$152))</f>
        <v>0.0980541470722191</v>
      </c>
      <c r="I38" s="16" t="n">
        <f aca="false">IF(G38=0,0,(H38*$B$11-SQRT(G38))/SQRT(G38+$B$10-2*H38*SQRT(G38)*$B$11))</f>
        <v>0.0314548683572093</v>
      </c>
      <c r="J38" s="16" t="n">
        <f aca="false">($B$9-1)/($B$9-2)*(1-($B$12-G38)/($B$10+G38-2*H38*SQRT(G38)*$B$11))</f>
        <v>0.874055405572771</v>
      </c>
      <c r="K38" s="18" t="n">
        <f aca="false">COUNTIF(الإجابات!$S$3:$S$152,"A")/$B$2</f>
        <v>0.24</v>
      </c>
      <c r="L38" s="18" t="n">
        <f aca="false">COUNTIF(الإجابات!$S$3:$S$152,"B")/$B$2</f>
        <v>0.253333333333333</v>
      </c>
      <c r="M38" s="18" t="n">
        <f aca="false">COUNTIF(الإجابات!$S$3:$S$152,"C")/$B$2</f>
        <v>0.266666666666667</v>
      </c>
      <c r="N38" s="18" t="n">
        <f aca="false">COUNTIF(الإجابات!$S$3:$S$152,"D")/$B$2</f>
        <v>0.24</v>
      </c>
      <c r="O38" s="18" t="n">
        <f aca="false">MIN(IF(B38="A",1,K38),IF(B38="B",1,L38),IF(B38="C",1,M38),IF(B38="D",1,N38))</f>
        <v>0.24</v>
      </c>
      <c r="P38" s="19" t="str">
        <f aca="false">IF(I38&lt;-0.1,"تمييز سالب: راجِع المفتاح فوراً",IF(OR(C38&gt;$B$14,C38&lt;$B$13),"صعوبة متطرفة: راجِع الصياغة أو المستوى",IF(I38&lt;$B$15,"تمييز ضعيف: راجِع الصياغة والمموهات",IF(O38&lt;$B$17,"مموّه غير فعّال: استبدله",IF(I38&lt;$B$16,"مقبولة وقابلة للتحسين","جيدة")))))</f>
        <v>تمييز ضعيف: راجِع الصياغة والمموهات</v>
      </c>
    </row>
    <row r="39" customFormat="false" ht="17.9" hidden="false" customHeight="false" outlineLevel="0" collapsed="false">
      <c r="A39" s="15" t="s">
        <v>32</v>
      </c>
      <c r="B39" s="15" t="str">
        <f aca="false">الإجابات!T2</f>
        <v>D</v>
      </c>
      <c r="C39" s="16" t="n">
        <f aca="false">AVERAGE(التصحيح!$T$3:$T$152)</f>
        <v>0.566666666666667</v>
      </c>
      <c r="D39" s="16" t="n">
        <f aca="false">SUMIF(التصحيح!$AF$3:$AF$152,"&gt;="&amp;$B$5,التصحيح!$T$3:$T$152)/$B$7</f>
        <v>0.8</v>
      </c>
      <c r="E39" s="16" t="n">
        <f aca="false">SUMIF(التصحيح!$AF$3:$AF$152,"&lt;="&amp;$B$6,التصحيح!$T$3:$T$152)/$B$8</f>
        <v>0.355555555555556</v>
      </c>
      <c r="F39" s="16" t="n">
        <f aca="false">D39-E39</f>
        <v>0.444444444444445</v>
      </c>
      <c r="G39" s="17" t="n">
        <f aca="false">VARP(التصحيح!$T$3:$T$152)</f>
        <v>0.245555555555555</v>
      </c>
      <c r="H39" s="16" t="n">
        <f aca="false">IF(G39=0,0,CORREL(التصحيح!$T$3:$T$152,التصحيح!$AF$3:$AF$152))</f>
        <v>0.381201932020727</v>
      </c>
      <c r="I39" s="16" t="n">
        <f aca="false">IF(G39=0,0,(H39*$B$11-SQRT(G39))/SQRT(G39+$B$10-2*H39*SQRT(G39)*$B$11))</f>
        <v>0.312161356627443</v>
      </c>
      <c r="J39" s="16" t="n">
        <f aca="false">($B$9-1)/($B$9-2)*(1-($B$12-G39)/($B$10+G39-2*H39*SQRT(G39)*$B$11))</f>
        <v>0.868161499580494</v>
      </c>
      <c r="K39" s="18" t="n">
        <f aca="false">COUNTIF(الإجابات!$T$3:$T$152,"A")/$B$2</f>
        <v>0.153333333333333</v>
      </c>
      <c r="L39" s="18" t="n">
        <f aca="false">COUNTIF(الإجابات!$T$3:$T$152,"B")/$B$2</f>
        <v>0.1</v>
      </c>
      <c r="M39" s="18" t="n">
        <f aca="false">COUNTIF(الإجابات!$T$3:$T$152,"C")/$B$2</f>
        <v>0.18</v>
      </c>
      <c r="N39" s="18" t="n">
        <f aca="false">COUNTIF(الإجابات!$T$3:$T$152,"D")/$B$2</f>
        <v>0.566666666666667</v>
      </c>
      <c r="O39" s="18" t="n">
        <f aca="false">MIN(IF(B39="A",1,K39),IF(B39="B",1,L39),IF(B39="C",1,M39),IF(B39="D",1,N39))</f>
        <v>0.1</v>
      </c>
      <c r="P39" s="19" t="str">
        <f aca="false">IF(I39&lt;-0.1,"تمييز سالب: راجِع المفتاح فوراً",IF(OR(C39&gt;$B$14,C39&lt;$B$13),"صعوبة متطرفة: راجِع الصياغة أو المستوى",IF(I39&lt;$B$15,"تمييز ضعيف: راجِع الصياغة والمموهات",IF(O39&lt;$B$17,"مموّه غير فعّال: استبدله",IF(I39&lt;$B$16,"مقبولة وقابلة للتحسين","جيدة")))))</f>
        <v>جيدة</v>
      </c>
    </row>
    <row r="40" customFormat="false" ht="17.9" hidden="false" customHeight="false" outlineLevel="0" collapsed="false">
      <c r="A40" s="15" t="s">
        <v>33</v>
      </c>
      <c r="B40" s="15" t="str">
        <f aca="false">الإجابات!U2</f>
        <v>D</v>
      </c>
      <c r="C40" s="16" t="n">
        <f aca="false">AVERAGE(التصحيح!$U$3:$U$152)</f>
        <v>0.52</v>
      </c>
      <c r="D40" s="16" t="n">
        <f aca="false">SUMIF(التصحيح!$AF$3:$AF$152,"&gt;="&amp;$B$5,التصحيح!$U$3:$U$152)/$B$7</f>
        <v>0.933333333333333</v>
      </c>
      <c r="E40" s="16" t="n">
        <f aca="false">SUMIF(التصحيح!$AF$3:$AF$152,"&lt;="&amp;$B$6,التصحيح!$U$3:$U$152)/$B$8</f>
        <v>0.133333333333333</v>
      </c>
      <c r="F40" s="16" t="n">
        <f aca="false">D40-E40</f>
        <v>0.8</v>
      </c>
      <c r="G40" s="17" t="n">
        <f aca="false">VARP(التصحيح!$U$3:$U$152)</f>
        <v>0.2496</v>
      </c>
      <c r="H40" s="16" t="n">
        <f aca="false">IF(G40=0,0,CORREL(التصحيح!$U$3:$U$152,التصحيح!$AF$3:$AF$152))</f>
        <v>0.647636759525562</v>
      </c>
      <c r="I40" s="16" t="n">
        <f aca="false">IF(G40=0,0,(H40*$B$11-SQRT(G40))/SQRT(G40+$B$10-2*H40*SQRT(G40)*$B$11))</f>
        <v>0.598726461025423</v>
      </c>
      <c r="J40" s="16" t="n">
        <f aca="false">($B$9-1)/($B$9-2)*(1-($B$12-G40)/($B$10+G40-2*H40*SQRT(G40)*$B$11))</f>
        <v>0.860501199818006</v>
      </c>
      <c r="K40" s="18" t="n">
        <f aca="false">COUNTIF(الإجابات!$U$3:$U$152,"A")/$B$2</f>
        <v>0.166666666666667</v>
      </c>
      <c r="L40" s="18" t="n">
        <f aca="false">COUNTIF(الإجابات!$U$3:$U$152,"B")/$B$2</f>
        <v>0.153333333333333</v>
      </c>
      <c r="M40" s="18" t="n">
        <f aca="false">COUNTIF(الإجابات!$U$3:$U$152,"C")/$B$2</f>
        <v>0.16</v>
      </c>
      <c r="N40" s="18" t="n">
        <f aca="false">COUNTIF(الإجابات!$U$3:$U$152,"D")/$B$2</f>
        <v>0.52</v>
      </c>
      <c r="O40" s="18" t="n">
        <f aca="false">MIN(IF(B40="A",1,K40),IF(B40="B",1,L40),IF(B40="C",1,M40),IF(B40="D",1,N40))</f>
        <v>0.153333333333333</v>
      </c>
      <c r="P40" s="19" t="str">
        <f aca="false">IF(I40&lt;-0.1,"تمييز سالب: راجِع المفتاح فوراً",IF(OR(C40&gt;$B$14,C40&lt;$B$13),"صعوبة متطرفة: راجِع الصياغة أو المستوى",IF(I40&lt;$B$15,"تمييز ضعيف: راجِع الصياغة والمموهات",IF(O40&lt;$B$17,"مموّه غير فعّال: استبدله",IF(I40&lt;$B$16,"مقبولة وقابلة للتحسين","جيدة")))))</f>
        <v>جيدة</v>
      </c>
    </row>
    <row r="41" customFormat="false" ht="17.9" hidden="false" customHeight="false" outlineLevel="0" collapsed="false">
      <c r="A41" s="15" t="s">
        <v>34</v>
      </c>
      <c r="B41" s="15" t="str">
        <f aca="false">الإجابات!V2</f>
        <v>C</v>
      </c>
      <c r="C41" s="16" t="n">
        <f aca="false">AVERAGE(التصحيح!$V$3:$V$152)</f>
        <v>0.553333333333333</v>
      </c>
      <c r="D41" s="16" t="n">
        <f aca="false">SUMIF(التصحيح!$AF$3:$AF$152,"&gt;="&amp;$B$5,التصحيح!$V$3:$V$152)/$B$7</f>
        <v>0.933333333333333</v>
      </c>
      <c r="E41" s="16" t="n">
        <f aca="false">SUMIF(التصحيح!$AF$3:$AF$152,"&lt;="&amp;$B$6,التصحيح!$V$3:$V$152)/$B$8</f>
        <v>0.288888888888889</v>
      </c>
      <c r="F41" s="16" t="n">
        <f aca="false">D41-E41</f>
        <v>0.644444444444445</v>
      </c>
      <c r="G41" s="17" t="n">
        <f aca="false">VARP(التصحيح!$V$3:$V$152)</f>
        <v>0.247155555555555</v>
      </c>
      <c r="H41" s="16" t="n">
        <f aca="false">IF(G41=0,0,CORREL(التصحيح!$V$3:$V$152,التصحيح!$AF$3:$AF$152))</f>
        <v>0.545363027200786</v>
      </c>
      <c r="I41" s="16" t="n">
        <f aca="false">IF(G41=0,0,(H41*$B$11-SQRT(G41))/SQRT(G41+$B$10-2*H41*SQRT(G41)*$B$11))</f>
        <v>0.487244610895265</v>
      </c>
      <c r="J41" s="16" t="n">
        <f aca="false">($B$9-1)/($B$9-2)*(1-($B$12-G41)/($B$10+G41-2*H41*SQRT(G41)*$B$11))</f>
        <v>0.86353909653371</v>
      </c>
      <c r="K41" s="18" t="n">
        <f aca="false">COUNTIF(الإجابات!$V$3:$V$152,"A")/$B$2</f>
        <v>0.18</v>
      </c>
      <c r="L41" s="18" t="n">
        <f aca="false">COUNTIF(الإجابات!$V$3:$V$152,"B")/$B$2</f>
        <v>0.12</v>
      </c>
      <c r="M41" s="18" t="n">
        <f aca="false">COUNTIF(الإجابات!$V$3:$V$152,"C")/$B$2</f>
        <v>0.553333333333333</v>
      </c>
      <c r="N41" s="18" t="n">
        <f aca="false">COUNTIF(الإجابات!$V$3:$V$152,"D")/$B$2</f>
        <v>0.146666666666667</v>
      </c>
      <c r="O41" s="18" t="n">
        <f aca="false">MIN(IF(B41="A",1,K41),IF(B41="B",1,L41),IF(B41="C",1,M41),IF(B41="D",1,N41))</f>
        <v>0.12</v>
      </c>
      <c r="P41" s="19" t="str">
        <f aca="false">IF(I41&lt;-0.1,"تمييز سالب: راجِع المفتاح فوراً",IF(OR(C41&gt;$B$14,C41&lt;$B$13),"صعوبة متطرفة: راجِع الصياغة أو المستوى",IF(I41&lt;$B$15,"تمييز ضعيف: راجِع الصياغة والمموهات",IF(O41&lt;$B$17,"مموّه غير فعّال: استبدله",IF(I41&lt;$B$16,"مقبولة وقابلة للتحسين","جيدة")))))</f>
        <v>جيدة</v>
      </c>
    </row>
    <row r="42" customFormat="false" ht="17.9" hidden="false" customHeight="false" outlineLevel="0" collapsed="false">
      <c r="A42" s="15" t="s">
        <v>35</v>
      </c>
      <c r="B42" s="15" t="str">
        <f aca="false">الإجابات!W2</f>
        <v>C</v>
      </c>
      <c r="C42" s="16" t="n">
        <f aca="false">AVERAGE(التصحيح!$W$3:$W$152)</f>
        <v>0.493333333333333</v>
      </c>
      <c r="D42" s="16" t="n">
        <f aca="false">SUMIF(التصحيح!$AF$3:$AF$152,"&gt;="&amp;$B$5,التصحيح!$W$3:$W$152)/$B$7</f>
        <v>0.911111111111111</v>
      </c>
      <c r="E42" s="16" t="n">
        <f aca="false">SUMIF(التصحيح!$AF$3:$AF$152,"&lt;="&amp;$B$6,التصحيح!$W$3:$W$152)/$B$8</f>
        <v>0.133333333333333</v>
      </c>
      <c r="F42" s="16" t="n">
        <f aca="false">D42-E42</f>
        <v>0.777777777777778</v>
      </c>
      <c r="G42" s="17" t="n">
        <f aca="false">VARP(التصحيح!$W$3:$W$152)</f>
        <v>0.249955555555556</v>
      </c>
      <c r="H42" s="16" t="n">
        <f aca="false">IF(G42=0,0,CORREL(التصحيح!$W$3:$W$152,التصحيح!$AF$3:$AF$152))</f>
        <v>0.65523268083497</v>
      </c>
      <c r="I42" s="16" t="n">
        <f aca="false">IF(G42=0,0,(H42*$B$11-SQRT(G42))/SQRT(G42+$B$10-2*H42*SQRT(G42)*$B$11))</f>
        <v>0.607072240558488</v>
      </c>
      <c r="J42" s="16" t="n">
        <f aca="false">($B$9-1)/($B$9-2)*(1-($B$12-G42)/($B$10+G42-2*H42*SQRT(G42)*$B$11))</f>
        <v>0.860268774890694</v>
      </c>
      <c r="K42" s="18" t="n">
        <f aca="false">COUNTIF(الإجابات!$W$3:$W$152,"A")/$B$2</f>
        <v>0.193333333333333</v>
      </c>
      <c r="L42" s="18" t="n">
        <f aca="false">COUNTIF(الإجابات!$W$3:$W$152,"B")/$B$2</f>
        <v>0.12</v>
      </c>
      <c r="M42" s="18" t="n">
        <f aca="false">COUNTIF(الإجابات!$W$3:$W$152,"C")/$B$2</f>
        <v>0.493333333333333</v>
      </c>
      <c r="N42" s="18" t="n">
        <f aca="false">COUNTIF(الإجابات!$W$3:$W$152,"D")/$B$2</f>
        <v>0.193333333333333</v>
      </c>
      <c r="O42" s="18" t="n">
        <f aca="false">MIN(IF(B42="A",1,K42),IF(B42="B",1,L42),IF(B42="C",1,M42),IF(B42="D",1,N42))</f>
        <v>0.12</v>
      </c>
      <c r="P42" s="19" t="str">
        <f aca="false">IF(I42&lt;-0.1,"تمييز سالب: راجِع المفتاح فوراً",IF(OR(C42&gt;$B$14,C42&lt;$B$13),"صعوبة متطرفة: راجِع الصياغة أو المستوى",IF(I42&lt;$B$15,"تمييز ضعيف: راجِع الصياغة والمموهات",IF(O42&lt;$B$17,"مموّه غير فعّال: استبدله",IF(I42&lt;$B$16,"مقبولة وقابلة للتحسين","جيدة")))))</f>
        <v>جيدة</v>
      </c>
    </row>
    <row r="43" customFormat="false" ht="17.9" hidden="false" customHeight="false" outlineLevel="0" collapsed="false">
      <c r="A43" s="15" t="s">
        <v>36</v>
      </c>
      <c r="B43" s="15" t="str">
        <f aca="false">الإجابات!X2</f>
        <v>C</v>
      </c>
      <c r="C43" s="16" t="n">
        <f aca="false">AVERAGE(التصحيح!$X$3:$X$152)</f>
        <v>0.58</v>
      </c>
      <c r="D43" s="16" t="n">
        <f aca="false">SUMIF(التصحيح!$AF$3:$AF$152,"&gt;="&amp;$B$5,التصحيح!$X$3:$X$152)/$B$7</f>
        <v>0.933333333333333</v>
      </c>
      <c r="E43" s="16" t="n">
        <f aca="false">SUMIF(التصحيح!$AF$3:$AF$152,"&lt;="&amp;$B$6,التصحيح!$X$3:$X$152)/$B$8</f>
        <v>0.288888888888889</v>
      </c>
      <c r="F43" s="16" t="n">
        <f aca="false">D43-E43</f>
        <v>0.644444444444445</v>
      </c>
      <c r="G43" s="17" t="n">
        <f aca="false">VARP(التصحيح!$X$3:$X$152)</f>
        <v>0.2436</v>
      </c>
      <c r="H43" s="16" t="n">
        <f aca="false">IF(G43=0,0,CORREL(التصحيح!$X$3:$X$152,التصحيح!$AF$3:$AF$152))</f>
        <v>0.547499415654117</v>
      </c>
      <c r="I43" s="16" t="n">
        <f aca="false">IF(G43=0,0,(H43*$B$11-SQRT(G43))/SQRT(G43+$B$10-2*H43*SQRT(G43)*$B$11))</f>
        <v>0.490002690097469</v>
      </c>
      <c r="J43" s="16" t="n">
        <f aca="false">($B$9-1)/($B$9-2)*(1-($B$12-G43)/($B$10+G43-2*H43*SQRT(G43)*$B$11))</f>
        <v>0.863478017882189</v>
      </c>
      <c r="K43" s="18" t="n">
        <f aca="false">COUNTIF(الإجابات!$X$3:$X$152,"A")/$B$2</f>
        <v>0.16</v>
      </c>
      <c r="L43" s="18" t="n">
        <f aca="false">COUNTIF(الإجابات!$X$3:$X$152,"B")/$B$2</f>
        <v>0.26</v>
      </c>
      <c r="M43" s="18" t="n">
        <f aca="false">COUNTIF(الإجابات!$X$3:$X$152,"C")/$B$2</f>
        <v>0.58</v>
      </c>
      <c r="N43" s="18" t="n">
        <f aca="false">COUNTIF(الإجابات!$X$3:$X$152,"D")/$B$2</f>
        <v>0</v>
      </c>
      <c r="O43" s="18" t="n">
        <f aca="false">MIN(IF(B43="A",1,K43),IF(B43="B",1,L43),IF(B43="C",1,M43),IF(B43="D",1,N43))</f>
        <v>0</v>
      </c>
      <c r="P43" s="19" t="str">
        <f aca="false">IF(I43&lt;-0.1,"تمييز سالب: راجِع المفتاح فوراً",IF(OR(C43&gt;$B$14,C43&lt;$B$13),"صعوبة متطرفة: راجِع الصياغة أو المستوى",IF(I43&lt;$B$15,"تمييز ضعيف: راجِع الصياغة والمموهات",IF(O43&lt;$B$17,"مموّه غير فعّال: استبدله",IF(I43&lt;$B$16,"مقبولة وقابلة للتحسين","جيدة")))))</f>
        <v>مموّه غير فعّال: استبدله</v>
      </c>
    </row>
    <row r="44" customFormat="false" ht="17.9" hidden="false" customHeight="false" outlineLevel="0" collapsed="false">
      <c r="A44" s="15" t="s">
        <v>37</v>
      </c>
      <c r="B44" s="15" t="str">
        <f aca="false">الإجابات!Y2</f>
        <v>B</v>
      </c>
      <c r="C44" s="16" t="n">
        <f aca="false">AVERAGE(التصحيح!$Y$3:$Y$152)</f>
        <v>0.486666666666667</v>
      </c>
      <c r="D44" s="16" t="n">
        <f aca="false">SUMIF(التصحيح!$AF$3:$AF$152,"&gt;="&amp;$B$5,التصحيح!$Y$3:$Y$152)/$B$7</f>
        <v>0.955555555555556</v>
      </c>
      <c r="E44" s="16" t="n">
        <f aca="false">SUMIF(التصحيح!$AF$3:$AF$152,"&lt;="&amp;$B$6,التصحيح!$Y$3:$Y$152)/$B$8</f>
        <v>0.222222222222222</v>
      </c>
      <c r="F44" s="16" t="n">
        <f aca="false">D44-E44</f>
        <v>0.733333333333333</v>
      </c>
      <c r="G44" s="17" t="n">
        <f aca="false">VARP(التصحيح!$Y$3:$Y$152)</f>
        <v>0.249822222222222</v>
      </c>
      <c r="H44" s="16" t="n">
        <f aca="false">IF(G44=0,0,CORREL(التصحيح!$Y$3:$Y$152,التصحيح!$AF$3:$AF$152))</f>
        <v>0.585517754828041</v>
      </c>
      <c r="I44" s="16" t="n">
        <f aca="false">IF(G44=0,0,(H44*$B$11-SQRT(G44))/SQRT(G44+$B$10-2*H44*SQRT(G44)*$B$11))</f>
        <v>0.530565806217521</v>
      </c>
      <c r="J44" s="16" t="n">
        <f aca="false">($B$9-1)/($B$9-2)*(1-($B$12-G44)/($B$10+G44-2*H44*SQRT(G44)*$B$11))</f>
        <v>0.86235855025698</v>
      </c>
      <c r="K44" s="18" t="n">
        <f aca="false">COUNTIF(الإجابات!$Y$3:$Y$152,"A")/$B$2</f>
        <v>0.2</v>
      </c>
      <c r="L44" s="18" t="n">
        <f aca="false">COUNTIF(الإجابات!$Y$3:$Y$152,"B")/$B$2</f>
        <v>0.486666666666667</v>
      </c>
      <c r="M44" s="18" t="n">
        <f aca="false">COUNTIF(الإجابات!$Y$3:$Y$152,"C")/$B$2</f>
        <v>0.206666666666667</v>
      </c>
      <c r="N44" s="18" t="n">
        <f aca="false">COUNTIF(الإجابات!$Y$3:$Y$152,"D")/$B$2</f>
        <v>0.106666666666667</v>
      </c>
      <c r="O44" s="18" t="n">
        <f aca="false">MIN(IF(B44="A",1,K44),IF(B44="B",1,L44),IF(B44="C",1,M44),IF(B44="D",1,N44))</f>
        <v>0.106666666666667</v>
      </c>
      <c r="P44" s="19" t="str">
        <f aca="false">IF(I44&lt;-0.1,"تمييز سالب: راجِع المفتاح فوراً",IF(OR(C44&gt;$B$14,C44&lt;$B$13),"صعوبة متطرفة: راجِع الصياغة أو المستوى",IF(I44&lt;$B$15,"تمييز ضعيف: راجِع الصياغة والمموهات",IF(O44&lt;$B$17,"مموّه غير فعّال: استبدله",IF(I44&lt;$B$16,"مقبولة وقابلة للتحسين","جيدة")))))</f>
        <v>جيدة</v>
      </c>
    </row>
    <row r="45" customFormat="false" ht="17.9" hidden="false" customHeight="false" outlineLevel="0" collapsed="false">
      <c r="A45" s="15" t="s">
        <v>38</v>
      </c>
      <c r="B45" s="15" t="str">
        <f aca="false">الإجابات!Z2</f>
        <v>C</v>
      </c>
      <c r="C45" s="16" t="n">
        <f aca="false">AVERAGE(التصحيح!$Z$3:$Z$152)</f>
        <v>0.553333333333333</v>
      </c>
      <c r="D45" s="16" t="n">
        <f aca="false">SUMIF(التصحيح!$AF$3:$AF$152,"&gt;="&amp;$B$5,التصحيح!$Z$3:$Z$152)/$B$7</f>
        <v>0.888888888888889</v>
      </c>
      <c r="E45" s="16" t="n">
        <f aca="false">SUMIF(التصحيح!$AF$3:$AF$152,"&lt;="&amp;$B$6,التصحيح!$Z$3:$Z$152)/$B$8</f>
        <v>0.2</v>
      </c>
      <c r="F45" s="16" t="n">
        <f aca="false">D45-E45</f>
        <v>0.688888888888889</v>
      </c>
      <c r="G45" s="17" t="n">
        <f aca="false">VARP(التصحيح!$Z$3:$Z$152)</f>
        <v>0.247155555555555</v>
      </c>
      <c r="H45" s="16" t="n">
        <f aca="false">IF(G45=0,0,CORREL(التصحيح!$Z$3:$Z$152,التصحيح!$AF$3:$AF$152))</f>
        <v>0.568412437930328</v>
      </c>
      <c r="I45" s="16" t="n">
        <f aca="false">IF(G45=0,0,(H45*$B$11-SQRT(G45))/SQRT(G45+$B$10-2*H45*SQRT(G45)*$B$11))</f>
        <v>0.512254819252291</v>
      </c>
      <c r="J45" s="16" t="n">
        <f aca="false">($B$9-1)/($B$9-2)*(1-($B$12-G45)/($B$10+G45-2*H45*SQRT(G45)*$B$11))</f>
        <v>0.862867237849057</v>
      </c>
      <c r="K45" s="18" t="n">
        <f aca="false">COUNTIF(الإجابات!$Z$3:$Z$152,"A")/$B$2</f>
        <v>0.0933333333333333</v>
      </c>
      <c r="L45" s="18" t="n">
        <f aca="false">COUNTIF(الإجابات!$Z$3:$Z$152,"B")/$B$2</f>
        <v>0.186666666666667</v>
      </c>
      <c r="M45" s="18" t="n">
        <f aca="false">COUNTIF(الإجابات!$Z$3:$Z$152,"C")/$B$2</f>
        <v>0.553333333333333</v>
      </c>
      <c r="N45" s="18" t="n">
        <f aca="false">COUNTIF(الإجابات!$Z$3:$Z$152,"D")/$B$2</f>
        <v>0.166666666666667</v>
      </c>
      <c r="O45" s="18" t="n">
        <f aca="false">MIN(IF(B45="A",1,K45),IF(B45="B",1,L45),IF(B45="C",1,M45),IF(B45="D",1,N45))</f>
        <v>0.0933333333333333</v>
      </c>
      <c r="P45" s="19" t="str">
        <f aca="false">IF(I45&lt;-0.1,"تمييز سالب: راجِع المفتاح فوراً",IF(OR(C45&gt;$B$14,C45&lt;$B$13),"صعوبة متطرفة: راجِع الصياغة أو المستوى",IF(I45&lt;$B$15,"تمييز ضعيف: راجِع الصياغة والمموهات",IF(O45&lt;$B$17,"مموّه غير فعّال: استبدله",IF(I45&lt;$B$16,"مقبولة وقابلة للتحسين","جيدة")))))</f>
        <v>جيدة</v>
      </c>
    </row>
    <row r="46" customFormat="false" ht="17.9" hidden="false" customHeight="false" outlineLevel="0" collapsed="false">
      <c r="A46" s="15" t="s">
        <v>39</v>
      </c>
      <c r="B46" s="15" t="str">
        <f aca="false">الإجابات!AA2</f>
        <v>B</v>
      </c>
      <c r="C46" s="16" t="n">
        <f aca="false">AVERAGE(التصحيح!$AA$3:$AA$152)</f>
        <v>0.413333333333333</v>
      </c>
      <c r="D46" s="16" t="n">
        <f aca="false">SUMIF(التصحيح!$AF$3:$AF$152,"&gt;="&amp;$B$5,التصحيح!$AA$3:$AA$152)/$B$7</f>
        <v>0.8</v>
      </c>
      <c r="E46" s="16" t="n">
        <f aca="false">SUMIF(التصحيح!$AF$3:$AF$152,"&lt;="&amp;$B$6,التصحيح!$AA$3:$AA$152)/$B$8</f>
        <v>0.111111111111111</v>
      </c>
      <c r="F46" s="16" t="n">
        <f aca="false">D46-E46</f>
        <v>0.688888888888889</v>
      </c>
      <c r="G46" s="17" t="n">
        <f aca="false">VARP(التصحيح!$AA$3:$AA$152)</f>
        <v>0.242488888888889</v>
      </c>
      <c r="H46" s="16" t="n">
        <f aca="false">IF(G46=0,0,CORREL(التصحيح!$AA$3:$AA$152,التصحيح!$AF$3:$AF$152))</f>
        <v>0.541700774550612</v>
      </c>
      <c r="I46" s="16" t="n">
        <f aca="false">IF(G46=0,0,(H46*$B$11-SQRT(G46))/SQRT(G46+$B$10-2*H46*SQRT(G46)*$B$11))</f>
        <v>0.483867834399532</v>
      </c>
      <c r="J46" s="16" t="n">
        <f aca="false">($B$9-1)/($B$9-2)*(1-($B$12-G46)/($B$10+G46-2*H46*SQRT(G46)*$B$11))</f>
        <v>0.863645094095869</v>
      </c>
      <c r="K46" s="18" t="n">
        <f aca="false">COUNTIF(الإجابات!$AA$3:$AA$152,"A")/$B$2</f>
        <v>0.266666666666667</v>
      </c>
      <c r="L46" s="18" t="n">
        <f aca="false">COUNTIF(الإجابات!$AA$3:$AA$152,"B")/$B$2</f>
        <v>0.413333333333333</v>
      </c>
      <c r="M46" s="18" t="n">
        <f aca="false">COUNTIF(الإجابات!$AA$3:$AA$152,"C")/$B$2</f>
        <v>0.2</v>
      </c>
      <c r="N46" s="18" t="n">
        <f aca="false">COUNTIF(الإجابات!$AA$3:$AA$152,"D")/$B$2</f>
        <v>0.12</v>
      </c>
      <c r="O46" s="18" t="n">
        <f aca="false">MIN(IF(B46="A",1,K46),IF(B46="B",1,L46),IF(B46="C",1,M46),IF(B46="D",1,N46))</f>
        <v>0.12</v>
      </c>
      <c r="P46" s="19" t="str">
        <f aca="false">IF(I46&lt;-0.1,"تمييز سالب: راجِع المفتاح فوراً",IF(OR(C46&gt;$B$14,C46&lt;$B$13),"صعوبة متطرفة: راجِع الصياغة أو المستوى",IF(I46&lt;$B$15,"تمييز ضعيف: راجِع الصياغة والمموهات",IF(O46&lt;$B$17,"مموّه غير فعّال: استبدله",IF(I46&lt;$B$16,"مقبولة وقابلة للتحسين","جيدة")))))</f>
        <v>جيدة</v>
      </c>
    </row>
    <row r="47" customFormat="false" ht="17.9" hidden="false" customHeight="false" outlineLevel="0" collapsed="false">
      <c r="A47" s="15" t="s">
        <v>40</v>
      </c>
      <c r="B47" s="15" t="str">
        <f aca="false">الإجابات!AB2</f>
        <v>B</v>
      </c>
      <c r="C47" s="16" t="n">
        <f aca="false">AVERAGE(التصحيح!$AB$3:$AB$152)</f>
        <v>0.493333333333333</v>
      </c>
      <c r="D47" s="16" t="n">
        <f aca="false">SUMIF(التصحيح!$AF$3:$AF$152,"&gt;="&amp;$B$5,التصحيح!$AB$3:$AB$152)/$B$7</f>
        <v>0.466666666666667</v>
      </c>
      <c r="E47" s="16" t="n">
        <f aca="false">SUMIF(التصحيح!$AF$3:$AF$152,"&lt;="&amp;$B$6,التصحيح!$AB$3:$AB$152)/$B$8</f>
        <v>0.466666666666667</v>
      </c>
      <c r="F47" s="16" t="n">
        <f aca="false">D47-E47</f>
        <v>0</v>
      </c>
      <c r="G47" s="17" t="n">
        <f aca="false">VARP(التصحيح!$AB$3:$AB$152)</f>
        <v>0.249955555555556</v>
      </c>
      <c r="H47" s="16" t="n">
        <f aca="false">IF(G47=0,0,CORREL(التصحيح!$AB$3:$AB$152,التصحيح!$AF$3:$AF$152))</f>
        <v>0.019725045723673</v>
      </c>
      <c r="I47" s="16" t="n">
        <f aca="false">IF(G47=0,0,(H47*$B$11-SQRT(G47))/SQRT(G47+$B$10-2*H47*SQRT(G47)*$B$11))</f>
        <v>-0.0583092336744131</v>
      </c>
      <c r="J47" s="16" t="n">
        <f aca="false">($B$9-1)/($B$9-2)*(1-($B$12-G47)/($B$10+G47-2*H47*SQRT(G47)*$B$11))</f>
        <v>0.877637099172363</v>
      </c>
      <c r="K47" s="18" t="n">
        <f aca="false">COUNTIF(الإجابات!$AB$3:$AB$152,"A")/$B$2</f>
        <v>0.113333333333333</v>
      </c>
      <c r="L47" s="18" t="n">
        <f aca="false">COUNTIF(الإجابات!$AB$3:$AB$152,"B")/$B$2</f>
        <v>0.493333333333333</v>
      </c>
      <c r="M47" s="18" t="n">
        <f aca="false">COUNTIF(الإجابات!$AB$3:$AB$152,"C")/$B$2</f>
        <v>0.246666666666667</v>
      </c>
      <c r="N47" s="18" t="n">
        <f aca="false">COUNTIF(الإجابات!$AB$3:$AB$152,"D")/$B$2</f>
        <v>0.146666666666667</v>
      </c>
      <c r="O47" s="18" t="n">
        <f aca="false">MIN(IF(B47="A",1,K47),IF(B47="B",1,L47),IF(B47="C",1,M47),IF(B47="D",1,N47))</f>
        <v>0.113333333333333</v>
      </c>
      <c r="P47" s="19" t="str">
        <f aca="false">IF(I47&lt;-0.1,"تمييز سالب: راجِع المفتاح فوراً",IF(OR(C47&gt;$B$14,C47&lt;$B$13),"صعوبة متطرفة: راجِع الصياغة أو المستوى",IF(I47&lt;$B$15,"تمييز ضعيف: راجِع الصياغة والمموهات",IF(O47&lt;$B$17,"مموّه غير فعّال: استبدله",IF(I47&lt;$B$16,"مقبولة وقابلة للتحسين","جيدة")))))</f>
        <v>تمييز ضعيف: راجِع الصياغة والمموهات</v>
      </c>
    </row>
    <row r="48" customFormat="false" ht="17.9" hidden="false" customHeight="false" outlineLevel="0" collapsed="false">
      <c r="A48" s="15" t="s">
        <v>41</v>
      </c>
      <c r="B48" s="15" t="str">
        <f aca="false">الإجابات!AC2</f>
        <v>B</v>
      </c>
      <c r="C48" s="16" t="n">
        <f aca="false">AVERAGE(التصحيح!$AC$3:$AC$152)</f>
        <v>0.513333333333333</v>
      </c>
      <c r="D48" s="16" t="n">
        <f aca="false">SUMIF(التصحيح!$AF$3:$AF$152,"&gt;="&amp;$B$5,التصحيح!$AC$3:$AC$152)/$B$7</f>
        <v>0.844444444444444</v>
      </c>
      <c r="E48" s="16" t="n">
        <f aca="false">SUMIF(التصحيح!$AF$3:$AF$152,"&lt;="&amp;$B$6,التصحيح!$AC$3:$AC$152)/$B$8</f>
        <v>0.222222222222222</v>
      </c>
      <c r="F48" s="16" t="n">
        <f aca="false">D48-E48</f>
        <v>0.622222222222222</v>
      </c>
      <c r="G48" s="17" t="n">
        <f aca="false">VARP(التصحيح!$AC$3:$AC$152)</f>
        <v>0.249822222222222</v>
      </c>
      <c r="H48" s="16" t="n">
        <f aca="false">IF(G48=0,0,CORREL(التصحيح!$AC$3:$AC$152,التصحيح!$AF$3:$AF$152))</f>
        <v>0.550364458204525</v>
      </c>
      <c r="I48" s="16" t="n">
        <f aca="false">IF(G48=0,0,(H48*$B$11-SQRT(G48))/SQRT(G48+$B$10-2*H48*SQRT(G48)*$B$11))</f>
        <v>0.492333084271589</v>
      </c>
      <c r="J48" s="16" t="n">
        <f aca="false">($B$9-1)/($B$9-2)*(1-($B$12-G48)/($B$10+G48-2*H48*SQRT(G48)*$B$11))</f>
        <v>0.863393081436226</v>
      </c>
      <c r="K48" s="18" t="n">
        <f aca="false">COUNTIF(الإجابات!$AC$3:$AC$152,"A")/$B$2</f>
        <v>0.133333333333333</v>
      </c>
      <c r="L48" s="18" t="n">
        <f aca="false">COUNTIF(الإجابات!$AC$3:$AC$152,"B")/$B$2</f>
        <v>0.513333333333333</v>
      </c>
      <c r="M48" s="18" t="n">
        <f aca="false">COUNTIF(الإجابات!$AC$3:$AC$152,"C")/$B$2</f>
        <v>0.193333333333333</v>
      </c>
      <c r="N48" s="18" t="n">
        <f aca="false">COUNTIF(الإجابات!$AC$3:$AC$152,"D")/$B$2</f>
        <v>0.16</v>
      </c>
      <c r="O48" s="18" t="n">
        <f aca="false">MIN(IF(B48="A",1,K48),IF(B48="B",1,L48),IF(B48="C",1,M48),IF(B48="D",1,N48))</f>
        <v>0.133333333333333</v>
      </c>
      <c r="P48" s="19" t="str">
        <f aca="false">IF(I48&lt;-0.1,"تمييز سالب: راجِع المفتاح فوراً",IF(OR(C48&gt;$B$14,C48&lt;$B$13),"صعوبة متطرفة: راجِع الصياغة أو المستوى",IF(I48&lt;$B$15,"تمييز ضعيف: راجِع الصياغة والمموهات",IF(O48&lt;$B$17,"مموّه غير فعّال: استبدله",IF(I48&lt;$B$16,"مقبولة وقابلة للتحسين","جيدة")))))</f>
        <v>جيدة</v>
      </c>
    </row>
    <row r="49" customFormat="false" ht="17.9" hidden="false" customHeight="false" outlineLevel="0" collapsed="false">
      <c r="A49" s="15" t="s">
        <v>42</v>
      </c>
      <c r="B49" s="15" t="str">
        <f aca="false">الإجابات!AD2</f>
        <v>C</v>
      </c>
      <c r="C49" s="16" t="n">
        <f aca="false">AVERAGE(التصحيح!$AD$3:$AD$152)</f>
        <v>0.54</v>
      </c>
      <c r="D49" s="16" t="n">
        <f aca="false">SUMIF(التصحيح!$AF$3:$AF$152,"&gt;="&amp;$B$5,التصحيح!$AD$3:$AD$152)/$B$7</f>
        <v>0.866666666666667</v>
      </c>
      <c r="E49" s="16" t="n">
        <f aca="false">SUMIF(التصحيح!$AF$3:$AF$152,"&lt;="&amp;$B$6,التصحيح!$AD$3:$AD$152)/$B$8</f>
        <v>0.288888888888889</v>
      </c>
      <c r="F49" s="16" t="n">
        <f aca="false">D49-E49</f>
        <v>0.577777777777778</v>
      </c>
      <c r="G49" s="17" t="n">
        <f aca="false">VARP(التصحيح!$AD$3:$AD$152)</f>
        <v>0.2484</v>
      </c>
      <c r="H49" s="16" t="n">
        <f aca="false">IF(G49=0,0,CORREL(التصحيح!$AD$3:$AD$152,التصحيح!$AF$3:$AF$152))</f>
        <v>0.5083234031977</v>
      </c>
      <c r="I49" s="16" t="n">
        <f aca="false">IF(G49=0,0,(H49*$B$11-SQRT(G49))/SQRT(G49+$B$10-2*H49*SQRT(G49)*$B$11))</f>
        <v>0.447098465027195</v>
      </c>
      <c r="J49" s="16" t="n">
        <f aca="false">($B$9-1)/($B$9-2)*(1-($B$12-G49)/($B$10+G49-2*H49*SQRT(G49)*$B$11))</f>
        <v>0.864610782278957</v>
      </c>
      <c r="K49" s="18" t="n">
        <f aca="false">COUNTIF(الإجابات!$AD$3:$AD$152,"A")/$B$2</f>
        <v>0.18</v>
      </c>
      <c r="L49" s="18" t="n">
        <f aca="false">COUNTIF(الإجابات!$AD$3:$AD$152,"B")/$B$2</f>
        <v>0.153333333333333</v>
      </c>
      <c r="M49" s="18" t="n">
        <f aca="false">COUNTIF(الإجابات!$AD$3:$AD$152,"C")/$B$2</f>
        <v>0.54</v>
      </c>
      <c r="N49" s="18" t="n">
        <f aca="false">COUNTIF(الإجابات!$AD$3:$AD$152,"D")/$B$2</f>
        <v>0.126666666666667</v>
      </c>
      <c r="O49" s="18" t="n">
        <f aca="false">MIN(IF(B49="A",1,K49),IF(B49="B",1,L49),IF(B49="C",1,M49),IF(B49="D",1,N49))</f>
        <v>0.126666666666667</v>
      </c>
      <c r="P49" s="19" t="str">
        <f aca="false">IF(I49&lt;-0.1,"تمييز سالب: راجِع المفتاح فوراً",IF(OR(C49&gt;$B$14,C49&lt;$B$13),"صعوبة متطرفة: راجِع الصياغة أو المستوى",IF(I49&lt;$B$15,"تمييز ضعيف: راجِع الصياغة والمموهات",IF(O49&lt;$B$17,"مموّه غير فعّال: استبدله",IF(I49&lt;$B$16,"مقبولة وقابلة للتحسين","جيدة")))))</f>
        <v>جيدة</v>
      </c>
    </row>
    <row r="50" customFormat="false" ht="17.9" hidden="false" customHeight="false" outlineLevel="0" collapsed="false">
      <c r="A50" s="15" t="s">
        <v>43</v>
      </c>
      <c r="B50" s="15" t="str">
        <f aca="false">الإجابات!AE2</f>
        <v>C</v>
      </c>
      <c r="C50" s="16" t="n">
        <f aca="false">AVERAGE(التصحيح!$AE$3:$AE$152)</f>
        <v>0.586666666666667</v>
      </c>
      <c r="D50" s="16" t="n">
        <f aca="false">SUMIF(التصحيح!$AF$3:$AF$152,"&gt;="&amp;$B$5,التصحيح!$AE$3:$AE$152)/$B$7</f>
        <v>1</v>
      </c>
      <c r="E50" s="16" t="n">
        <f aca="false">SUMIF(التصحيح!$AF$3:$AF$152,"&lt;="&amp;$B$6,التصحيح!$AE$3:$AE$152)/$B$8</f>
        <v>0.244444444444444</v>
      </c>
      <c r="F50" s="16" t="n">
        <f aca="false">D50-E50</f>
        <v>0.755555555555556</v>
      </c>
      <c r="G50" s="17" t="n">
        <f aca="false">VARP(التصحيح!$AE$3:$AE$152)</f>
        <v>0.242488888888889</v>
      </c>
      <c r="H50" s="16" t="n">
        <f aca="false">IF(G50=0,0,CORREL(التصحيح!$AE$3:$AE$152,التصحيح!$AF$3:$AF$152))</f>
        <v>0.632383825328025</v>
      </c>
      <c r="I50" s="16" t="n">
        <f aca="false">IF(G50=0,0,(H50*$B$11-SQRT(G50))/SQRT(G50+$B$10-2*H50*SQRT(G50)*$B$11))</f>
        <v>0.582704431100356</v>
      </c>
      <c r="J50" s="16" t="n">
        <f aca="false">($B$9-1)/($B$9-2)*(1-($B$12-G50)/($B$10+G50-2*H50*SQRT(G50)*$B$11))</f>
        <v>0.861002226267085</v>
      </c>
      <c r="K50" s="18" t="n">
        <f aca="false">COUNTIF(الإجابات!$AE$3:$AE$152,"A")/$B$2</f>
        <v>0.146666666666667</v>
      </c>
      <c r="L50" s="18" t="n">
        <f aca="false">COUNTIF(الإجابات!$AE$3:$AE$152,"B")/$B$2</f>
        <v>0.113333333333333</v>
      </c>
      <c r="M50" s="18" t="n">
        <f aca="false">COUNTIF(الإجابات!$AE$3:$AE$152,"C")/$B$2</f>
        <v>0.586666666666667</v>
      </c>
      <c r="N50" s="18" t="n">
        <f aca="false">COUNTIF(الإجابات!$AE$3:$AE$152,"D")/$B$2</f>
        <v>0.153333333333333</v>
      </c>
      <c r="O50" s="18" t="n">
        <f aca="false">MIN(IF(B50="A",1,K50),IF(B50="B",1,L50),IF(B50="C",1,M50),IF(B50="D",1,N50))</f>
        <v>0.113333333333333</v>
      </c>
      <c r="P50" s="19" t="str">
        <f aca="false">IF(I50&lt;-0.1,"تمييز سالب: راجِع المفتاح فوراً",IF(OR(C50&gt;$B$14,C50&lt;$B$13),"صعوبة متطرفة: راجِع الصياغة أو المستوى",IF(I50&lt;$B$15,"تمييز ضعيف: راجِع الصياغة والمموهات",IF(O50&lt;$B$17,"مموّه غير فعّال: استبدله",IF(I50&lt;$B$16,"مقبولة وقابلة للتحسين","جيدة")))))</f>
        <v>جيدة</v>
      </c>
    </row>
  </sheetData>
  <conditionalFormatting sqref="P21:P50">
    <cfRule type="expression" priority="2" aboveAverage="0" equalAverage="0" bottom="0" percent="0" rank="0" text="" dxfId="0">
      <formula>LEFT(P21,5)="تمييز"</formula>
    </cfRule>
    <cfRule type="expression" priority="3" aboveAverage="0" equalAverage="0" bottom="0" percent="0" rank="0" text="" dxfId="1">
      <formula>P21="جيدة"</formula>
    </cfRule>
    <cfRule type="expression" priority="4" aboveAverage="0" equalAverage="0" bottom="0" percent="0" rank="0" text="" dxfId="2">
      <formula>P21&lt;&gt;"جيدة"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4.3" hidden="false" customHeight="false" outlineLevel="0" collapsed="false">
      <c r="A1" s="4" t="s">
        <v>219</v>
      </c>
      <c r="B1" s="4" t="s">
        <v>235</v>
      </c>
      <c r="C1" s="4" t="s">
        <v>236</v>
      </c>
      <c r="D1" s="4" t="s">
        <v>237</v>
      </c>
      <c r="E1" s="4" t="s">
        <v>238</v>
      </c>
      <c r="F1" s="4" t="s">
        <v>239</v>
      </c>
      <c r="G1" s="4" t="s">
        <v>240</v>
      </c>
      <c r="H1" s="4" t="s">
        <v>241</v>
      </c>
    </row>
    <row r="2" customFormat="false" ht="17.9" hidden="false" customHeight="false" outlineLevel="0" collapsed="false">
      <c r="A2" s="15" t="s">
        <v>14</v>
      </c>
      <c r="B2" s="15" t="s">
        <v>48</v>
      </c>
      <c r="C2" s="15" t="str">
        <f aca="false">IF(الإجابات!$B$2=B2,"نعم","")</f>
        <v/>
      </c>
      <c r="D2" s="18" t="n">
        <f aca="false">COUNTIF(الإجابات!$B$3:$B$152,B2)/'تحليل الفقرات'!$B$2</f>
        <v>0.16</v>
      </c>
      <c r="E2" s="15" t="n">
        <f aca="false">COUNTIFS(الإجابات!$B$3:$B$152,B2,التصحيح!$AF$3:$AF$152,"&gt;="&amp;'تحليل الفقرات'!$B$5)</f>
        <v>3</v>
      </c>
      <c r="F2" s="15" t="n">
        <f aca="false">COUNTIFS(الإجابات!$B$3:$B$152,B2,التصحيح!$AF$3:$AF$152,"&lt;="&amp;'تحليل الفقرات'!$B$6)</f>
        <v>10</v>
      </c>
      <c r="G2" s="15" t="n">
        <f aca="false">E2-F2</f>
        <v>-7</v>
      </c>
      <c r="H2" s="15" t="str">
        <f aca="false">IF(C2="نعم",IF(G2&gt;0,"المفتاح يميّز كما يجب","المفتاح لا يميّز: راجِع"),IF(D2&lt;'تحليل الفقرات'!$B$17,"مموّه غير فعّال",IF(G2&gt;0,"مموّه يجذب المتفوقين: راجِعه","مموّه يعمل")))</f>
        <v>مموّه يعمل</v>
      </c>
    </row>
    <row r="3" customFormat="false" ht="17.9" hidden="false" customHeight="false" outlineLevel="0" collapsed="false">
      <c r="A3" s="15" t="s">
        <v>14</v>
      </c>
      <c r="B3" s="15" t="s">
        <v>47</v>
      </c>
      <c r="C3" s="15" t="str">
        <f aca="false">IF(الإجابات!$B$2=B3,"نعم","")</f>
        <v/>
      </c>
      <c r="D3" s="18" t="n">
        <f aca="false">COUNTIF(الإجابات!$B$3:$B$152,B3)/'تحليل الفقرات'!$B$2</f>
        <v>0.22</v>
      </c>
      <c r="E3" s="15" t="n">
        <f aca="false">COUNTIFS(الإجابات!$B$3:$B$152,B3,التصحيح!$AF$3:$AF$152,"&gt;="&amp;'تحليل الفقرات'!$B$5)</f>
        <v>4</v>
      </c>
      <c r="F3" s="15" t="n">
        <f aca="false">COUNTIFS(الإجابات!$B$3:$B$152,B3,التصحيح!$AF$3:$AF$152,"&lt;="&amp;'تحليل الفقرات'!$B$6)</f>
        <v>18</v>
      </c>
      <c r="G3" s="15" t="n">
        <f aca="false">E3-F3</f>
        <v>-14</v>
      </c>
      <c r="H3" s="15" t="str">
        <f aca="false">IF(C3="نعم",IF(G3&gt;0,"المفتاح يميّز كما يجب","المفتاح لا يميّز: راجِع"),IF(D3&lt;'تحليل الفقرات'!$B$17,"مموّه غير فعّال",IF(G3&gt;0,"مموّه يجذب المتفوقين: راجِعه","مموّه يعمل")))</f>
        <v>مموّه يعمل</v>
      </c>
    </row>
    <row r="4" customFormat="false" ht="17.9" hidden="false" customHeight="false" outlineLevel="0" collapsed="false">
      <c r="A4" s="15" t="s">
        <v>14</v>
      </c>
      <c r="B4" s="15" t="s">
        <v>46</v>
      </c>
      <c r="C4" s="15" t="str">
        <f aca="false">IF(الإجابات!$B$2=B4,"نعم","")</f>
        <v/>
      </c>
      <c r="D4" s="18" t="n">
        <f aca="false">COUNTIF(الإجابات!$B$3:$B$152,B4)/'تحليل الفقرات'!$B$2</f>
        <v>0.186666666666667</v>
      </c>
      <c r="E4" s="15" t="n">
        <f aca="false">COUNTIFS(الإجابات!$B$3:$B$152,B4,التصحيح!$AF$3:$AF$152,"&gt;="&amp;'تحليل الفقرات'!$B$5)</f>
        <v>3</v>
      </c>
      <c r="F4" s="15" t="n">
        <f aca="false">COUNTIFS(الإجابات!$B$3:$B$152,B4,التصحيح!$AF$3:$AF$152,"&lt;="&amp;'تحليل الفقرات'!$B$6)</f>
        <v>11</v>
      </c>
      <c r="G4" s="15" t="n">
        <f aca="false">E4-F4</f>
        <v>-8</v>
      </c>
      <c r="H4" s="15" t="str">
        <f aca="false">IF(C4="نعم",IF(G4&gt;0,"المفتاح يميّز كما يجب","المفتاح لا يميّز: راجِع"),IF(D4&lt;'تحليل الفقرات'!$B$17,"مموّه غير فعّال",IF(G4&gt;0,"مموّه يجذب المتفوقين: راجِعه","مموّه يعمل")))</f>
        <v>مموّه يعمل</v>
      </c>
    </row>
    <row r="5" customFormat="false" ht="17.9" hidden="false" customHeight="false" outlineLevel="0" collapsed="false">
      <c r="A5" s="20" t="s">
        <v>14</v>
      </c>
      <c r="B5" s="20" t="s">
        <v>45</v>
      </c>
      <c r="C5" s="20" t="str">
        <f aca="false">IF(الإجابات!$B$2=B5,"نعم","")</f>
        <v>نعم</v>
      </c>
      <c r="D5" s="21" t="n">
        <f aca="false">COUNTIF(الإجابات!$B$3:$B$152,B5)/'تحليل الفقرات'!$B$2</f>
        <v>0.433333333333333</v>
      </c>
      <c r="E5" s="20" t="n">
        <f aca="false">COUNTIFS(الإجابات!$B$3:$B$152,B5,التصحيح!$AF$3:$AF$152,"&gt;="&amp;'تحليل الفقرات'!$B$5)</f>
        <v>35</v>
      </c>
      <c r="F5" s="20" t="n">
        <f aca="false">COUNTIFS(الإجابات!$B$3:$B$152,B5,التصحيح!$AF$3:$AF$152,"&lt;="&amp;'تحليل الفقرات'!$B$6)</f>
        <v>6</v>
      </c>
      <c r="G5" s="20" t="n">
        <f aca="false">E5-F5</f>
        <v>29</v>
      </c>
      <c r="H5" s="20" t="str">
        <f aca="false">IF(C5="نعم",IF(G5&gt;0,"المفتاح يميّز كما يجب","المفتاح لا يميّز: راجِع"),IF(D5&lt;'تحليل الفقرات'!$B$17,"مموّه غير فعّال",IF(G5&gt;0,"مموّه يجذب المتفوقين: راجِعه","مموّه يعمل")))</f>
        <v>المفتاح يميّز كما يجب</v>
      </c>
    </row>
    <row r="6" customFormat="false" ht="17.9" hidden="false" customHeight="false" outlineLevel="0" collapsed="false">
      <c r="A6" s="15" t="s">
        <v>15</v>
      </c>
      <c r="B6" s="15" t="s">
        <v>48</v>
      </c>
      <c r="C6" s="15" t="str">
        <f aca="false">IF(الإجابات!$C$2=B6,"نعم","")</f>
        <v/>
      </c>
      <c r="D6" s="18" t="n">
        <f aca="false">COUNTIF(الإجابات!$C$3:$C$152,B6)/'تحليل الفقرات'!$B$2</f>
        <v>0.193333333333333</v>
      </c>
      <c r="E6" s="15" t="n">
        <f aca="false">COUNTIFS(الإجابات!$C$3:$C$152,B6,التصحيح!$AF$3:$AF$152,"&gt;="&amp;'تحليل الفقرات'!$B$5)</f>
        <v>4</v>
      </c>
      <c r="F6" s="15" t="n">
        <f aca="false">COUNTIFS(الإجابات!$C$3:$C$152,B6,التصحيح!$AF$3:$AF$152,"&lt;="&amp;'تحليل الفقرات'!$B$6)</f>
        <v>12</v>
      </c>
      <c r="G6" s="15" t="n">
        <f aca="false">E6-F6</f>
        <v>-8</v>
      </c>
      <c r="H6" s="15" t="str">
        <f aca="false">IF(C6="نعم",IF(G6&gt;0,"المفتاح يميّز كما يجب","المفتاح لا يميّز: راجِع"),IF(D6&lt;'تحليل الفقرات'!$B$17,"مموّه غير فعّال",IF(G6&gt;0,"مموّه يجذب المتفوقين: راجِعه","مموّه يعمل")))</f>
        <v>مموّه يعمل</v>
      </c>
    </row>
    <row r="7" customFormat="false" ht="17.9" hidden="false" customHeight="false" outlineLevel="0" collapsed="false">
      <c r="A7" s="15" t="s">
        <v>15</v>
      </c>
      <c r="B7" s="15" t="s">
        <v>47</v>
      </c>
      <c r="C7" s="15" t="str">
        <f aca="false">IF(الإجابات!$C$2=B7,"نعم","")</f>
        <v/>
      </c>
      <c r="D7" s="18" t="n">
        <f aca="false">COUNTIF(الإجابات!$C$3:$C$152,B7)/'تحليل الفقرات'!$B$2</f>
        <v>0.233333333333333</v>
      </c>
      <c r="E7" s="15" t="n">
        <f aca="false">COUNTIFS(الإجابات!$C$3:$C$152,B7,التصحيح!$AF$3:$AF$152,"&gt;="&amp;'تحليل الفقرات'!$B$5)</f>
        <v>3</v>
      </c>
      <c r="F7" s="15" t="n">
        <f aca="false">COUNTIFS(الإجابات!$C$3:$C$152,B7,التصحيح!$AF$3:$AF$152,"&lt;="&amp;'تحليل الفقرات'!$B$6)</f>
        <v>16</v>
      </c>
      <c r="G7" s="15" t="n">
        <f aca="false">E7-F7</f>
        <v>-13</v>
      </c>
      <c r="H7" s="15" t="str">
        <f aca="false">IF(C7="نعم",IF(G7&gt;0,"المفتاح يميّز كما يجب","المفتاح لا يميّز: راجِع"),IF(D7&lt;'تحليل الفقرات'!$B$17,"مموّه غير فعّال",IF(G7&gt;0,"مموّه يجذب المتفوقين: راجِعه","مموّه يعمل")))</f>
        <v>مموّه يعمل</v>
      </c>
    </row>
    <row r="8" customFormat="false" ht="17.9" hidden="false" customHeight="false" outlineLevel="0" collapsed="false">
      <c r="A8" s="15" t="s">
        <v>15</v>
      </c>
      <c r="B8" s="15" t="s">
        <v>46</v>
      </c>
      <c r="C8" s="15" t="str">
        <f aca="false">IF(الإجابات!$C$2=B8,"نعم","")</f>
        <v>نعم</v>
      </c>
      <c r="D8" s="18" t="n">
        <f aca="false">COUNTIF(الإجابات!$C$3:$C$152,B8)/'تحليل الفقرات'!$B$2</f>
        <v>0.406666666666667</v>
      </c>
      <c r="E8" s="15" t="n">
        <f aca="false">COUNTIFS(الإجابات!$C$3:$C$152,B8,التصحيح!$AF$3:$AF$152,"&gt;="&amp;'تحليل الفقرات'!$B$5)</f>
        <v>34</v>
      </c>
      <c r="F8" s="15" t="n">
        <f aca="false">COUNTIFS(الإجابات!$C$3:$C$152,B8,التصحيح!$AF$3:$AF$152,"&lt;="&amp;'تحليل الفقرات'!$B$6)</f>
        <v>6</v>
      </c>
      <c r="G8" s="15" t="n">
        <f aca="false">E8-F8</f>
        <v>28</v>
      </c>
      <c r="H8" s="15" t="str">
        <f aca="false">IF(C8="نعم",IF(G8&gt;0,"المفتاح يميّز كما يجب","المفتاح لا يميّز: راجِع"),IF(D8&lt;'تحليل الفقرات'!$B$17,"مموّه غير فعّال",IF(G8&gt;0,"مموّه يجذب المتفوقين: راجِعه","مموّه يعمل")))</f>
        <v>المفتاح يميّز كما يجب</v>
      </c>
    </row>
    <row r="9" customFormat="false" ht="17.9" hidden="false" customHeight="false" outlineLevel="0" collapsed="false">
      <c r="A9" s="20" t="s">
        <v>15</v>
      </c>
      <c r="B9" s="20" t="s">
        <v>45</v>
      </c>
      <c r="C9" s="20" t="str">
        <f aca="false">IF(الإجابات!$C$2=B9,"نعم","")</f>
        <v/>
      </c>
      <c r="D9" s="21" t="n">
        <f aca="false">COUNTIF(الإجابات!$C$3:$C$152,B9)/'تحليل الفقرات'!$B$2</f>
        <v>0.166666666666667</v>
      </c>
      <c r="E9" s="20" t="n">
        <f aca="false">COUNTIFS(الإجابات!$C$3:$C$152,B9,التصحيح!$AF$3:$AF$152,"&gt;="&amp;'تحليل الفقرات'!$B$5)</f>
        <v>4</v>
      </c>
      <c r="F9" s="20" t="n">
        <f aca="false">COUNTIFS(الإجابات!$C$3:$C$152,B9,التصحيح!$AF$3:$AF$152,"&lt;="&amp;'تحليل الفقرات'!$B$6)</f>
        <v>11</v>
      </c>
      <c r="G9" s="20" t="n">
        <f aca="false">E9-F9</f>
        <v>-7</v>
      </c>
      <c r="H9" s="20" t="str">
        <f aca="false">IF(C9="نعم",IF(G9&gt;0,"المفتاح يميّز كما يجب","المفتاح لا يميّز: راجِع"),IF(D9&lt;'تحليل الفقرات'!$B$17,"مموّه غير فعّال",IF(G9&gt;0,"مموّه يجذب المتفوقين: راجِعه","مموّه يعمل")))</f>
        <v>مموّه يعمل</v>
      </c>
    </row>
    <row r="10" customFormat="false" ht="17.9" hidden="false" customHeight="false" outlineLevel="0" collapsed="false">
      <c r="A10" s="15" t="s">
        <v>16</v>
      </c>
      <c r="B10" s="15" t="s">
        <v>48</v>
      </c>
      <c r="C10" s="15" t="str">
        <f aca="false">IF(الإجابات!$D$2=B10,"نعم","")</f>
        <v/>
      </c>
      <c r="D10" s="18" t="n">
        <f aca="false">COUNTIF(الإجابات!$D$3:$D$152,B10)/'تحليل الفقرات'!$B$2</f>
        <v>0.166666666666667</v>
      </c>
      <c r="E10" s="15" t="n">
        <f aca="false">COUNTIFS(الإجابات!$D$3:$D$152,B10,التصحيح!$AF$3:$AF$152,"&gt;="&amp;'تحليل الفقرات'!$B$5)</f>
        <v>8</v>
      </c>
      <c r="F10" s="15" t="n">
        <f aca="false">COUNTIFS(الإجابات!$D$3:$D$152,B10,التصحيح!$AF$3:$AF$152,"&lt;="&amp;'تحليل الفقرات'!$B$6)</f>
        <v>9</v>
      </c>
      <c r="G10" s="15" t="n">
        <f aca="false">E10-F10</f>
        <v>-1</v>
      </c>
      <c r="H10" s="15" t="str">
        <f aca="false">IF(C10="نعم",IF(G10&gt;0,"المفتاح يميّز كما يجب","المفتاح لا يميّز: راجِع"),IF(D10&lt;'تحليل الفقرات'!$B$17,"مموّه غير فعّال",IF(G10&gt;0,"مموّه يجذب المتفوقين: راجِعه","مموّه يعمل")))</f>
        <v>مموّه يعمل</v>
      </c>
    </row>
    <row r="11" customFormat="false" ht="17.9" hidden="false" customHeight="false" outlineLevel="0" collapsed="false">
      <c r="A11" s="15" t="s">
        <v>16</v>
      </c>
      <c r="B11" s="15" t="s">
        <v>47</v>
      </c>
      <c r="C11" s="15" t="str">
        <f aca="false">IF(الإجابات!$D$2=B11,"نعم","")</f>
        <v/>
      </c>
      <c r="D11" s="18" t="n">
        <f aca="false">COUNTIF(الإجابات!$D$3:$D$152,B11)/'تحليل الفقرات'!$B$2</f>
        <v>0.2</v>
      </c>
      <c r="E11" s="15" t="n">
        <f aca="false">COUNTIFS(الإجابات!$D$3:$D$152,B11,التصحيح!$AF$3:$AF$152,"&gt;="&amp;'تحليل الفقرات'!$B$5)</f>
        <v>2</v>
      </c>
      <c r="F11" s="15" t="n">
        <f aca="false">COUNTIFS(الإجابات!$D$3:$D$152,B11,التصحيح!$AF$3:$AF$152,"&lt;="&amp;'تحليل الفقرات'!$B$6)</f>
        <v>11</v>
      </c>
      <c r="G11" s="15" t="n">
        <f aca="false">E11-F11</f>
        <v>-9</v>
      </c>
      <c r="H11" s="15" t="str">
        <f aca="false">IF(C11="نعم",IF(G11&gt;0,"المفتاح يميّز كما يجب","المفتاح لا يميّز: راجِع"),IF(D11&lt;'تحليل الفقرات'!$B$17,"مموّه غير فعّال",IF(G11&gt;0,"مموّه يجذب المتفوقين: راجِعه","مموّه يعمل")))</f>
        <v>مموّه يعمل</v>
      </c>
    </row>
    <row r="12" customFormat="false" ht="17.9" hidden="false" customHeight="false" outlineLevel="0" collapsed="false">
      <c r="A12" s="15" t="s">
        <v>16</v>
      </c>
      <c r="B12" s="15" t="s">
        <v>46</v>
      </c>
      <c r="C12" s="15" t="str">
        <f aca="false">IF(الإجابات!$D$2=B12,"نعم","")</f>
        <v/>
      </c>
      <c r="D12" s="18" t="n">
        <f aca="false">COUNTIF(الإجابات!$D$3:$D$152,B12)/'تحليل الفقرات'!$B$2</f>
        <v>0.26</v>
      </c>
      <c r="E12" s="15" t="n">
        <f aca="false">COUNTIFS(الإجابات!$D$3:$D$152,B12,التصحيح!$AF$3:$AF$152,"&gt;="&amp;'تحليل الفقرات'!$B$5)</f>
        <v>5</v>
      </c>
      <c r="F12" s="15" t="n">
        <f aca="false">COUNTIFS(الإجابات!$D$3:$D$152,B12,التصحيح!$AF$3:$AF$152,"&lt;="&amp;'تحليل الفقرات'!$B$6)</f>
        <v>14</v>
      </c>
      <c r="G12" s="15" t="n">
        <f aca="false">E12-F12</f>
        <v>-9</v>
      </c>
      <c r="H12" s="15" t="str">
        <f aca="false">IF(C12="نعم",IF(G12&gt;0,"المفتاح يميّز كما يجب","المفتاح لا يميّز: راجِع"),IF(D12&lt;'تحليل الفقرات'!$B$17,"مموّه غير فعّال",IF(G12&gt;0,"مموّه يجذب المتفوقين: راجِعه","مموّه يعمل")))</f>
        <v>مموّه يعمل</v>
      </c>
    </row>
    <row r="13" customFormat="false" ht="17.9" hidden="false" customHeight="false" outlineLevel="0" collapsed="false">
      <c r="A13" s="20" t="s">
        <v>16</v>
      </c>
      <c r="B13" s="20" t="s">
        <v>45</v>
      </c>
      <c r="C13" s="20" t="str">
        <f aca="false">IF(الإجابات!$D$2=B13,"نعم","")</f>
        <v>نعم</v>
      </c>
      <c r="D13" s="21" t="n">
        <f aca="false">COUNTIF(الإجابات!$D$3:$D$152,B13)/'تحليل الفقرات'!$B$2</f>
        <v>0.373333333333333</v>
      </c>
      <c r="E13" s="20" t="n">
        <f aca="false">COUNTIFS(الإجابات!$D$3:$D$152,B13,التصحيح!$AF$3:$AF$152,"&gt;="&amp;'تحليل الفقرات'!$B$5)</f>
        <v>30</v>
      </c>
      <c r="F13" s="20" t="n">
        <f aca="false">COUNTIFS(الإجابات!$D$3:$D$152,B13,التصحيح!$AF$3:$AF$152,"&lt;="&amp;'تحليل الفقرات'!$B$6)</f>
        <v>11</v>
      </c>
      <c r="G13" s="20" t="n">
        <f aca="false">E13-F13</f>
        <v>19</v>
      </c>
      <c r="H13" s="20" t="str">
        <f aca="false">IF(C13="نعم",IF(G13&gt;0,"المفتاح يميّز كما يجب","المفتاح لا يميّز: راجِع"),IF(D13&lt;'تحليل الفقرات'!$B$17,"مموّه غير فعّال",IF(G13&gt;0,"مموّه يجذب المتفوقين: راجِعه","مموّه يعمل")))</f>
        <v>المفتاح يميّز كما يجب</v>
      </c>
    </row>
    <row r="14" customFormat="false" ht="17.9" hidden="false" customHeight="false" outlineLevel="0" collapsed="false">
      <c r="A14" s="15" t="s">
        <v>17</v>
      </c>
      <c r="B14" s="15" t="s">
        <v>48</v>
      </c>
      <c r="C14" s="15" t="str">
        <f aca="false">IF(الإجابات!$E$2=B14,"نعم","")</f>
        <v/>
      </c>
      <c r="D14" s="18" t="n">
        <f aca="false">COUNTIF(الإجابات!$E$3:$E$152,B14)/'تحليل الفقرات'!$B$2</f>
        <v>0.0533333333333333</v>
      </c>
      <c r="E14" s="15" t="n">
        <f aca="false">COUNTIFS(الإجابات!$E$3:$E$152,B14,التصحيح!$AF$3:$AF$152,"&gt;="&amp;'تحليل الفقرات'!$B$5)</f>
        <v>0</v>
      </c>
      <c r="F14" s="15" t="n">
        <f aca="false">COUNTIFS(الإجابات!$E$3:$E$152,B14,التصحيح!$AF$3:$AF$152,"&lt;="&amp;'تحليل الفقرات'!$B$6)</f>
        <v>8</v>
      </c>
      <c r="G14" s="15" t="n">
        <f aca="false">E14-F14</f>
        <v>-8</v>
      </c>
      <c r="H14" s="15" t="str">
        <f aca="false">IF(C14="نعم",IF(G14&gt;0,"المفتاح يميّز كما يجب","المفتاح لا يميّز: راجِع"),IF(D14&lt;'تحليل الفقرات'!$B$17,"مموّه غير فعّال",IF(G14&gt;0,"مموّه يجذب المتفوقين: راجِعه","مموّه يعمل")))</f>
        <v>مموّه يعمل</v>
      </c>
    </row>
    <row r="15" customFormat="false" ht="17.9" hidden="false" customHeight="false" outlineLevel="0" collapsed="false">
      <c r="A15" s="15" t="s">
        <v>17</v>
      </c>
      <c r="B15" s="15" t="s">
        <v>47</v>
      </c>
      <c r="C15" s="15" t="str">
        <f aca="false">IF(الإجابات!$E$2=B15,"نعم","")</f>
        <v>نعم</v>
      </c>
      <c r="D15" s="18" t="n">
        <f aca="false">COUNTIF(الإجابات!$E$3:$E$152,B15)/'تحليل الفقرات'!$B$2</f>
        <v>0.766666666666667</v>
      </c>
      <c r="E15" s="15" t="n">
        <f aca="false">COUNTIFS(الإجابات!$E$3:$E$152,B15,التصحيح!$AF$3:$AF$152,"&gt;="&amp;'تحليل الفقرات'!$B$5)</f>
        <v>45</v>
      </c>
      <c r="F15" s="15" t="n">
        <f aca="false">COUNTIFS(الإجابات!$E$3:$E$152,B15,التصحيح!$AF$3:$AF$152,"&lt;="&amp;'تحليل الفقرات'!$B$6)</f>
        <v>20</v>
      </c>
      <c r="G15" s="15" t="n">
        <f aca="false">E15-F15</f>
        <v>25</v>
      </c>
      <c r="H15" s="15" t="str">
        <f aca="false">IF(C15="نعم",IF(G15&gt;0,"المفتاح يميّز كما يجب","المفتاح لا يميّز: راجِع"),IF(D15&lt;'تحليل الفقرات'!$B$17,"مموّه غير فعّال",IF(G15&gt;0,"مموّه يجذب المتفوقين: راجِعه","مموّه يعمل")))</f>
        <v>المفتاح يميّز كما يجب</v>
      </c>
    </row>
    <row r="16" customFormat="false" ht="17.9" hidden="false" customHeight="false" outlineLevel="0" collapsed="false">
      <c r="A16" s="15" t="s">
        <v>17</v>
      </c>
      <c r="B16" s="15" t="s">
        <v>46</v>
      </c>
      <c r="C16" s="15" t="str">
        <f aca="false">IF(الإجابات!$E$2=B16,"نعم","")</f>
        <v/>
      </c>
      <c r="D16" s="18" t="n">
        <f aca="false">COUNTIF(الإجابات!$E$3:$E$152,B16)/'تحليل الفقرات'!$B$2</f>
        <v>0.06</v>
      </c>
      <c r="E16" s="15" t="n">
        <f aca="false">COUNTIFS(الإجابات!$E$3:$E$152,B16,التصحيح!$AF$3:$AF$152,"&gt;="&amp;'تحليل الفقرات'!$B$5)</f>
        <v>0</v>
      </c>
      <c r="F16" s="15" t="n">
        <f aca="false">COUNTIFS(الإجابات!$E$3:$E$152,B16,التصحيح!$AF$3:$AF$152,"&lt;="&amp;'تحليل الفقرات'!$B$6)</f>
        <v>6</v>
      </c>
      <c r="G16" s="15" t="n">
        <f aca="false">E16-F16</f>
        <v>-6</v>
      </c>
      <c r="H16" s="15" t="str">
        <f aca="false">IF(C16="نعم",IF(G16&gt;0,"المفتاح يميّز كما يجب","المفتاح لا يميّز: راجِع"),IF(D16&lt;'تحليل الفقرات'!$B$17,"مموّه غير فعّال",IF(G16&gt;0,"مموّه يجذب المتفوقين: راجِعه","مموّه يعمل")))</f>
        <v>مموّه يعمل</v>
      </c>
    </row>
    <row r="17" customFormat="false" ht="17.9" hidden="false" customHeight="false" outlineLevel="0" collapsed="false">
      <c r="A17" s="20" t="s">
        <v>17</v>
      </c>
      <c r="B17" s="20" t="s">
        <v>45</v>
      </c>
      <c r="C17" s="20" t="str">
        <f aca="false">IF(الإجابات!$E$2=B17,"نعم","")</f>
        <v/>
      </c>
      <c r="D17" s="21" t="n">
        <f aca="false">COUNTIF(الإجابات!$E$3:$E$152,B17)/'تحليل الفقرات'!$B$2</f>
        <v>0.12</v>
      </c>
      <c r="E17" s="20" t="n">
        <f aca="false">COUNTIFS(الإجابات!$E$3:$E$152,B17,التصحيح!$AF$3:$AF$152,"&gt;="&amp;'تحليل الفقرات'!$B$5)</f>
        <v>0</v>
      </c>
      <c r="F17" s="20" t="n">
        <f aca="false">COUNTIFS(الإجابات!$E$3:$E$152,B17,التصحيح!$AF$3:$AF$152,"&lt;="&amp;'تحليل الفقرات'!$B$6)</f>
        <v>11</v>
      </c>
      <c r="G17" s="20" t="n">
        <f aca="false">E17-F17</f>
        <v>-11</v>
      </c>
      <c r="H17" s="20" t="str">
        <f aca="false">IF(C17="نعم",IF(G17&gt;0,"المفتاح يميّز كما يجب","المفتاح لا يميّز: راجِع"),IF(D17&lt;'تحليل الفقرات'!$B$17,"مموّه غير فعّال",IF(G17&gt;0,"مموّه يجذب المتفوقين: راجِعه","مموّه يعمل")))</f>
        <v>مموّه يعمل</v>
      </c>
    </row>
    <row r="18" customFormat="false" ht="17.9" hidden="false" customHeight="false" outlineLevel="0" collapsed="false">
      <c r="A18" s="15" t="s">
        <v>18</v>
      </c>
      <c r="B18" s="15" t="s">
        <v>48</v>
      </c>
      <c r="C18" s="15" t="str">
        <f aca="false">IF(الإجابات!$F$2=B18,"نعم","")</f>
        <v/>
      </c>
      <c r="D18" s="18" t="n">
        <f aca="false">COUNTIF(الإجابات!$F$3:$F$152,B18)/'تحليل الفقرات'!$B$2</f>
        <v>0.286666666666667</v>
      </c>
      <c r="E18" s="15" t="n">
        <f aca="false">COUNTIFS(الإجابات!$F$3:$F$152,B18,التصحيح!$AF$3:$AF$152,"&gt;="&amp;'تحليل الفقرات'!$B$5)</f>
        <v>6</v>
      </c>
      <c r="F18" s="15" t="n">
        <f aca="false">COUNTIFS(الإجابات!$F$3:$F$152,B18,التصحيح!$AF$3:$AF$152,"&lt;="&amp;'تحليل الفقرات'!$B$6)</f>
        <v>20</v>
      </c>
      <c r="G18" s="15" t="n">
        <f aca="false">E18-F18</f>
        <v>-14</v>
      </c>
      <c r="H18" s="15" t="str">
        <f aca="false">IF(C18="نعم",IF(G18&gt;0,"المفتاح يميّز كما يجب","المفتاح لا يميّز: راجِع"),IF(D18&lt;'تحليل الفقرات'!$B$17,"مموّه غير فعّال",IF(G18&gt;0,"مموّه يجذب المتفوقين: راجِعه","مموّه يعمل")))</f>
        <v>مموّه يعمل</v>
      </c>
    </row>
    <row r="19" customFormat="false" ht="17.9" hidden="false" customHeight="false" outlineLevel="0" collapsed="false">
      <c r="A19" s="15" t="s">
        <v>18</v>
      </c>
      <c r="B19" s="15" t="s">
        <v>47</v>
      </c>
      <c r="C19" s="15" t="str">
        <f aca="false">IF(الإجابات!$F$2=B19,"نعم","")</f>
        <v>نعم</v>
      </c>
      <c r="D19" s="18" t="n">
        <f aca="false">COUNTIF(الإجابات!$F$3:$F$152,B19)/'تحليل الفقرات'!$B$2</f>
        <v>0.426666666666667</v>
      </c>
      <c r="E19" s="15" t="n">
        <f aca="false">COUNTIFS(الإجابات!$F$3:$F$152,B19,التصحيح!$AF$3:$AF$152,"&gt;="&amp;'تحليل الفقرات'!$B$5)</f>
        <v>32</v>
      </c>
      <c r="F19" s="15" t="n">
        <f aca="false">COUNTIFS(الإجابات!$F$3:$F$152,B19,التصحيح!$AF$3:$AF$152,"&lt;="&amp;'تحليل الفقرات'!$B$6)</f>
        <v>6</v>
      </c>
      <c r="G19" s="15" t="n">
        <f aca="false">E19-F19</f>
        <v>26</v>
      </c>
      <c r="H19" s="15" t="str">
        <f aca="false">IF(C19="نعم",IF(G19&gt;0,"المفتاح يميّز كما يجب","المفتاح لا يميّز: راجِع"),IF(D19&lt;'تحليل الفقرات'!$B$17,"مموّه غير فعّال",IF(G19&gt;0,"مموّه يجذب المتفوقين: راجِعه","مموّه يعمل")))</f>
        <v>المفتاح يميّز كما يجب</v>
      </c>
    </row>
    <row r="20" customFormat="false" ht="17.9" hidden="false" customHeight="false" outlineLevel="0" collapsed="false">
      <c r="A20" s="15" t="s">
        <v>18</v>
      </c>
      <c r="B20" s="15" t="s">
        <v>46</v>
      </c>
      <c r="C20" s="15" t="str">
        <f aca="false">IF(الإجابات!$F$2=B20,"نعم","")</f>
        <v/>
      </c>
      <c r="D20" s="18" t="n">
        <f aca="false">COUNTIF(الإجابات!$F$3:$F$152,B20)/'تحليل الفقرات'!$B$2</f>
        <v>0.173333333333333</v>
      </c>
      <c r="E20" s="15" t="n">
        <f aca="false">COUNTIFS(الإجابات!$F$3:$F$152,B20,التصحيح!$AF$3:$AF$152,"&gt;="&amp;'تحليل الفقرات'!$B$5)</f>
        <v>4</v>
      </c>
      <c r="F20" s="15" t="n">
        <f aca="false">COUNTIFS(الإجابات!$F$3:$F$152,B20,التصحيح!$AF$3:$AF$152,"&lt;="&amp;'تحليل الفقرات'!$B$6)</f>
        <v>13</v>
      </c>
      <c r="G20" s="15" t="n">
        <f aca="false">E20-F20</f>
        <v>-9</v>
      </c>
      <c r="H20" s="15" t="str">
        <f aca="false">IF(C20="نعم",IF(G20&gt;0,"المفتاح يميّز كما يجب","المفتاح لا يميّز: راجِع"),IF(D20&lt;'تحليل الفقرات'!$B$17,"مموّه غير فعّال",IF(G20&gt;0,"مموّه يجذب المتفوقين: راجِعه","مموّه يعمل")))</f>
        <v>مموّه يعمل</v>
      </c>
    </row>
    <row r="21" customFormat="false" ht="17.9" hidden="false" customHeight="false" outlineLevel="0" collapsed="false">
      <c r="A21" s="20" t="s">
        <v>18</v>
      </c>
      <c r="B21" s="20" t="s">
        <v>45</v>
      </c>
      <c r="C21" s="20" t="str">
        <f aca="false">IF(الإجابات!$F$2=B21,"نعم","")</f>
        <v/>
      </c>
      <c r="D21" s="21" t="n">
        <f aca="false">COUNTIF(الإجابات!$F$3:$F$152,B21)/'تحليل الفقرات'!$B$2</f>
        <v>0.113333333333333</v>
      </c>
      <c r="E21" s="20" t="n">
        <f aca="false">COUNTIFS(الإجابات!$F$3:$F$152,B21,التصحيح!$AF$3:$AF$152,"&gt;="&amp;'تحليل الفقرات'!$B$5)</f>
        <v>3</v>
      </c>
      <c r="F21" s="20" t="n">
        <f aca="false">COUNTIFS(الإجابات!$F$3:$F$152,B21,التصحيح!$AF$3:$AF$152,"&lt;="&amp;'تحليل الفقرات'!$B$6)</f>
        <v>6</v>
      </c>
      <c r="G21" s="20" t="n">
        <f aca="false">E21-F21</f>
        <v>-3</v>
      </c>
      <c r="H21" s="20" t="str">
        <f aca="false">IF(C21="نعم",IF(G21&gt;0,"المفتاح يميّز كما يجب","المفتاح لا يميّز: راجِع"),IF(D21&lt;'تحليل الفقرات'!$B$17,"مموّه غير فعّال",IF(G21&gt;0,"مموّه يجذب المتفوقين: راجِعه","مموّه يعمل")))</f>
        <v>مموّه يعمل</v>
      </c>
    </row>
    <row r="22" customFormat="false" ht="17.9" hidden="false" customHeight="false" outlineLevel="0" collapsed="false">
      <c r="A22" s="15" t="s">
        <v>19</v>
      </c>
      <c r="B22" s="15" t="s">
        <v>48</v>
      </c>
      <c r="C22" s="15" t="str">
        <f aca="false">IF(الإجابات!$G$2=B22,"نعم","")</f>
        <v/>
      </c>
      <c r="D22" s="18" t="n">
        <f aca="false">COUNTIF(الإجابات!$G$3:$G$152,B22)/'تحليل الفقرات'!$B$2</f>
        <v>0.226666666666667</v>
      </c>
      <c r="E22" s="15" t="n">
        <f aca="false">COUNTIFS(الإجابات!$G$3:$G$152,B22,التصحيح!$AF$3:$AF$152,"&gt;="&amp;'تحليل الفقرات'!$B$5)</f>
        <v>4</v>
      </c>
      <c r="F22" s="15" t="n">
        <f aca="false">COUNTIFS(الإجابات!$G$3:$G$152,B22,التصحيح!$AF$3:$AF$152,"&lt;="&amp;'تحليل الفقرات'!$B$6)</f>
        <v>14</v>
      </c>
      <c r="G22" s="15" t="n">
        <f aca="false">E22-F22</f>
        <v>-10</v>
      </c>
      <c r="H22" s="15" t="str">
        <f aca="false">IF(C22="نعم",IF(G22&gt;0,"المفتاح يميّز كما يجب","المفتاح لا يميّز: راجِع"),IF(D22&lt;'تحليل الفقرات'!$B$17,"مموّه غير فعّال",IF(G22&gt;0,"مموّه يجذب المتفوقين: راجِعه","مموّه يعمل")))</f>
        <v>مموّه يعمل</v>
      </c>
    </row>
    <row r="23" customFormat="false" ht="17.9" hidden="false" customHeight="false" outlineLevel="0" collapsed="false">
      <c r="A23" s="15" t="s">
        <v>19</v>
      </c>
      <c r="B23" s="15" t="s">
        <v>47</v>
      </c>
      <c r="C23" s="15" t="str">
        <f aca="false">IF(الإجابات!$G$2=B23,"نعم","")</f>
        <v>نعم</v>
      </c>
      <c r="D23" s="18" t="n">
        <f aca="false">COUNTIF(الإجابات!$G$3:$G$152,B23)/'تحليل الفقرات'!$B$2</f>
        <v>0.473333333333333</v>
      </c>
      <c r="E23" s="15" t="n">
        <f aca="false">COUNTIFS(الإجابات!$G$3:$G$152,B23,التصحيح!$AF$3:$AF$152,"&gt;="&amp;'تحليل الفقرات'!$B$5)</f>
        <v>37</v>
      </c>
      <c r="F23" s="15" t="n">
        <f aca="false">COUNTIFS(الإجابات!$G$3:$G$152,B23,التصحيح!$AF$3:$AF$152,"&lt;="&amp;'تحليل الفقرات'!$B$6)</f>
        <v>10</v>
      </c>
      <c r="G23" s="15" t="n">
        <f aca="false">E23-F23</f>
        <v>27</v>
      </c>
      <c r="H23" s="15" t="str">
        <f aca="false">IF(C23="نعم",IF(G23&gt;0,"المفتاح يميّز كما يجب","المفتاح لا يميّز: راجِع"),IF(D23&lt;'تحليل الفقرات'!$B$17,"مموّه غير فعّال",IF(G23&gt;0,"مموّه يجذب المتفوقين: راجِعه","مموّه يعمل")))</f>
        <v>المفتاح يميّز كما يجب</v>
      </c>
    </row>
    <row r="24" customFormat="false" ht="17.9" hidden="false" customHeight="false" outlineLevel="0" collapsed="false">
      <c r="A24" s="15" t="s">
        <v>19</v>
      </c>
      <c r="B24" s="15" t="s">
        <v>46</v>
      </c>
      <c r="C24" s="15" t="str">
        <f aca="false">IF(الإجابات!$G$2=B24,"نعم","")</f>
        <v/>
      </c>
      <c r="D24" s="18" t="n">
        <f aca="false">COUNTIF(الإجابات!$G$3:$G$152,B24)/'تحليل الفقرات'!$B$2</f>
        <v>0.126666666666667</v>
      </c>
      <c r="E24" s="15" t="n">
        <f aca="false">COUNTIFS(الإجابات!$G$3:$G$152,B24,التصحيح!$AF$3:$AF$152,"&gt;="&amp;'تحليل الفقرات'!$B$5)</f>
        <v>1</v>
      </c>
      <c r="F24" s="15" t="n">
        <f aca="false">COUNTIFS(الإجابات!$G$3:$G$152,B24,التصحيح!$AF$3:$AF$152,"&lt;="&amp;'تحليل الفقرات'!$B$6)</f>
        <v>13</v>
      </c>
      <c r="G24" s="15" t="n">
        <f aca="false">E24-F24</f>
        <v>-12</v>
      </c>
      <c r="H24" s="15" t="str">
        <f aca="false">IF(C24="نعم",IF(G24&gt;0,"المفتاح يميّز كما يجب","المفتاح لا يميّز: راجِع"),IF(D24&lt;'تحليل الفقرات'!$B$17,"مموّه غير فعّال",IF(G24&gt;0,"مموّه يجذب المتفوقين: راجِعه","مموّه يعمل")))</f>
        <v>مموّه يعمل</v>
      </c>
    </row>
    <row r="25" customFormat="false" ht="17.9" hidden="false" customHeight="false" outlineLevel="0" collapsed="false">
      <c r="A25" s="20" t="s">
        <v>19</v>
      </c>
      <c r="B25" s="20" t="s">
        <v>45</v>
      </c>
      <c r="C25" s="20" t="str">
        <f aca="false">IF(الإجابات!$G$2=B25,"نعم","")</f>
        <v/>
      </c>
      <c r="D25" s="21" t="n">
        <f aca="false">COUNTIF(الإجابات!$G$3:$G$152,B25)/'تحليل الفقرات'!$B$2</f>
        <v>0.173333333333333</v>
      </c>
      <c r="E25" s="20" t="n">
        <f aca="false">COUNTIFS(الإجابات!$G$3:$G$152,B25,التصحيح!$AF$3:$AF$152,"&gt;="&amp;'تحليل الفقرات'!$B$5)</f>
        <v>3</v>
      </c>
      <c r="F25" s="20" t="n">
        <f aca="false">COUNTIFS(الإجابات!$G$3:$G$152,B25,التصحيح!$AF$3:$AF$152,"&lt;="&amp;'تحليل الفقرات'!$B$6)</f>
        <v>8</v>
      </c>
      <c r="G25" s="20" t="n">
        <f aca="false">E25-F25</f>
        <v>-5</v>
      </c>
      <c r="H25" s="20" t="str">
        <f aca="false">IF(C25="نعم",IF(G25&gt;0,"المفتاح يميّز كما يجب","المفتاح لا يميّز: راجِع"),IF(D25&lt;'تحليل الفقرات'!$B$17,"مموّه غير فعّال",IF(G25&gt;0,"مموّه يجذب المتفوقين: راجِعه","مموّه يعمل")))</f>
        <v>مموّه يعمل</v>
      </c>
    </row>
    <row r="26" customFormat="false" ht="17.9" hidden="false" customHeight="false" outlineLevel="0" collapsed="false">
      <c r="A26" s="15" t="s">
        <v>20</v>
      </c>
      <c r="B26" s="15" t="s">
        <v>48</v>
      </c>
      <c r="C26" s="15" t="str">
        <f aca="false">IF(الإجابات!$H$2=B26,"نعم","")</f>
        <v/>
      </c>
      <c r="D26" s="18" t="n">
        <f aca="false">COUNTIF(الإجابات!$H$3:$H$152,B26)/'تحليل الفقرات'!$B$2</f>
        <v>0.0333333333333333</v>
      </c>
      <c r="E26" s="15" t="n">
        <f aca="false">COUNTIFS(الإجابات!$H$3:$H$152,B26,التصحيح!$AF$3:$AF$152,"&gt;="&amp;'تحليل الفقرات'!$B$5)</f>
        <v>0</v>
      </c>
      <c r="F26" s="15" t="n">
        <f aca="false">COUNTIFS(الإجابات!$H$3:$H$152,B26,التصحيح!$AF$3:$AF$152,"&lt;="&amp;'تحليل الفقرات'!$B$6)</f>
        <v>3</v>
      </c>
      <c r="G26" s="15" t="n">
        <f aca="false">E26-F26</f>
        <v>-3</v>
      </c>
      <c r="H26" s="15" t="str">
        <f aca="false">IF(C26="نعم",IF(G26&gt;0,"المفتاح يميّز كما يجب","المفتاح لا يميّز: راجِع"),IF(D26&lt;'تحليل الفقرات'!$B$17,"مموّه غير فعّال",IF(G26&gt;0,"مموّه يجذب المتفوقين: راجِعه","مموّه يعمل")))</f>
        <v>مموّه غير فعّال</v>
      </c>
    </row>
    <row r="27" customFormat="false" ht="17.9" hidden="false" customHeight="false" outlineLevel="0" collapsed="false">
      <c r="A27" s="15" t="s">
        <v>20</v>
      </c>
      <c r="B27" s="15" t="s">
        <v>47</v>
      </c>
      <c r="C27" s="15" t="str">
        <f aca="false">IF(الإجابات!$H$2=B27,"نعم","")</f>
        <v>نعم</v>
      </c>
      <c r="D27" s="18" t="n">
        <f aca="false">COUNTIF(الإجابات!$H$3:$H$152,B27)/'تحليل الفقرات'!$B$2</f>
        <v>0.253333333333333</v>
      </c>
      <c r="E27" s="15" t="n">
        <f aca="false">COUNTIFS(الإجابات!$H$3:$H$152,B27,التصحيح!$AF$3:$AF$152,"&gt;="&amp;'تحليل الفقرات'!$B$5)</f>
        <v>2</v>
      </c>
      <c r="F27" s="15" t="n">
        <f aca="false">COUNTIFS(الإجابات!$H$3:$H$152,B27,التصحيح!$AF$3:$AF$152,"&lt;="&amp;'تحليل الفقرات'!$B$6)</f>
        <v>20</v>
      </c>
      <c r="G27" s="15" t="n">
        <f aca="false">E27-F27</f>
        <v>-18</v>
      </c>
      <c r="H27" s="15" t="str">
        <f aca="false">IF(C27="نعم",IF(G27&gt;0,"المفتاح يميّز كما يجب","المفتاح لا يميّز: راجِع"),IF(D27&lt;'تحليل الفقرات'!$B$17,"مموّه غير فعّال",IF(G27&gt;0,"مموّه يجذب المتفوقين: راجِعه","مموّه يعمل")))</f>
        <v>المفتاح لا يميّز: راجِع</v>
      </c>
    </row>
    <row r="28" customFormat="false" ht="17.9" hidden="false" customHeight="false" outlineLevel="0" collapsed="false">
      <c r="A28" s="15" t="s">
        <v>20</v>
      </c>
      <c r="B28" s="15" t="s">
        <v>46</v>
      </c>
      <c r="C28" s="15" t="str">
        <f aca="false">IF(الإجابات!$H$2=B28,"نعم","")</f>
        <v/>
      </c>
      <c r="D28" s="18" t="n">
        <f aca="false">COUNTIF(الإجابات!$H$3:$H$152,B28)/'تحليل الفقرات'!$B$2</f>
        <v>0.68</v>
      </c>
      <c r="E28" s="15" t="n">
        <f aca="false">COUNTIFS(الإجابات!$H$3:$H$152,B28,التصحيح!$AF$3:$AF$152,"&gt;="&amp;'تحليل الفقرات'!$B$5)</f>
        <v>43</v>
      </c>
      <c r="F28" s="15" t="n">
        <f aca="false">COUNTIFS(الإجابات!$H$3:$H$152,B28,التصحيح!$AF$3:$AF$152,"&lt;="&amp;'تحليل الفقرات'!$B$6)</f>
        <v>17</v>
      </c>
      <c r="G28" s="15" t="n">
        <f aca="false">E28-F28</f>
        <v>26</v>
      </c>
      <c r="H28" s="15" t="str">
        <f aca="false">IF(C28="نعم",IF(G28&gt;0,"المفتاح يميّز كما يجب","المفتاح لا يميّز: راجِع"),IF(D28&lt;'تحليل الفقرات'!$B$17,"مموّه غير فعّال",IF(G28&gt;0,"مموّه يجذب المتفوقين: راجِعه","مموّه يعمل")))</f>
        <v>مموّه يجذب المتفوقين: راجِعه</v>
      </c>
    </row>
    <row r="29" customFormat="false" ht="17.9" hidden="false" customHeight="false" outlineLevel="0" collapsed="false">
      <c r="A29" s="20" t="s">
        <v>20</v>
      </c>
      <c r="B29" s="20" t="s">
        <v>45</v>
      </c>
      <c r="C29" s="20" t="str">
        <f aca="false">IF(الإجابات!$H$2=B29,"نعم","")</f>
        <v/>
      </c>
      <c r="D29" s="21" t="n">
        <f aca="false">COUNTIF(الإجابات!$H$3:$H$152,B29)/'تحليل الفقرات'!$B$2</f>
        <v>0.0333333333333333</v>
      </c>
      <c r="E29" s="20" t="n">
        <f aca="false">COUNTIFS(الإجابات!$H$3:$H$152,B29,التصحيح!$AF$3:$AF$152,"&gt;="&amp;'تحليل الفقرات'!$B$5)</f>
        <v>0</v>
      </c>
      <c r="F29" s="20" t="n">
        <f aca="false">COUNTIFS(الإجابات!$H$3:$H$152,B29,التصحيح!$AF$3:$AF$152,"&lt;="&amp;'تحليل الفقرات'!$B$6)</f>
        <v>5</v>
      </c>
      <c r="G29" s="20" t="n">
        <f aca="false">E29-F29</f>
        <v>-5</v>
      </c>
      <c r="H29" s="20" t="str">
        <f aca="false">IF(C29="نعم",IF(G29&gt;0,"المفتاح يميّز كما يجب","المفتاح لا يميّز: راجِع"),IF(D29&lt;'تحليل الفقرات'!$B$17,"مموّه غير فعّال",IF(G29&gt;0,"مموّه يجذب المتفوقين: راجِعه","مموّه يعمل")))</f>
        <v>مموّه غير فعّال</v>
      </c>
    </row>
    <row r="30" customFormat="false" ht="17.9" hidden="false" customHeight="false" outlineLevel="0" collapsed="false">
      <c r="A30" s="15" t="s">
        <v>21</v>
      </c>
      <c r="B30" s="15" t="s">
        <v>48</v>
      </c>
      <c r="C30" s="15" t="str">
        <f aca="false">IF(الإجابات!$I$2=B30,"نعم","")</f>
        <v/>
      </c>
      <c r="D30" s="18" t="n">
        <f aca="false">COUNTIF(الإجابات!$I$3:$I$152,B30)/'تحليل الفقرات'!$B$2</f>
        <v>0.133333333333333</v>
      </c>
      <c r="E30" s="15" t="n">
        <f aca="false">COUNTIFS(الإجابات!$I$3:$I$152,B30,التصحيح!$AF$3:$AF$152,"&gt;="&amp;'تحليل الفقرات'!$B$5)</f>
        <v>0</v>
      </c>
      <c r="F30" s="15" t="n">
        <f aca="false">COUNTIFS(الإجابات!$I$3:$I$152,B30,التصحيح!$AF$3:$AF$152,"&lt;="&amp;'تحليل الفقرات'!$B$6)</f>
        <v>14</v>
      </c>
      <c r="G30" s="15" t="n">
        <f aca="false">E30-F30</f>
        <v>-14</v>
      </c>
      <c r="H30" s="15" t="str">
        <f aca="false">IF(C30="نعم",IF(G30&gt;0,"المفتاح يميّز كما يجب","المفتاح لا يميّز: راجِع"),IF(D30&lt;'تحليل الفقرات'!$B$17,"مموّه غير فعّال",IF(G30&gt;0,"مموّه يجذب المتفوقين: راجِعه","مموّه يعمل")))</f>
        <v>مموّه يعمل</v>
      </c>
    </row>
    <row r="31" customFormat="false" ht="17.9" hidden="false" customHeight="false" outlineLevel="0" collapsed="false">
      <c r="A31" s="15" t="s">
        <v>21</v>
      </c>
      <c r="B31" s="15" t="s">
        <v>47</v>
      </c>
      <c r="C31" s="15" t="str">
        <f aca="false">IF(الإجابات!$I$2=B31,"نعم","")</f>
        <v/>
      </c>
      <c r="D31" s="18" t="n">
        <f aca="false">COUNTIF(الإجابات!$I$3:$I$152,B31)/'تحليل الفقرات'!$B$2</f>
        <v>0.1</v>
      </c>
      <c r="E31" s="15" t="n">
        <f aca="false">COUNTIFS(الإجابات!$I$3:$I$152,B31,التصحيح!$AF$3:$AF$152,"&gt;="&amp;'تحليل الفقرات'!$B$5)</f>
        <v>1</v>
      </c>
      <c r="F31" s="15" t="n">
        <f aca="false">COUNTIFS(الإجابات!$I$3:$I$152,B31,التصحيح!$AF$3:$AF$152,"&lt;="&amp;'تحليل الفقرات'!$B$6)</f>
        <v>7</v>
      </c>
      <c r="G31" s="15" t="n">
        <f aca="false">E31-F31</f>
        <v>-6</v>
      </c>
      <c r="H31" s="15" t="str">
        <f aca="false">IF(C31="نعم",IF(G31&gt;0,"المفتاح يميّز كما يجب","المفتاح لا يميّز: راجِع"),IF(D31&lt;'تحليل الفقرات'!$B$17,"مموّه غير فعّال",IF(G31&gt;0,"مموّه يجذب المتفوقين: راجِعه","مموّه يعمل")))</f>
        <v>مموّه يعمل</v>
      </c>
    </row>
    <row r="32" customFormat="false" ht="17.9" hidden="false" customHeight="false" outlineLevel="0" collapsed="false">
      <c r="A32" s="15" t="s">
        <v>21</v>
      </c>
      <c r="B32" s="15" t="s">
        <v>46</v>
      </c>
      <c r="C32" s="15" t="str">
        <f aca="false">IF(الإجابات!$I$2=B32,"نعم","")</f>
        <v>نعم</v>
      </c>
      <c r="D32" s="18" t="n">
        <f aca="false">COUNTIF(الإجابات!$I$3:$I$152,B32)/'تحليل الفقرات'!$B$2</f>
        <v>0.66</v>
      </c>
      <c r="E32" s="15" t="n">
        <f aca="false">COUNTIFS(الإجابات!$I$3:$I$152,B32,التصحيح!$AF$3:$AF$152,"&gt;="&amp;'تحليل الفقرات'!$B$5)</f>
        <v>44</v>
      </c>
      <c r="F32" s="15" t="n">
        <f aca="false">COUNTIFS(الإجابات!$I$3:$I$152,B32,التصحيح!$AF$3:$AF$152,"&lt;="&amp;'تحليل الفقرات'!$B$6)</f>
        <v>12</v>
      </c>
      <c r="G32" s="15" t="n">
        <f aca="false">E32-F32</f>
        <v>32</v>
      </c>
      <c r="H32" s="15" t="str">
        <f aca="false">IF(C32="نعم",IF(G32&gt;0,"المفتاح يميّز كما يجب","المفتاح لا يميّز: راجِع"),IF(D32&lt;'تحليل الفقرات'!$B$17,"مموّه غير فعّال",IF(G32&gt;0,"مموّه يجذب المتفوقين: راجِعه","مموّه يعمل")))</f>
        <v>المفتاح يميّز كما يجب</v>
      </c>
    </row>
    <row r="33" customFormat="false" ht="17.9" hidden="false" customHeight="false" outlineLevel="0" collapsed="false">
      <c r="A33" s="20" t="s">
        <v>21</v>
      </c>
      <c r="B33" s="20" t="s">
        <v>45</v>
      </c>
      <c r="C33" s="20" t="str">
        <f aca="false">IF(الإجابات!$I$2=B33,"نعم","")</f>
        <v/>
      </c>
      <c r="D33" s="21" t="n">
        <f aca="false">COUNTIF(الإجابات!$I$3:$I$152,B33)/'تحليل الفقرات'!$B$2</f>
        <v>0.106666666666667</v>
      </c>
      <c r="E33" s="20" t="n">
        <f aca="false">COUNTIFS(الإجابات!$I$3:$I$152,B33,التصحيح!$AF$3:$AF$152,"&gt;="&amp;'تحليل الفقرات'!$B$5)</f>
        <v>0</v>
      </c>
      <c r="F33" s="20" t="n">
        <f aca="false">COUNTIFS(الإجابات!$I$3:$I$152,B33,التصحيح!$AF$3:$AF$152,"&lt;="&amp;'تحليل الفقرات'!$B$6)</f>
        <v>12</v>
      </c>
      <c r="G33" s="20" t="n">
        <f aca="false">E33-F33</f>
        <v>-12</v>
      </c>
      <c r="H33" s="20" t="str">
        <f aca="false">IF(C33="نعم",IF(G33&gt;0,"المفتاح يميّز كما يجب","المفتاح لا يميّز: راجِع"),IF(D33&lt;'تحليل الفقرات'!$B$17,"مموّه غير فعّال",IF(G33&gt;0,"مموّه يجذب المتفوقين: راجِعه","مموّه يعمل")))</f>
        <v>مموّه يعمل</v>
      </c>
    </row>
    <row r="34" customFormat="false" ht="17.9" hidden="false" customHeight="false" outlineLevel="0" collapsed="false">
      <c r="A34" s="15" t="s">
        <v>22</v>
      </c>
      <c r="B34" s="15" t="s">
        <v>48</v>
      </c>
      <c r="C34" s="15" t="str">
        <f aca="false">IF(الإجابات!$J$2=B34,"نعم","")</f>
        <v>نعم</v>
      </c>
      <c r="D34" s="18" t="n">
        <f aca="false">COUNTIF(الإجابات!$J$3:$J$152,B34)/'تحليل الفقرات'!$B$2</f>
        <v>0.906666666666667</v>
      </c>
      <c r="E34" s="15" t="n">
        <f aca="false">COUNTIFS(الإجابات!$J$3:$J$152,B34,التصحيح!$AF$3:$AF$152,"&gt;="&amp;'تحليل الفقرات'!$B$5)</f>
        <v>45</v>
      </c>
      <c r="F34" s="15" t="n">
        <f aca="false">COUNTIFS(الإجابات!$J$3:$J$152,B34,التصحيح!$AF$3:$AF$152,"&lt;="&amp;'تحليل الفقرات'!$B$6)</f>
        <v>34</v>
      </c>
      <c r="G34" s="15" t="n">
        <f aca="false">E34-F34</f>
        <v>11</v>
      </c>
      <c r="H34" s="15" t="str">
        <f aca="false">IF(C34="نعم",IF(G34&gt;0,"المفتاح يميّز كما يجب","المفتاح لا يميّز: راجِع"),IF(D34&lt;'تحليل الفقرات'!$B$17,"مموّه غير فعّال",IF(G34&gt;0,"مموّه يجذب المتفوقين: راجِعه","مموّه يعمل")))</f>
        <v>المفتاح يميّز كما يجب</v>
      </c>
    </row>
    <row r="35" customFormat="false" ht="17.9" hidden="false" customHeight="false" outlineLevel="0" collapsed="false">
      <c r="A35" s="15" t="s">
        <v>22</v>
      </c>
      <c r="B35" s="15" t="s">
        <v>47</v>
      </c>
      <c r="C35" s="15" t="str">
        <f aca="false">IF(الإجابات!$J$2=B35,"نعم","")</f>
        <v/>
      </c>
      <c r="D35" s="18" t="n">
        <f aca="false">COUNTIF(الإجابات!$J$3:$J$152,B35)/'تحليل الفقرات'!$B$2</f>
        <v>0.04</v>
      </c>
      <c r="E35" s="15" t="n">
        <f aca="false">COUNTIFS(الإجابات!$J$3:$J$152,B35,التصحيح!$AF$3:$AF$152,"&gt;="&amp;'تحليل الفقرات'!$B$5)</f>
        <v>0</v>
      </c>
      <c r="F35" s="15" t="n">
        <f aca="false">COUNTIFS(الإجابات!$J$3:$J$152,B35,التصحيح!$AF$3:$AF$152,"&lt;="&amp;'تحليل الفقرات'!$B$6)</f>
        <v>5</v>
      </c>
      <c r="G35" s="15" t="n">
        <f aca="false">E35-F35</f>
        <v>-5</v>
      </c>
      <c r="H35" s="15" t="str">
        <f aca="false">IF(C35="نعم",IF(G35&gt;0,"المفتاح يميّز كما يجب","المفتاح لا يميّز: راجِع"),IF(D35&lt;'تحليل الفقرات'!$B$17,"مموّه غير فعّال",IF(G35&gt;0,"مموّه يجذب المتفوقين: راجِعه","مموّه يعمل")))</f>
        <v>مموّه غير فعّال</v>
      </c>
    </row>
    <row r="36" customFormat="false" ht="17.9" hidden="false" customHeight="false" outlineLevel="0" collapsed="false">
      <c r="A36" s="15" t="s">
        <v>22</v>
      </c>
      <c r="B36" s="15" t="s">
        <v>46</v>
      </c>
      <c r="C36" s="15" t="str">
        <f aca="false">IF(الإجابات!$J$2=B36,"نعم","")</f>
        <v/>
      </c>
      <c r="D36" s="18" t="n">
        <f aca="false">COUNTIF(الإجابات!$J$3:$J$152,B36)/'تحليل الفقرات'!$B$2</f>
        <v>0.0333333333333333</v>
      </c>
      <c r="E36" s="15" t="n">
        <f aca="false">COUNTIFS(الإجابات!$J$3:$J$152,B36,التصحيح!$AF$3:$AF$152,"&gt;="&amp;'تحليل الفقرات'!$B$5)</f>
        <v>0</v>
      </c>
      <c r="F36" s="15" t="n">
        <f aca="false">COUNTIFS(الإجابات!$J$3:$J$152,B36,التصحيح!$AF$3:$AF$152,"&lt;="&amp;'تحليل الفقرات'!$B$6)</f>
        <v>4</v>
      </c>
      <c r="G36" s="15" t="n">
        <f aca="false">E36-F36</f>
        <v>-4</v>
      </c>
      <c r="H36" s="15" t="str">
        <f aca="false">IF(C36="نعم",IF(G36&gt;0,"المفتاح يميّز كما يجب","المفتاح لا يميّز: راجِع"),IF(D36&lt;'تحليل الفقرات'!$B$17,"مموّه غير فعّال",IF(G36&gt;0,"مموّه يجذب المتفوقين: راجِعه","مموّه يعمل")))</f>
        <v>مموّه غير فعّال</v>
      </c>
    </row>
    <row r="37" customFormat="false" ht="17.9" hidden="false" customHeight="false" outlineLevel="0" collapsed="false">
      <c r="A37" s="20" t="s">
        <v>22</v>
      </c>
      <c r="B37" s="20" t="s">
        <v>45</v>
      </c>
      <c r="C37" s="20" t="str">
        <f aca="false">IF(الإجابات!$J$2=B37,"نعم","")</f>
        <v/>
      </c>
      <c r="D37" s="21" t="n">
        <f aca="false">COUNTIF(الإجابات!$J$3:$J$152,B37)/'تحليل الفقرات'!$B$2</f>
        <v>0.02</v>
      </c>
      <c r="E37" s="20" t="n">
        <f aca="false">COUNTIFS(الإجابات!$J$3:$J$152,B37,التصحيح!$AF$3:$AF$152,"&gt;="&amp;'تحليل الفقرات'!$B$5)</f>
        <v>0</v>
      </c>
      <c r="F37" s="20" t="n">
        <f aca="false">COUNTIFS(الإجابات!$J$3:$J$152,B37,التصحيح!$AF$3:$AF$152,"&lt;="&amp;'تحليل الفقرات'!$B$6)</f>
        <v>2</v>
      </c>
      <c r="G37" s="20" t="n">
        <f aca="false">E37-F37</f>
        <v>-2</v>
      </c>
      <c r="H37" s="20" t="str">
        <f aca="false">IF(C37="نعم",IF(G37&gt;0,"المفتاح يميّز كما يجب","المفتاح لا يميّز: راجِع"),IF(D37&lt;'تحليل الفقرات'!$B$17,"مموّه غير فعّال",IF(G37&gt;0,"مموّه يجذب المتفوقين: راجِعه","مموّه يعمل")))</f>
        <v>مموّه غير فعّال</v>
      </c>
    </row>
    <row r="38" customFormat="false" ht="17.9" hidden="false" customHeight="false" outlineLevel="0" collapsed="false">
      <c r="A38" s="15" t="s">
        <v>23</v>
      </c>
      <c r="B38" s="15" t="s">
        <v>48</v>
      </c>
      <c r="C38" s="15" t="str">
        <f aca="false">IF(الإجابات!$K$2=B38,"نعم","")</f>
        <v/>
      </c>
      <c r="D38" s="18" t="n">
        <f aca="false">COUNTIF(الإجابات!$K$3:$K$152,B38)/'تحليل الفقرات'!$B$2</f>
        <v>0.186666666666667</v>
      </c>
      <c r="E38" s="15" t="n">
        <f aca="false">COUNTIFS(الإجابات!$K$3:$K$152,B38,التصحيح!$AF$3:$AF$152,"&gt;="&amp;'تحليل الفقرات'!$B$5)</f>
        <v>1</v>
      </c>
      <c r="F38" s="15" t="n">
        <f aca="false">COUNTIFS(الإجابات!$K$3:$K$152,B38,التصحيح!$AF$3:$AF$152,"&lt;="&amp;'تحليل الفقرات'!$B$6)</f>
        <v>15</v>
      </c>
      <c r="G38" s="15" t="n">
        <f aca="false">E38-F38</f>
        <v>-14</v>
      </c>
      <c r="H38" s="15" t="str">
        <f aca="false">IF(C38="نعم",IF(G38&gt;0,"المفتاح يميّز كما يجب","المفتاح لا يميّز: راجِع"),IF(D38&lt;'تحليل الفقرات'!$B$17,"مموّه غير فعّال",IF(G38&gt;0,"مموّه يجذب المتفوقين: راجِعه","مموّه يعمل")))</f>
        <v>مموّه يعمل</v>
      </c>
    </row>
    <row r="39" customFormat="false" ht="17.9" hidden="false" customHeight="false" outlineLevel="0" collapsed="false">
      <c r="A39" s="15" t="s">
        <v>23</v>
      </c>
      <c r="B39" s="15" t="s">
        <v>47</v>
      </c>
      <c r="C39" s="15" t="str">
        <f aca="false">IF(الإجابات!$K$2=B39,"نعم","")</f>
        <v/>
      </c>
      <c r="D39" s="18" t="n">
        <f aca="false">COUNTIF(الإجابات!$K$3:$K$152,B39)/'تحليل الفقرات'!$B$2</f>
        <v>0.2</v>
      </c>
      <c r="E39" s="15" t="n">
        <f aca="false">COUNTIFS(الإجابات!$K$3:$K$152,B39,التصحيح!$AF$3:$AF$152,"&gt;="&amp;'تحليل الفقرات'!$B$5)</f>
        <v>2</v>
      </c>
      <c r="F39" s="15" t="n">
        <f aca="false">COUNTIFS(الإجابات!$K$3:$K$152,B39,التصحيح!$AF$3:$AF$152,"&lt;="&amp;'تحليل الفقرات'!$B$6)</f>
        <v>12</v>
      </c>
      <c r="G39" s="15" t="n">
        <f aca="false">E39-F39</f>
        <v>-10</v>
      </c>
      <c r="H39" s="15" t="str">
        <f aca="false">IF(C39="نعم",IF(G39&gt;0,"المفتاح يميّز كما يجب","المفتاح لا يميّز: راجِع"),IF(D39&lt;'تحليل الفقرات'!$B$17,"مموّه غير فعّال",IF(G39&gt;0,"مموّه يجذب المتفوقين: راجِعه","مموّه يعمل")))</f>
        <v>مموّه يعمل</v>
      </c>
    </row>
    <row r="40" customFormat="false" ht="17.9" hidden="false" customHeight="false" outlineLevel="0" collapsed="false">
      <c r="A40" s="15" t="s">
        <v>23</v>
      </c>
      <c r="B40" s="15" t="s">
        <v>46</v>
      </c>
      <c r="C40" s="15" t="str">
        <f aca="false">IF(الإجابات!$K$2=B40,"نعم","")</f>
        <v/>
      </c>
      <c r="D40" s="18" t="n">
        <f aca="false">COUNTIF(الإجابات!$K$3:$K$152,B40)/'تحليل الفقرات'!$B$2</f>
        <v>0.12</v>
      </c>
      <c r="E40" s="15" t="n">
        <f aca="false">COUNTIFS(الإجابات!$K$3:$K$152,B40,التصحيح!$AF$3:$AF$152,"&gt;="&amp;'تحليل الفقرات'!$B$5)</f>
        <v>0</v>
      </c>
      <c r="F40" s="15" t="n">
        <f aca="false">COUNTIFS(الإجابات!$K$3:$K$152,B40,التصحيح!$AF$3:$AF$152,"&lt;="&amp;'تحليل الفقرات'!$B$6)</f>
        <v>10</v>
      </c>
      <c r="G40" s="15" t="n">
        <f aca="false">E40-F40</f>
        <v>-10</v>
      </c>
      <c r="H40" s="15" t="str">
        <f aca="false">IF(C40="نعم",IF(G40&gt;0,"المفتاح يميّز كما يجب","المفتاح لا يميّز: راجِع"),IF(D40&lt;'تحليل الفقرات'!$B$17,"مموّه غير فعّال",IF(G40&gt;0,"مموّه يجذب المتفوقين: راجِعه","مموّه يعمل")))</f>
        <v>مموّه يعمل</v>
      </c>
    </row>
    <row r="41" customFormat="false" ht="17.9" hidden="false" customHeight="false" outlineLevel="0" collapsed="false">
      <c r="A41" s="20" t="s">
        <v>23</v>
      </c>
      <c r="B41" s="20" t="s">
        <v>45</v>
      </c>
      <c r="C41" s="20" t="str">
        <f aca="false">IF(الإجابات!$K$2=B41,"نعم","")</f>
        <v>نعم</v>
      </c>
      <c r="D41" s="21" t="n">
        <f aca="false">COUNTIF(الإجابات!$K$3:$K$152,B41)/'تحليل الفقرات'!$B$2</f>
        <v>0.493333333333333</v>
      </c>
      <c r="E41" s="20" t="n">
        <f aca="false">COUNTIFS(الإجابات!$K$3:$K$152,B41,التصحيح!$AF$3:$AF$152,"&gt;="&amp;'تحليل الفقرات'!$B$5)</f>
        <v>42</v>
      </c>
      <c r="F41" s="20" t="n">
        <f aca="false">COUNTIFS(الإجابات!$K$3:$K$152,B41,التصحيح!$AF$3:$AF$152,"&lt;="&amp;'تحليل الفقرات'!$B$6)</f>
        <v>8</v>
      </c>
      <c r="G41" s="20" t="n">
        <f aca="false">E41-F41</f>
        <v>34</v>
      </c>
      <c r="H41" s="20" t="str">
        <f aca="false">IF(C41="نعم",IF(G41&gt;0,"المفتاح يميّز كما يجب","المفتاح لا يميّز: راجِع"),IF(D41&lt;'تحليل الفقرات'!$B$17,"مموّه غير فعّال",IF(G41&gt;0,"مموّه يجذب المتفوقين: راجِعه","مموّه يعمل")))</f>
        <v>المفتاح يميّز كما يجب</v>
      </c>
    </row>
    <row r="42" customFormat="false" ht="17.9" hidden="false" customHeight="false" outlineLevel="0" collapsed="false">
      <c r="A42" s="15" t="s">
        <v>24</v>
      </c>
      <c r="B42" s="15" t="s">
        <v>48</v>
      </c>
      <c r="C42" s="15" t="str">
        <f aca="false">IF(الإجابات!$L$2=B42,"نعم","")</f>
        <v>نعم</v>
      </c>
      <c r="D42" s="18" t="n">
        <f aca="false">COUNTIF(الإجابات!$L$3:$L$152,B42)/'تحليل الفقرات'!$B$2</f>
        <v>0.62</v>
      </c>
      <c r="E42" s="15" t="n">
        <f aca="false">COUNTIFS(الإجابات!$L$3:$L$152,B42,التصحيح!$AF$3:$AF$152,"&gt;="&amp;'تحليل الفقرات'!$B$5)</f>
        <v>42</v>
      </c>
      <c r="F42" s="15" t="n">
        <f aca="false">COUNTIFS(الإجابات!$L$3:$L$152,B42,التصحيح!$AF$3:$AF$152,"&lt;="&amp;'تحليل الفقرات'!$B$6)</f>
        <v>10</v>
      </c>
      <c r="G42" s="15" t="n">
        <f aca="false">E42-F42</f>
        <v>32</v>
      </c>
      <c r="H42" s="15" t="str">
        <f aca="false">IF(C42="نعم",IF(G42&gt;0,"المفتاح يميّز كما يجب","المفتاح لا يميّز: راجِع"),IF(D42&lt;'تحليل الفقرات'!$B$17,"مموّه غير فعّال",IF(G42&gt;0,"مموّه يجذب المتفوقين: راجِعه","مموّه يعمل")))</f>
        <v>المفتاح يميّز كما يجب</v>
      </c>
    </row>
    <row r="43" customFormat="false" ht="17.9" hidden="false" customHeight="false" outlineLevel="0" collapsed="false">
      <c r="A43" s="15" t="s">
        <v>24</v>
      </c>
      <c r="B43" s="15" t="s">
        <v>47</v>
      </c>
      <c r="C43" s="15" t="str">
        <f aca="false">IF(الإجابات!$L$2=B43,"نعم","")</f>
        <v/>
      </c>
      <c r="D43" s="18" t="n">
        <f aca="false">COUNTIF(الإجابات!$L$3:$L$152,B43)/'تحليل الفقرات'!$B$2</f>
        <v>0.213333333333333</v>
      </c>
      <c r="E43" s="15" t="n">
        <f aca="false">COUNTIFS(الإجابات!$L$3:$L$152,B43,التصحيح!$AF$3:$AF$152,"&gt;="&amp;'تحليل الفقرات'!$B$5)</f>
        <v>1</v>
      </c>
      <c r="F43" s="15" t="n">
        <f aca="false">COUNTIFS(الإجابات!$L$3:$L$152,B43,التصحيح!$AF$3:$AF$152,"&lt;="&amp;'تحليل الفقرات'!$B$6)</f>
        <v>19</v>
      </c>
      <c r="G43" s="15" t="n">
        <f aca="false">E43-F43</f>
        <v>-18</v>
      </c>
      <c r="H43" s="15" t="str">
        <f aca="false">IF(C43="نعم",IF(G43&gt;0,"المفتاح يميّز كما يجب","المفتاح لا يميّز: راجِع"),IF(D43&lt;'تحليل الفقرات'!$B$17,"مموّه غير فعّال",IF(G43&gt;0,"مموّه يجذب المتفوقين: راجِعه","مموّه يعمل")))</f>
        <v>مموّه يعمل</v>
      </c>
    </row>
    <row r="44" customFormat="false" ht="17.9" hidden="false" customHeight="false" outlineLevel="0" collapsed="false">
      <c r="A44" s="15" t="s">
        <v>24</v>
      </c>
      <c r="B44" s="15" t="s">
        <v>46</v>
      </c>
      <c r="C44" s="15" t="str">
        <f aca="false">IF(الإجابات!$L$2=B44,"نعم","")</f>
        <v/>
      </c>
      <c r="D44" s="18" t="n">
        <f aca="false">COUNTIF(الإجابات!$L$3:$L$152,B44)/'تحليل الفقرات'!$B$2</f>
        <v>0.133333333333333</v>
      </c>
      <c r="E44" s="15" t="n">
        <f aca="false">COUNTIFS(الإجابات!$L$3:$L$152,B44,التصحيح!$AF$3:$AF$152,"&gt;="&amp;'تحليل الفقرات'!$B$5)</f>
        <v>1</v>
      </c>
      <c r="F44" s="15" t="n">
        <f aca="false">COUNTIFS(الإجابات!$L$3:$L$152,B44,التصحيح!$AF$3:$AF$152,"&lt;="&amp;'تحليل الفقرات'!$B$6)</f>
        <v>13</v>
      </c>
      <c r="G44" s="15" t="n">
        <f aca="false">E44-F44</f>
        <v>-12</v>
      </c>
      <c r="H44" s="15" t="str">
        <f aca="false">IF(C44="نعم",IF(G44&gt;0,"المفتاح يميّز كما يجب","المفتاح لا يميّز: راجِع"),IF(D44&lt;'تحليل الفقرات'!$B$17,"مموّه غير فعّال",IF(G44&gt;0,"مموّه يجذب المتفوقين: راجِعه","مموّه يعمل")))</f>
        <v>مموّه يعمل</v>
      </c>
    </row>
    <row r="45" customFormat="false" ht="17.9" hidden="false" customHeight="false" outlineLevel="0" collapsed="false">
      <c r="A45" s="20" t="s">
        <v>24</v>
      </c>
      <c r="B45" s="20" t="s">
        <v>45</v>
      </c>
      <c r="C45" s="20" t="str">
        <f aca="false">IF(الإجابات!$L$2=B45,"نعم","")</f>
        <v/>
      </c>
      <c r="D45" s="21" t="n">
        <f aca="false">COUNTIF(الإجابات!$L$3:$L$152,B45)/'تحليل الفقرات'!$B$2</f>
        <v>0.0333333333333333</v>
      </c>
      <c r="E45" s="20" t="n">
        <f aca="false">COUNTIFS(الإجابات!$L$3:$L$152,B45,التصحيح!$AF$3:$AF$152,"&gt;="&amp;'تحليل الفقرات'!$B$5)</f>
        <v>1</v>
      </c>
      <c r="F45" s="20" t="n">
        <f aca="false">COUNTIFS(الإجابات!$L$3:$L$152,B45,التصحيح!$AF$3:$AF$152,"&lt;="&amp;'تحليل الفقرات'!$B$6)</f>
        <v>3</v>
      </c>
      <c r="G45" s="20" t="n">
        <f aca="false">E45-F45</f>
        <v>-2</v>
      </c>
      <c r="H45" s="20" t="str">
        <f aca="false">IF(C45="نعم",IF(G45&gt;0,"المفتاح يميّز كما يجب","المفتاح لا يميّز: راجِع"),IF(D45&lt;'تحليل الفقرات'!$B$17,"مموّه غير فعّال",IF(G45&gt;0,"مموّه يجذب المتفوقين: راجِعه","مموّه يعمل")))</f>
        <v>مموّه غير فعّال</v>
      </c>
    </row>
    <row r="46" customFormat="false" ht="17.9" hidden="false" customHeight="false" outlineLevel="0" collapsed="false">
      <c r="A46" s="15" t="s">
        <v>25</v>
      </c>
      <c r="B46" s="15" t="s">
        <v>48</v>
      </c>
      <c r="C46" s="15" t="str">
        <f aca="false">IF(الإجابات!$M$2=B46,"نعم","")</f>
        <v/>
      </c>
      <c r="D46" s="18" t="n">
        <f aca="false">COUNTIF(الإجابات!$M$3:$M$152,B46)/'تحليل الفقرات'!$B$2</f>
        <v>0.0133333333333333</v>
      </c>
      <c r="E46" s="15" t="n">
        <f aca="false">COUNTIFS(الإجابات!$M$3:$M$152,B46,التصحيح!$AF$3:$AF$152,"&gt;="&amp;'تحليل الفقرات'!$B$5)</f>
        <v>0</v>
      </c>
      <c r="F46" s="15" t="n">
        <f aca="false">COUNTIFS(الإجابات!$M$3:$M$152,B46,التصحيح!$AF$3:$AF$152,"&lt;="&amp;'تحليل الفقرات'!$B$6)</f>
        <v>2</v>
      </c>
      <c r="G46" s="15" t="n">
        <f aca="false">E46-F46</f>
        <v>-2</v>
      </c>
      <c r="H46" s="15" t="str">
        <f aca="false">IF(C46="نعم",IF(G46&gt;0,"المفتاح يميّز كما يجب","المفتاح لا يميّز: راجِع"),IF(D46&lt;'تحليل الفقرات'!$B$17,"مموّه غير فعّال",IF(G46&gt;0,"مموّه يجذب المتفوقين: راجِعه","مموّه يعمل")))</f>
        <v>مموّه غير فعّال</v>
      </c>
    </row>
    <row r="47" customFormat="false" ht="17.9" hidden="false" customHeight="false" outlineLevel="0" collapsed="false">
      <c r="A47" s="15" t="s">
        <v>25</v>
      </c>
      <c r="B47" s="15" t="s">
        <v>47</v>
      </c>
      <c r="C47" s="15" t="str">
        <f aca="false">IF(الإجابات!$M$2=B47,"نعم","")</f>
        <v/>
      </c>
      <c r="D47" s="18" t="n">
        <f aca="false">COUNTIF(الإجابات!$M$3:$M$152,B47)/'تحليل الفقرات'!$B$2</f>
        <v>0.00666666666666667</v>
      </c>
      <c r="E47" s="15" t="n">
        <f aca="false">COUNTIFS(الإجابات!$M$3:$M$152,B47,التصحيح!$AF$3:$AF$152,"&gt;="&amp;'تحليل الفقرات'!$B$5)</f>
        <v>0</v>
      </c>
      <c r="F47" s="15" t="n">
        <f aca="false">COUNTIFS(الإجابات!$M$3:$M$152,B47,التصحيح!$AF$3:$AF$152,"&lt;="&amp;'تحليل الفقرات'!$B$6)</f>
        <v>1</v>
      </c>
      <c r="G47" s="15" t="n">
        <f aca="false">E47-F47</f>
        <v>-1</v>
      </c>
      <c r="H47" s="15" t="str">
        <f aca="false">IF(C47="نعم",IF(G47&gt;0,"المفتاح يميّز كما يجب","المفتاح لا يميّز: راجِع"),IF(D47&lt;'تحليل الفقرات'!$B$17,"مموّه غير فعّال",IF(G47&gt;0,"مموّه يجذب المتفوقين: راجِعه","مموّه يعمل")))</f>
        <v>مموّه غير فعّال</v>
      </c>
    </row>
    <row r="48" customFormat="false" ht="17.9" hidden="false" customHeight="false" outlineLevel="0" collapsed="false">
      <c r="A48" s="15" t="s">
        <v>25</v>
      </c>
      <c r="B48" s="15" t="s">
        <v>46</v>
      </c>
      <c r="C48" s="15" t="str">
        <f aca="false">IF(الإجابات!$M$2=B48,"نعم","")</f>
        <v>نعم</v>
      </c>
      <c r="D48" s="18" t="n">
        <f aca="false">COUNTIF(الإجابات!$M$3:$M$152,B48)/'تحليل الفقرات'!$B$2</f>
        <v>0.973333333333333</v>
      </c>
      <c r="E48" s="15" t="n">
        <f aca="false">COUNTIFS(الإجابات!$M$3:$M$152,B48,التصحيح!$AF$3:$AF$152,"&gt;="&amp;'تحليل الفقرات'!$B$5)</f>
        <v>45</v>
      </c>
      <c r="F48" s="15" t="n">
        <f aca="false">COUNTIFS(الإجابات!$M$3:$M$152,B48,التصحيح!$AF$3:$AF$152,"&lt;="&amp;'تحليل الفقرات'!$B$6)</f>
        <v>41</v>
      </c>
      <c r="G48" s="15" t="n">
        <f aca="false">E48-F48</f>
        <v>4</v>
      </c>
      <c r="H48" s="15" t="str">
        <f aca="false">IF(C48="نعم",IF(G48&gt;0,"المفتاح يميّز كما يجب","المفتاح لا يميّز: راجِع"),IF(D48&lt;'تحليل الفقرات'!$B$17,"مموّه غير فعّال",IF(G48&gt;0,"مموّه يجذب المتفوقين: راجِعه","مموّه يعمل")))</f>
        <v>المفتاح يميّز كما يجب</v>
      </c>
    </row>
    <row r="49" customFormat="false" ht="17.9" hidden="false" customHeight="false" outlineLevel="0" collapsed="false">
      <c r="A49" s="20" t="s">
        <v>25</v>
      </c>
      <c r="B49" s="20" t="s">
        <v>45</v>
      </c>
      <c r="C49" s="20" t="str">
        <f aca="false">IF(الإجابات!$M$2=B49,"نعم","")</f>
        <v/>
      </c>
      <c r="D49" s="21" t="n">
        <f aca="false">COUNTIF(الإجابات!$M$3:$M$152,B49)/'تحليل الفقرات'!$B$2</f>
        <v>0.00666666666666667</v>
      </c>
      <c r="E49" s="20" t="n">
        <f aca="false">COUNTIFS(الإجابات!$M$3:$M$152,B49,التصحيح!$AF$3:$AF$152,"&gt;="&amp;'تحليل الفقرات'!$B$5)</f>
        <v>0</v>
      </c>
      <c r="F49" s="20" t="n">
        <f aca="false">COUNTIFS(الإجابات!$M$3:$M$152,B49,التصحيح!$AF$3:$AF$152,"&lt;="&amp;'تحليل الفقرات'!$B$6)</f>
        <v>1</v>
      </c>
      <c r="G49" s="20" t="n">
        <f aca="false">E49-F49</f>
        <v>-1</v>
      </c>
      <c r="H49" s="20" t="str">
        <f aca="false">IF(C49="نعم",IF(G49&gt;0,"المفتاح يميّز كما يجب","المفتاح لا يميّز: راجِع"),IF(D49&lt;'تحليل الفقرات'!$B$17,"مموّه غير فعّال",IF(G49&gt;0,"مموّه يجذب المتفوقين: راجِعه","مموّه يعمل")))</f>
        <v>مموّه غير فعّال</v>
      </c>
    </row>
    <row r="50" customFormat="false" ht="17.9" hidden="false" customHeight="false" outlineLevel="0" collapsed="false">
      <c r="A50" s="15" t="s">
        <v>26</v>
      </c>
      <c r="B50" s="15" t="s">
        <v>48</v>
      </c>
      <c r="C50" s="15" t="str">
        <f aca="false">IF(الإجابات!$N$2=B50,"نعم","")</f>
        <v/>
      </c>
      <c r="D50" s="18" t="n">
        <f aca="false">COUNTIF(الإجابات!$N$3:$N$152,B50)/'تحليل الفقرات'!$B$2</f>
        <v>0.266666666666667</v>
      </c>
      <c r="E50" s="15" t="n">
        <f aca="false">COUNTIFS(الإجابات!$N$3:$N$152,B50,التصحيح!$AF$3:$AF$152,"&gt;="&amp;'تحليل الفقرات'!$B$5)</f>
        <v>3</v>
      </c>
      <c r="F50" s="15" t="n">
        <f aca="false">COUNTIFS(الإجابات!$N$3:$N$152,B50,التصحيح!$AF$3:$AF$152,"&lt;="&amp;'تحليل الفقرات'!$B$6)</f>
        <v>20</v>
      </c>
      <c r="G50" s="15" t="n">
        <f aca="false">E50-F50</f>
        <v>-17</v>
      </c>
      <c r="H50" s="15" t="str">
        <f aca="false">IF(C50="نعم",IF(G50&gt;0,"المفتاح يميّز كما يجب","المفتاح لا يميّز: راجِع"),IF(D50&lt;'تحليل الفقرات'!$B$17,"مموّه غير فعّال",IF(G50&gt;0,"مموّه يجذب المتفوقين: راجِعه","مموّه يعمل")))</f>
        <v>مموّه يعمل</v>
      </c>
    </row>
    <row r="51" customFormat="false" ht="17.9" hidden="false" customHeight="false" outlineLevel="0" collapsed="false">
      <c r="A51" s="15" t="s">
        <v>26</v>
      </c>
      <c r="B51" s="15" t="s">
        <v>47</v>
      </c>
      <c r="C51" s="15" t="str">
        <f aca="false">IF(الإجابات!$N$2=B51,"نعم","")</f>
        <v>نعم</v>
      </c>
      <c r="D51" s="18" t="n">
        <f aca="false">COUNTIF(الإجابات!$N$3:$N$152,B51)/'تحليل الفقرات'!$B$2</f>
        <v>0.413333333333333</v>
      </c>
      <c r="E51" s="15" t="n">
        <f aca="false">COUNTIFS(الإجابات!$N$3:$N$152,B51,التصحيح!$AF$3:$AF$152,"&gt;="&amp;'تحليل الفقرات'!$B$5)</f>
        <v>38</v>
      </c>
      <c r="F51" s="15" t="n">
        <f aca="false">COUNTIFS(الإجابات!$N$3:$N$152,B51,التصحيح!$AF$3:$AF$152,"&lt;="&amp;'تحليل الفقرات'!$B$6)</f>
        <v>2</v>
      </c>
      <c r="G51" s="15" t="n">
        <f aca="false">E51-F51</f>
        <v>36</v>
      </c>
      <c r="H51" s="15" t="str">
        <f aca="false">IF(C51="نعم",IF(G51&gt;0,"المفتاح يميّز كما يجب","المفتاح لا يميّز: راجِع"),IF(D51&lt;'تحليل الفقرات'!$B$17,"مموّه غير فعّال",IF(G51&gt;0,"مموّه يجذب المتفوقين: راجِعه","مموّه يعمل")))</f>
        <v>المفتاح يميّز كما يجب</v>
      </c>
    </row>
    <row r="52" customFormat="false" ht="17.9" hidden="false" customHeight="false" outlineLevel="0" collapsed="false">
      <c r="A52" s="15" t="s">
        <v>26</v>
      </c>
      <c r="B52" s="15" t="s">
        <v>46</v>
      </c>
      <c r="C52" s="15" t="str">
        <f aca="false">IF(الإجابات!$N$2=B52,"نعم","")</f>
        <v/>
      </c>
      <c r="D52" s="18" t="n">
        <f aca="false">COUNTIF(الإجابات!$N$3:$N$152,B52)/'تحليل الفقرات'!$B$2</f>
        <v>0.18</v>
      </c>
      <c r="E52" s="15" t="n">
        <f aca="false">COUNTIFS(الإجابات!$N$3:$N$152,B52,التصحيح!$AF$3:$AF$152,"&gt;="&amp;'تحليل الفقرات'!$B$5)</f>
        <v>2</v>
      </c>
      <c r="F52" s="15" t="n">
        <f aca="false">COUNTIFS(الإجابات!$N$3:$N$152,B52,التصحيح!$AF$3:$AF$152,"&lt;="&amp;'تحليل الفقرات'!$B$6)</f>
        <v>15</v>
      </c>
      <c r="G52" s="15" t="n">
        <f aca="false">E52-F52</f>
        <v>-13</v>
      </c>
      <c r="H52" s="15" t="str">
        <f aca="false">IF(C52="نعم",IF(G52&gt;0,"المفتاح يميّز كما يجب","المفتاح لا يميّز: راجِع"),IF(D52&lt;'تحليل الفقرات'!$B$17,"مموّه غير فعّال",IF(G52&gt;0,"مموّه يجذب المتفوقين: راجِعه","مموّه يعمل")))</f>
        <v>مموّه يعمل</v>
      </c>
    </row>
    <row r="53" customFormat="false" ht="17.9" hidden="false" customHeight="false" outlineLevel="0" collapsed="false">
      <c r="A53" s="20" t="s">
        <v>26</v>
      </c>
      <c r="B53" s="20" t="s">
        <v>45</v>
      </c>
      <c r="C53" s="20" t="str">
        <f aca="false">IF(الإجابات!$N$2=B53,"نعم","")</f>
        <v/>
      </c>
      <c r="D53" s="21" t="n">
        <f aca="false">COUNTIF(الإجابات!$N$3:$N$152,B53)/'تحليل الفقرات'!$B$2</f>
        <v>0.14</v>
      </c>
      <c r="E53" s="20" t="n">
        <f aca="false">COUNTIFS(الإجابات!$N$3:$N$152,B53,التصحيح!$AF$3:$AF$152,"&gt;="&amp;'تحليل الفقرات'!$B$5)</f>
        <v>2</v>
      </c>
      <c r="F53" s="20" t="n">
        <f aca="false">COUNTIFS(الإجابات!$N$3:$N$152,B53,التصحيح!$AF$3:$AF$152,"&lt;="&amp;'تحليل الفقرات'!$B$6)</f>
        <v>8</v>
      </c>
      <c r="G53" s="20" t="n">
        <f aca="false">E53-F53</f>
        <v>-6</v>
      </c>
      <c r="H53" s="20" t="str">
        <f aca="false">IF(C53="نعم",IF(G53&gt;0,"المفتاح يميّز كما يجب","المفتاح لا يميّز: راجِع"),IF(D53&lt;'تحليل الفقرات'!$B$17,"مموّه غير فعّال",IF(G53&gt;0,"مموّه يجذب المتفوقين: راجِعه","مموّه يعمل")))</f>
        <v>مموّه يعمل</v>
      </c>
    </row>
    <row r="54" customFormat="false" ht="17.9" hidden="false" customHeight="false" outlineLevel="0" collapsed="false">
      <c r="A54" s="15" t="s">
        <v>27</v>
      </c>
      <c r="B54" s="15" t="s">
        <v>48</v>
      </c>
      <c r="C54" s="15" t="str">
        <f aca="false">IF(الإجابات!$O$2=B54,"نعم","")</f>
        <v/>
      </c>
      <c r="D54" s="18" t="n">
        <f aca="false">COUNTIF(الإجابات!$O$3:$O$152,B54)/'تحليل الفقرات'!$B$2</f>
        <v>0.08</v>
      </c>
      <c r="E54" s="15" t="n">
        <f aca="false">COUNTIFS(الإجابات!$O$3:$O$152,B54,التصحيح!$AF$3:$AF$152,"&gt;="&amp;'تحليل الفقرات'!$B$5)</f>
        <v>0</v>
      </c>
      <c r="F54" s="15" t="n">
        <f aca="false">COUNTIFS(الإجابات!$O$3:$O$152,B54,التصحيح!$AF$3:$AF$152,"&lt;="&amp;'تحليل الفقرات'!$B$6)</f>
        <v>5</v>
      </c>
      <c r="G54" s="15" t="n">
        <f aca="false">E54-F54</f>
        <v>-5</v>
      </c>
      <c r="H54" s="15" t="str">
        <f aca="false">IF(C54="نعم",IF(G54&gt;0,"المفتاح يميّز كما يجب","المفتاح لا يميّز: راجِع"),IF(D54&lt;'تحليل الفقرات'!$B$17,"مموّه غير فعّال",IF(G54&gt;0,"مموّه يجذب المتفوقين: راجِعه","مموّه يعمل")))</f>
        <v>مموّه يعمل</v>
      </c>
    </row>
    <row r="55" customFormat="false" ht="17.9" hidden="false" customHeight="false" outlineLevel="0" collapsed="false">
      <c r="A55" s="15" t="s">
        <v>27</v>
      </c>
      <c r="B55" s="15" t="s">
        <v>47</v>
      </c>
      <c r="C55" s="15" t="str">
        <f aca="false">IF(الإجابات!$O$2=B55,"نعم","")</f>
        <v/>
      </c>
      <c r="D55" s="18" t="n">
        <f aca="false">COUNTIF(الإجابات!$O$3:$O$152,B55)/'تحليل الفقرات'!$B$2</f>
        <v>0.18</v>
      </c>
      <c r="E55" s="15" t="n">
        <f aca="false">COUNTIFS(الإجابات!$O$3:$O$152,B55,التصحيح!$AF$3:$AF$152,"&gt;="&amp;'تحليل الفقرات'!$B$5)</f>
        <v>3</v>
      </c>
      <c r="F55" s="15" t="n">
        <f aca="false">COUNTIFS(الإجابات!$O$3:$O$152,B55,التصحيح!$AF$3:$AF$152,"&lt;="&amp;'تحليل الفقرات'!$B$6)</f>
        <v>14</v>
      </c>
      <c r="G55" s="15" t="n">
        <f aca="false">E55-F55</f>
        <v>-11</v>
      </c>
      <c r="H55" s="15" t="str">
        <f aca="false">IF(C55="نعم",IF(G55&gt;0,"المفتاح يميّز كما يجب","المفتاح لا يميّز: راجِع"),IF(D55&lt;'تحليل الفقرات'!$B$17,"مموّه غير فعّال",IF(G55&gt;0,"مموّه يجذب المتفوقين: راجِعه","مموّه يعمل")))</f>
        <v>مموّه يعمل</v>
      </c>
    </row>
    <row r="56" customFormat="false" ht="17.9" hidden="false" customHeight="false" outlineLevel="0" collapsed="false">
      <c r="A56" s="15" t="s">
        <v>27</v>
      </c>
      <c r="B56" s="15" t="s">
        <v>46</v>
      </c>
      <c r="C56" s="15" t="str">
        <f aca="false">IF(الإجابات!$O$2=B56,"نعم","")</f>
        <v/>
      </c>
      <c r="D56" s="18" t="n">
        <f aca="false">COUNTIF(الإجابات!$O$3:$O$152,B56)/'تحليل الفقرات'!$B$2</f>
        <v>0.12</v>
      </c>
      <c r="E56" s="15" t="n">
        <f aca="false">COUNTIFS(الإجابات!$O$3:$O$152,B56,التصحيح!$AF$3:$AF$152,"&gt;="&amp;'تحليل الفقرات'!$B$5)</f>
        <v>1</v>
      </c>
      <c r="F56" s="15" t="n">
        <f aca="false">COUNTIFS(الإجابات!$O$3:$O$152,B56,التصحيح!$AF$3:$AF$152,"&lt;="&amp;'تحليل الفقرات'!$B$6)</f>
        <v>10</v>
      </c>
      <c r="G56" s="15" t="n">
        <f aca="false">E56-F56</f>
        <v>-9</v>
      </c>
      <c r="H56" s="15" t="str">
        <f aca="false">IF(C56="نعم",IF(G56&gt;0,"المفتاح يميّز كما يجب","المفتاح لا يميّز: راجِع"),IF(D56&lt;'تحليل الفقرات'!$B$17,"مموّه غير فعّال",IF(G56&gt;0,"مموّه يجذب المتفوقين: راجِعه","مموّه يعمل")))</f>
        <v>مموّه يعمل</v>
      </c>
    </row>
    <row r="57" customFormat="false" ht="17.9" hidden="false" customHeight="false" outlineLevel="0" collapsed="false">
      <c r="A57" s="20" t="s">
        <v>27</v>
      </c>
      <c r="B57" s="20" t="s">
        <v>45</v>
      </c>
      <c r="C57" s="20" t="str">
        <f aca="false">IF(الإجابات!$O$2=B57,"نعم","")</f>
        <v>نعم</v>
      </c>
      <c r="D57" s="21" t="n">
        <f aca="false">COUNTIF(الإجابات!$O$3:$O$152,B57)/'تحليل الفقرات'!$B$2</f>
        <v>0.62</v>
      </c>
      <c r="E57" s="20" t="n">
        <f aca="false">COUNTIFS(الإجابات!$O$3:$O$152,B57,التصحيح!$AF$3:$AF$152,"&gt;="&amp;'تحليل الفقرات'!$B$5)</f>
        <v>41</v>
      </c>
      <c r="F57" s="20" t="n">
        <f aca="false">COUNTIFS(الإجابات!$O$3:$O$152,B57,التصحيح!$AF$3:$AF$152,"&lt;="&amp;'تحليل الفقرات'!$B$6)</f>
        <v>16</v>
      </c>
      <c r="G57" s="20" t="n">
        <f aca="false">E57-F57</f>
        <v>25</v>
      </c>
      <c r="H57" s="20" t="str">
        <f aca="false">IF(C57="نعم",IF(G57&gt;0,"المفتاح يميّز كما يجب","المفتاح لا يميّز: راجِع"),IF(D57&lt;'تحليل الفقرات'!$B$17,"مموّه غير فعّال",IF(G57&gt;0,"مموّه يجذب المتفوقين: راجِعه","مموّه يعمل")))</f>
        <v>المفتاح يميّز كما يجب</v>
      </c>
    </row>
    <row r="58" customFormat="false" ht="17.9" hidden="false" customHeight="false" outlineLevel="0" collapsed="false">
      <c r="A58" s="15" t="s">
        <v>28</v>
      </c>
      <c r="B58" s="15" t="s">
        <v>48</v>
      </c>
      <c r="C58" s="15" t="str">
        <f aca="false">IF(الإجابات!$P$2=B58,"نعم","")</f>
        <v/>
      </c>
      <c r="D58" s="18" t="n">
        <f aca="false">COUNTIF(الإجابات!$P$3:$P$152,B58)/'تحليل الفقرات'!$B$2</f>
        <v>0.373333333333333</v>
      </c>
      <c r="E58" s="15" t="n">
        <f aca="false">COUNTIFS(الإجابات!$P$3:$P$152,B58,التصحيح!$AF$3:$AF$152,"&gt;="&amp;'تحليل الفقرات'!$B$5)</f>
        <v>24</v>
      </c>
      <c r="F58" s="15" t="n">
        <f aca="false">COUNTIFS(الإجابات!$P$3:$P$152,B58,التصحيح!$AF$3:$AF$152,"&lt;="&amp;'تحليل الفقرات'!$B$6)</f>
        <v>13</v>
      </c>
      <c r="G58" s="15" t="n">
        <f aca="false">E58-F58</f>
        <v>11</v>
      </c>
      <c r="H58" s="15" t="str">
        <f aca="false">IF(C58="نعم",IF(G58&gt;0,"المفتاح يميّز كما يجب","المفتاح لا يميّز: راجِع"),IF(D58&lt;'تحليل الفقرات'!$B$17,"مموّه غير فعّال",IF(G58&gt;0,"مموّه يجذب المتفوقين: راجِعه","مموّه يعمل")))</f>
        <v>مموّه يجذب المتفوقين: راجِعه</v>
      </c>
    </row>
    <row r="59" customFormat="false" ht="17.9" hidden="false" customHeight="false" outlineLevel="0" collapsed="false">
      <c r="A59" s="15" t="s">
        <v>28</v>
      </c>
      <c r="B59" s="15" t="s">
        <v>47</v>
      </c>
      <c r="C59" s="15" t="str">
        <f aca="false">IF(الإجابات!$P$2=B59,"نعم","")</f>
        <v/>
      </c>
      <c r="D59" s="18" t="n">
        <f aca="false">COUNTIF(الإجابات!$P$3:$P$152,B59)/'تحليل الفقرات'!$B$2</f>
        <v>0.08</v>
      </c>
      <c r="E59" s="15" t="n">
        <f aca="false">COUNTIFS(الإجابات!$P$3:$P$152,B59,التصحيح!$AF$3:$AF$152,"&gt;="&amp;'تحليل الفقرات'!$B$5)</f>
        <v>0</v>
      </c>
      <c r="F59" s="15" t="n">
        <f aca="false">COUNTIFS(الإجابات!$P$3:$P$152,B59,التصحيح!$AF$3:$AF$152,"&lt;="&amp;'تحليل الفقرات'!$B$6)</f>
        <v>9</v>
      </c>
      <c r="G59" s="15" t="n">
        <f aca="false">E59-F59</f>
        <v>-9</v>
      </c>
      <c r="H59" s="15" t="str">
        <f aca="false">IF(C59="نعم",IF(G59&gt;0,"المفتاح يميّز كما يجب","المفتاح لا يميّز: راجِع"),IF(D59&lt;'تحليل الفقرات'!$B$17,"مموّه غير فعّال",IF(G59&gt;0,"مموّه يجذب المتفوقين: راجِعه","مموّه يعمل")))</f>
        <v>مموّه يعمل</v>
      </c>
    </row>
    <row r="60" customFormat="false" ht="17.9" hidden="false" customHeight="false" outlineLevel="0" collapsed="false">
      <c r="A60" s="15" t="s">
        <v>28</v>
      </c>
      <c r="B60" s="15" t="s">
        <v>46</v>
      </c>
      <c r="C60" s="15" t="str">
        <f aca="false">IF(الإجابات!$P$2=B60,"نعم","")</f>
        <v>نعم</v>
      </c>
      <c r="D60" s="18" t="n">
        <f aca="false">COUNTIF(الإجابات!$P$3:$P$152,B60)/'تحليل الفقرات'!$B$2</f>
        <v>0.4</v>
      </c>
      <c r="E60" s="15" t="n">
        <f aca="false">COUNTIFS(الإجابات!$P$3:$P$152,B60,التصحيح!$AF$3:$AF$152,"&gt;="&amp;'تحليل الفقرات'!$B$5)</f>
        <v>19</v>
      </c>
      <c r="F60" s="15" t="n">
        <f aca="false">COUNTIFS(الإجابات!$P$3:$P$152,B60,التصحيح!$AF$3:$AF$152,"&lt;="&amp;'تحليل الفقرات'!$B$6)</f>
        <v>7</v>
      </c>
      <c r="G60" s="15" t="n">
        <f aca="false">E60-F60</f>
        <v>12</v>
      </c>
      <c r="H60" s="15" t="str">
        <f aca="false">IF(C60="نعم",IF(G60&gt;0,"المفتاح يميّز كما يجب","المفتاح لا يميّز: راجِع"),IF(D60&lt;'تحليل الفقرات'!$B$17,"مموّه غير فعّال",IF(G60&gt;0,"مموّه يجذب المتفوقين: راجِعه","مموّه يعمل")))</f>
        <v>المفتاح يميّز كما يجب</v>
      </c>
    </row>
    <row r="61" customFormat="false" ht="17.9" hidden="false" customHeight="false" outlineLevel="0" collapsed="false">
      <c r="A61" s="20" t="s">
        <v>28</v>
      </c>
      <c r="B61" s="20" t="s">
        <v>45</v>
      </c>
      <c r="C61" s="20" t="str">
        <f aca="false">IF(الإجابات!$P$2=B61,"نعم","")</f>
        <v/>
      </c>
      <c r="D61" s="21" t="n">
        <f aca="false">COUNTIF(الإجابات!$P$3:$P$152,B61)/'تحليل الفقرات'!$B$2</f>
        <v>0.146666666666667</v>
      </c>
      <c r="E61" s="20" t="n">
        <f aca="false">COUNTIFS(الإجابات!$P$3:$P$152,B61,التصحيح!$AF$3:$AF$152,"&gt;="&amp;'تحليل الفقرات'!$B$5)</f>
        <v>2</v>
      </c>
      <c r="F61" s="20" t="n">
        <f aca="false">COUNTIFS(الإجابات!$P$3:$P$152,B61,التصحيح!$AF$3:$AF$152,"&lt;="&amp;'تحليل الفقرات'!$B$6)</f>
        <v>16</v>
      </c>
      <c r="G61" s="20" t="n">
        <f aca="false">E61-F61</f>
        <v>-14</v>
      </c>
      <c r="H61" s="20" t="str">
        <f aca="false">IF(C61="نعم",IF(G61&gt;0,"المفتاح يميّز كما يجب","المفتاح لا يميّز: راجِع"),IF(D61&lt;'تحليل الفقرات'!$B$17,"مموّه غير فعّال",IF(G61&gt;0,"مموّه يجذب المتفوقين: راجِعه","مموّه يعمل")))</f>
        <v>مموّه يعمل</v>
      </c>
    </row>
    <row r="62" customFormat="false" ht="17.9" hidden="false" customHeight="false" outlineLevel="0" collapsed="false">
      <c r="A62" s="15" t="s">
        <v>29</v>
      </c>
      <c r="B62" s="15" t="s">
        <v>48</v>
      </c>
      <c r="C62" s="15" t="str">
        <f aca="false">IF(الإجابات!$Q$2=B62,"نعم","")</f>
        <v>نعم</v>
      </c>
      <c r="D62" s="18" t="n">
        <f aca="false">COUNTIF(الإجابات!$Q$3:$Q$152,B62)/'تحليل الفقرات'!$B$2</f>
        <v>0.84</v>
      </c>
      <c r="E62" s="15" t="n">
        <f aca="false">COUNTIFS(الإجابات!$Q$3:$Q$152,B62,التصحيح!$AF$3:$AF$152,"&gt;="&amp;'تحليل الفقرات'!$B$5)</f>
        <v>45</v>
      </c>
      <c r="F62" s="15" t="n">
        <f aca="false">COUNTIFS(الإجابات!$Q$3:$Q$152,B62,التصحيح!$AF$3:$AF$152,"&lt;="&amp;'تحليل الفقرات'!$B$6)</f>
        <v>26</v>
      </c>
      <c r="G62" s="15" t="n">
        <f aca="false">E62-F62</f>
        <v>19</v>
      </c>
      <c r="H62" s="15" t="str">
        <f aca="false">IF(C62="نعم",IF(G62&gt;0,"المفتاح يميّز كما يجب","المفتاح لا يميّز: راجِع"),IF(D62&lt;'تحليل الفقرات'!$B$17,"مموّه غير فعّال",IF(G62&gt;0,"مموّه يجذب المتفوقين: راجِعه","مموّه يعمل")))</f>
        <v>المفتاح يميّز كما يجب</v>
      </c>
    </row>
    <row r="63" customFormat="false" ht="17.9" hidden="false" customHeight="false" outlineLevel="0" collapsed="false">
      <c r="A63" s="15" t="s">
        <v>29</v>
      </c>
      <c r="B63" s="15" t="s">
        <v>47</v>
      </c>
      <c r="C63" s="15" t="str">
        <f aca="false">IF(الإجابات!$Q$2=B63,"نعم","")</f>
        <v/>
      </c>
      <c r="D63" s="18" t="n">
        <f aca="false">COUNTIF(الإجابات!$Q$3:$Q$152,B63)/'تحليل الفقرات'!$B$2</f>
        <v>0.0533333333333333</v>
      </c>
      <c r="E63" s="15" t="n">
        <f aca="false">COUNTIFS(الإجابات!$Q$3:$Q$152,B63,التصحيح!$AF$3:$AF$152,"&gt;="&amp;'تحليل الفقرات'!$B$5)</f>
        <v>0</v>
      </c>
      <c r="F63" s="15" t="n">
        <f aca="false">COUNTIFS(الإجابات!$Q$3:$Q$152,B63,التصحيح!$AF$3:$AF$152,"&lt;="&amp;'تحليل الفقرات'!$B$6)</f>
        <v>3</v>
      </c>
      <c r="G63" s="15" t="n">
        <f aca="false">E63-F63</f>
        <v>-3</v>
      </c>
      <c r="H63" s="15" t="str">
        <f aca="false">IF(C63="نعم",IF(G63&gt;0,"المفتاح يميّز كما يجب","المفتاح لا يميّز: راجِع"),IF(D63&lt;'تحليل الفقرات'!$B$17,"مموّه غير فعّال",IF(G63&gt;0,"مموّه يجذب المتفوقين: راجِعه","مموّه يعمل")))</f>
        <v>مموّه يعمل</v>
      </c>
    </row>
    <row r="64" customFormat="false" ht="17.9" hidden="false" customHeight="false" outlineLevel="0" collapsed="false">
      <c r="A64" s="15" t="s">
        <v>29</v>
      </c>
      <c r="B64" s="15" t="s">
        <v>46</v>
      </c>
      <c r="C64" s="15" t="str">
        <f aca="false">IF(الإجابات!$Q$2=B64,"نعم","")</f>
        <v/>
      </c>
      <c r="D64" s="18" t="n">
        <f aca="false">COUNTIF(الإجابات!$Q$3:$Q$152,B64)/'تحليل الفقرات'!$B$2</f>
        <v>0.0533333333333333</v>
      </c>
      <c r="E64" s="15" t="n">
        <f aca="false">COUNTIFS(الإجابات!$Q$3:$Q$152,B64,التصحيح!$AF$3:$AF$152,"&gt;="&amp;'تحليل الفقرات'!$B$5)</f>
        <v>0</v>
      </c>
      <c r="F64" s="15" t="n">
        <f aca="false">COUNTIFS(الإجابات!$Q$3:$Q$152,B64,التصحيح!$AF$3:$AF$152,"&lt;="&amp;'تحليل الفقرات'!$B$6)</f>
        <v>8</v>
      </c>
      <c r="G64" s="15" t="n">
        <f aca="false">E64-F64</f>
        <v>-8</v>
      </c>
      <c r="H64" s="15" t="str">
        <f aca="false">IF(C64="نعم",IF(G64&gt;0,"المفتاح يميّز كما يجب","المفتاح لا يميّز: راجِع"),IF(D64&lt;'تحليل الفقرات'!$B$17,"مموّه غير فعّال",IF(G64&gt;0,"مموّه يجذب المتفوقين: راجِعه","مموّه يعمل")))</f>
        <v>مموّه يعمل</v>
      </c>
    </row>
    <row r="65" customFormat="false" ht="17.9" hidden="false" customHeight="false" outlineLevel="0" collapsed="false">
      <c r="A65" s="20" t="s">
        <v>29</v>
      </c>
      <c r="B65" s="20" t="s">
        <v>45</v>
      </c>
      <c r="C65" s="20" t="str">
        <f aca="false">IF(الإجابات!$Q$2=B65,"نعم","")</f>
        <v/>
      </c>
      <c r="D65" s="21" t="n">
        <f aca="false">COUNTIF(الإجابات!$Q$3:$Q$152,B65)/'تحليل الفقرات'!$B$2</f>
        <v>0.0533333333333333</v>
      </c>
      <c r="E65" s="20" t="n">
        <f aca="false">COUNTIFS(الإجابات!$Q$3:$Q$152,B65,التصحيح!$AF$3:$AF$152,"&gt;="&amp;'تحليل الفقرات'!$B$5)</f>
        <v>0</v>
      </c>
      <c r="F65" s="20" t="n">
        <f aca="false">COUNTIFS(الإجابات!$Q$3:$Q$152,B65,التصحيح!$AF$3:$AF$152,"&lt;="&amp;'تحليل الفقرات'!$B$6)</f>
        <v>8</v>
      </c>
      <c r="G65" s="20" t="n">
        <f aca="false">E65-F65</f>
        <v>-8</v>
      </c>
      <c r="H65" s="20" t="str">
        <f aca="false">IF(C65="نعم",IF(G65&gt;0,"المفتاح يميّز كما يجب","المفتاح لا يميّز: راجِع"),IF(D65&lt;'تحليل الفقرات'!$B$17,"مموّه غير فعّال",IF(G65&gt;0,"مموّه يجذب المتفوقين: راجِعه","مموّه يعمل")))</f>
        <v>مموّه يعمل</v>
      </c>
    </row>
    <row r="66" customFormat="false" ht="17.9" hidden="false" customHeight="false" outlineLevel="0" collapsed="false">
      <c r="A66" s="15" t="s">
        <v>30</v>
      </c>
      <c r="B66" s="15" t="s">
        <v>48</v>
      </c>
      <c r="C66" s="15" t="str">
        <f aca="false">IF(الإجابات!$R$2=B66,"نعم","")</f>
        <v>نعم</v>
      </c>
      <c r="D66" s="18" t="n">
        <f aca="false">COUNTIF(الإجابات!$R$3:$R$152,B66)/'تحليل الفقرات'!$B$2</f>
        <v>0.866666666666667</v>
      </c>
      <c r="E66" s="15" t="n">
        <f aca="false">COUNTIFS(الإجابات!$R$3:$R$152,B66,التصحيح!$AF$3:$AF$152,"&gt;="&amp;'تحليل الفقرات'!$B$5)</f>
        <v>45</v>
      </c>
      <c r="F66" s="15" t="n">
        <f aca="false">COUNTIFS(الإجابات!$R$3:$R$152,B66,التصحيح!$AF$3:$AF$152,"&lt;="&amp;'تحليل الفقرات'!$B$6)</f>
        <v>27</v>
      </c>
      <c r="G66" s="15" t="n">
        <f aca="false">E66-F66</f>
        <v>18</v>
      </c>
      <c r="H66" s="15" t="str">
        <f aca="false">IF(C66="نعم",IF(G66&gt;0,"المفتاح يميّز كما يجب","المفتاح لا يميّز: راجِع"),IF(D66&lt;'تحليل الفقرات'!$B$17,"مموّه غير فعّال",IF(G66&gt;0,"مموّه يجذب المتفوقين: راجِعه","مموّه يعمل")))</f>
        <v>المفتاح يميّز كما يجب</v>
      </c>
    </row>
    <row r="67" customFormat="false" ht="17.9" hidden="false" customHeight="false" outlineLevel="0" collapsed="false">
      <c r="A67" s="15" t="s">
        <v>30</v>
      </c>
      <c r="B67" s="15" t="s">
        <v>47</v>
      </c>
      <c r="C67" s="15" t="str">
        <f aca="false">IF(الإجابات!$R$2=B67,"نعم","")</f>
        <v/>
      </c>
      <c r="D67" s="18" t="n">
        <f aca="false">COUNTIF(الإجابات!$R$3:$R$152,B67)/'تحليل الفقرات'!$B$2</f>
        <v>0.0666666666666667</v>
      </c>
      <c r="E67" s="15" t="n">
        <f aca="false">COUNTIFS(الإجابات!$R$3:$R$152,B67,التصحيح!$AF$3:$AF$152,"&gt;="&amp;'تحليل الفقرات'!$B$5)</f>
        <v>0</v>
      </c>
      <c r="F67" s="15" t="n">
        <f aca="false">COUNTIFS(الإجابات!$R$3:$R$152,B67,التصحيح!$AF$3:$AF$152,"&lt;="&amp;'تحليل الفقرات'!$B$6)</f>
        <v>9</v>
      </c>
      <c r="G67" s="15" t="n">
        <f aca="false">E67-F67</f>
        <v>-9</v>
      </c>
      <c r="H67" s="15" t="str">
        <f aca="false">IF(C67="نعم",IF(G67&gt;0,"المفتاح يميّز كما يجب","المفتاح لا يميّز: راجِع"),IF(D67&lt;'تحليل الفقرات'!$B$17,"مموّه غير فعّال",IF(G67&gt;0,"مموّه يجذب المتفوقين: راجِعه","مموّه يعمل")))</f>
        <v>مموّه يعمل</v>
      </c>
    </row>
    <row r="68" customFormat="false" ht="17.9" hidden="false" customHeight="false" outlineLevel="0" collapsed="false">
      <c r="A68" s="15" t="s">
        <v>30</v>
      </c>
      <c r="B68" s="15" t="s">
        <v>46</v>
      </c>
      <c r="C68" s="15" t="str">
        <f aca="false">IF(الإجابات!$R$2=B68,"نعم","")</f>
        <v/>
      </c>
      <c r="D68" s="18" t="n">
        <f aca="false">COUNTIF(الإجابات!$R$3:$R$152,B68)/'تحليل الفقرات'!$B$2</f>
        <v>0.0466666666666667</v>
      </c>
      <c r="E68" s="15" t="n">
        <f aca="false">COUNTIFS(الإجابات!$R$3:$R$152,B68,التصحيح!$AF$3:$AF$152,"&gt;="&amp;'تحليل الفقرات'!$B$5)</f>
        <v>0</v>
      </c>
      <c r="F68" s="15" t="n">
        <f aca="false">COUNTIFS(الإجابات!$R$3:$R$152,B68,التصحيح!$AF$3:$AF$152,"&lt;="&amp;'تحليل الفقرات'!$B$6)</f>
        <v>6</v>
      </c>
      <c r="G68" s="15" t="n">
        <f aca="false">E68-F68</f>
        <v>-6</v>
      </c>
      <c r="H68" s="15" t="str">
        <f aca="false">IF(C68="نعم",IF(G68&gt;0,"المفتاح يميّز كما يجب","المفتاح لا يميّز: راجِع"),IF(D68&lt;'تحليل الفقرات'!$B$17,"مموّه غير فعّال",IF(G68&gt;0,"مموّه يجذب المتفوقين: راجِعه","مموّه يعمل")))</f>
        <v>مموّه غير فعّال</v>
      </c>
    </row>
    <row r="69" customFormat="false" ht="17.9" hidden="false" customHeight="false" outlineLevel="0" collapsed="false">
      <c r="A69" s="20" t="s">
        <v>30</v>
      </c>
      <c r="B69" s="20" t="s">
        <v>45</v>
      </c>
      <c r="C69" s="20" t="str">
        <f aca="false">IF(الإجابات!$R$2=B69,"نعم","")</f>
        <v/>
      </c>
      <c r="D69" s="21" t="n">
        <f aca="false">COUNTIF(الإجابات!$R$3:$R$152,B69)/'تحليل الفقرات'!$B$2</f>
        <v>0.02</v>
      </c>
      <c r="E69" s="20" t="n">
        <f aca="false">COUNTIFS(الإجابات!$R$3:$R$152,B69,التصحيح!$AF$3:$AF$152,"&gt;="&amp;'تحليل الفقرات'!$B$5)</f>
        <v>0</v>
      </c>
      <c r="F69" s="20" t="n">
        <f aca="false">COUNTIFS(الإجابات!$R$3:$R$152,B69,التصحيح!$AF$3:$AF$152,"&lt;="&amp;'تحليل الفقرات'!$B$6)</f>
        <v>3</v>
      </c>
      <c r="G69" s="20" t="n">
        <f aca="false">E69-F69</f>
        <v>-3</v>
      </c>
      <c r="H69" s="20" t="str">
        <f aca="false">IF(C69="نعم",IF(G69&gt;0,"المفتاح يميّز كما يجب","المفتاح لا يميّز: راجِع"),IF(D69&lt;'تحليل الفقرات'!$B$17,"مموّه غير فعّال",IF(G69&gt;0,"مموّه يجذب المتفوقين: راجِعه","مموّه يعمل")))</f>
        <v>مموّه غير فعّال</v>
      </c>
    </row>
    <row r="70" customFormat="false" ht="17.9" hidden="false" customHeight="false" outlineLevel="0" collapsed="false">
      <c r="A70" s="15" t="s">
        <v>31</v>
      </c>
      <c r="B70" s="15" t="s">
        <v>48</v>
      </c>
      <c r="C70" s="15" t="str">
        <f aca="false">IF(الإجابات!$S$2=B70,"نعم","")</f>
        <v>نعم</v>
      </c>
      <c r="D70" s="18" t="n">
        <f aca="false">COUNTIF(الإجابات!$S$3:$S$152,B70)/'تحليل الفقرات'!$B$2</f>
        <v>0.24</v>
      </c>
      <c r="E70" s="15" t="n">
        <f aca="false">COUNTIFS(الإجابات!$S$3:$S$152,B70,التصحيح!$AF$3:$AF$152,"&gt;="&amp;'تحليل الفقرات'!$B$5)</f>
        <v>13</v>
      </c>
      <c r="F70" s="15" t="n">
        <f aca="false">COUNTIFS(الإجابات!$S$3:$S$152,B70,التصحيح!$AF$3:$AF$152,"&lt;="&amp;'تحليل الفقرات'!$B$6)</f>
        <v>9</v>
      </c>
      <c r="G70" s="15" t="n">
        <f aca="false">E70-F70</f>
        <v>4</v>
      </c>
      <c r="H70" s="15" t="str">
        <f aca="false">IF(C70="نعم",IF(G70&gt;0,"المفتاح يميّز كما يجب","المفتاح لا يميّز: راجِع"),IF(D70&lt;'تحليل الفقرات'!$B$17,"مموّه غير فعّال",IF(G70&gt;0,"مموّه يجذب المتفوقين: راجِعه","مموّه يعمل")))</f>
        <v>المفتاح يميّز كما يجب</v>
      </c>
    </row>
    <row r="71" customFormat="false" ht="17.9" hidden="false" customHeight="false" outlineLevel="0" collapsed="false">
      <c r="A71" s="15" t="s">
        <v>31</v>
      </c>
      <c r="B71" s="15" t="s">
        <v>47</v>
      </c>
      <c r="C71" s="15" t="str">
        <f aca="false">IF(الإجابات!$S$2=B71,"نعم","")</f>
        <v/>
      </c>
      <c r="D71" s="18" t="n">
        <f aca="false">COUNTIF(الإجابات!$S$3:$S$152,B71)/'تحليل الفقرات'!$B$2</f>
        <v>0.253333333333333</v>
      </c>
      <c r="E71" s="15" t="n">
        <f aca="false">COUNTIFS(الإجابات!$S$3:$S$152,B71,التصحيح!$AF$3:$AF$152,"&gt;="&amp;'تحليل الفقرات'!$B$5)</f>
        <v>9</v>
      </c>
      <c r="F71" s="15" t="n">
        <f aca="false">COUNTIFS(الإجابات!$S$3:$S$152,B71,التصحيح!$AF$3:$AF$152,"&lt;="&amp;'تحليل الفقرات'!$B$6)</f>
        <v>12</v>
      </c>
      <c r="G71" s="15" t="n">
        <f aca="false">E71-F71</f>
        <v>-3</v>
      </c>
      <c r="H71" s="15" t="str">
        <f aca="false">IF(C71="نعم",IF(G71&gt;0,"المفتاح يميّز كما يجب","المفتاح لا يميّز: راجِع"),IF(D71&lt;'تحليل الفقرات'!$B$17,"مموّه غير فعّال",IF(G71&gt;0,"مموّه يجذب المتفوقين: راجِعه","مموّه يعمل")))</f>
        <v>مموّه يعمل</v>
      </c>
    </row>
    <row r="72" customFormat="false" ht="17.9" hidden="false" customHeight="false" outlineLevel="0" collapsed="false">
      <c r="A72" s="15" t="s">
        <v>31</v>
      </c>
      <c r="B72" s="15" t="s">
        <v>46</v>
      </c>
      <c r="C72" s="15" t="str">
        <f aca="false">IF(الإجابات!$S$2=B72,"نعم","")</f>
        <v/>
      </c>
      <c r="D72" s="18" t="n">
        <f aca="false">COUNTIF(الإجابات!$S$3:$S$152,B72)/'تحليل الفقرات'!$B$2</f>
        <v>0.266666666666667</v>
      </c>
      <c r="E72" s="15" t="n">
        <f aca="false">COUNTIFS(الإجابات!$S$3:$S$152,B72,التصحيح!$AF$3:$AF$152,"&gt;="&amp;'تحليل الفقرات'!$B$5)</f>
        <v>12</v>
      </c>
      <c r="F72" s="15" t="n">
        <f aca="false">COUNTIFS(الإجابات!$S$3:$S$152,B72,التصحيح!$AF$3:$AF$152,"&lt;="&amp;'تحليل الفقرات'!$B$6)</f>
        <v>11</v>
      </c>
      <c r="G72" s="15" t="n">
        <f aca="false">E72-F72</f>
        <v>1</v>
      </c>
      <c r="H72" s="15" t="str">
        <f aca="false">IF(C72="نعم",IF(G72&gt;0,"المفتاح يميّز كما يجب","المفتاح لا يميّز: راجِع"),IF(D72&lt;'تحليل الفقرات'!$B$17,"مموّه غير فعّال",IF(G72&gt;0,"مموّه يجذب المتفوقين: راجِعه","مموّه يعمل")))</f>
        <v>مموّه يجذب المتفوقين: راجِعه</v>
      </c>
    </row>
    <row r="73" customFormat="false" ht="17.9" hidden="false" customHeight="false" outlineLevel="0" collapsed="false">
      <c r="A73" s="20" t="s">
        <v>31</v>
      </c>
      <c r="B73" s="20" t="s">
        <v>45</v>
      </c>
      <c r="C73" s="20" t="str">
        <f aca="false">IF(الإجابات!$S$2=B73,"نعم","")</f>
        <v/>
      </c>
      <c r="D73" s="21" t="n">
        <f aca="false">COUNTIF(الإجابات!$S$3:$S$152,B73)/'تحليل الفقرات'!$B$2</f>
        <v>0.24</v>
      </c>
      <c r="E73" s="20" t="n">
        <f aca="false">COUNTIFS(الإجابات!$S$3:$S$152,B73,التصحيح!$AF$3:$AF$152,"&gt;="&amp;'تحليل الفقرات'!$B$5)</f>
        <v>11</v>
      </c>
      <c r="F73" s="20" t="n">
        <f aca="false">COUNTIFS(الإجابات!$S$3:$S$152,B73,التصحيح!$AF$3:$AF$152,"&lt;="&amp;'تحليل الفقرات'!$B$6)</f>
        <v>13</v>
      </c>
      <c r="G73" s="20" t="n">
        <f aca="false">E73-F73</f>
        <v>-2</v>
      </c>
      <c r="H73" s="20" t="str">
        <f aca="false">IF(C73="نعم",IF(G73&gt;0,"المفتاح يميّز كما يجب","المفتاح لا يميّز: راجِع"),IF(D73&lt;'تحليل الفقرات'!$B$17,"مموّه غير فعّال",IF(G73&gt;0,"مموّه يجذب المتفوقين: راجِعه","مموّه يعمل")))</f>
        <v>مموّه يعمل</v>
      </c>
    </row>
    <row r="74" customFormat="false" ht="17.9" hidden="false" customHeight="false" outlineLevel="0" collapsed="false">
      <c r="A74" s="15" t="s">
        <v>32</v>
      </c>
      <c r="B74" s="15" t="s">
        <v>48</v>
      </c>
      <c r="C74" s="15" t="str">
        <f aca="false">IF(الإجابات!$T$2=B74,"نعم","")</f>
        <v/>
      </c>
      <c r="D74" s="18" t="n">
        <f aca="false">COUNTIF(الإجابات!$T$3:$T$152,B74)/'تحليل الفقرات'!$B$2</f>
        <v>0.153333333333333</v>
      </c>
      <c r="E74" s="15" t="n">
        <f aca="false">COUNTIFS(الإجابات!$T$3:$T$152,B74,التصحيح!$AF$3:$AF$152,"&gt;="&amp;'تحليل الفقرات'!$B$5)</f>
        <v>3</v>
      </c>
      <c r="F74" s="15" t="n">
        <f aca="false">COUNTIFS(الإجابات!$T$3:$T$152,B74,التصحيح!$AF$3:$AF$152,"&lt;="&amp;'تحليل الفقرات'!$B$6)</f>
        <v>6</v>
      </c>
      <c r="G74" s="15" t="n">
        <f aca="false">E74-F74</f>
        <v>-3</v>
      </c>
      <c r="H74" s="15" t="str">
        <f aca="false">IF(C74="نعم",IF(G74&gt;0,"المفتاح يميّز كما يجب","المفتاح لا يميّز: راجِع"),IF(D74&lt;'تحليل الفقرات'!$B$17,"مموّه غير فعّال",IF(G74&gt;0,"مموّه يجذب المتفوقين: راجِعه","مموّه يعمل")))</f>
        <v>مموّه يعمل</v>
      </c>
    </row>
    <row r="75" customFormat="false" ht="17.9" hidden="false" customHeight="false" outlineLevel="0" collapsed="false">
      <c r="A75" s="15" t="s">
        <v>32</v>
      </c>
      <c r="B75" s="15" t="s">
        <v>47</v>
      </c>
      <c r="C75" s="15" t="str">
        <f aca="false">IF(الإجابات!$T$2=B75,"نعم","")</f>
        <v/>
      </c>
      <c r="D75" s="18" t="n">
        <f aca="false">COUNTIF(الإجابات!$T$3:$T$152,B75)/'تحليل الفقرات'!$B$2</f>
        <v>0.1</v>
      </c>
      <c r="E75" s="15" t="n">
        <f aca="false">COUNTIFS(الإجابات!$T$3:$T$152,B75,التصحيح!$AF$3:$AF$152,"&gt;="&amp;'تحليل الفقرات'!$B$5)</f>
        <v>2</v>
      </c>
      <c r="F75" s="15" t="n">
        <f aca="false">COUNTIFS(الإجابات!$T$3:$T$152,B75,التصحيح!$AF$3:$AF$152,"&lt;="&amp;'تحليل الفقرات'!$B$6)</f>
        <v>10</v>
      </c>
      <c r="G75" s="15" t="n">
        <f aca="false">E75-F75</f>
        <v>-8</v>
      </c>
      <c r="H75" s="15" t="str">
        <f aca="false">IF(C75="نعم",IF(G75&gt;0,"المفتاح يميّز كما يجب","المفتاح لا يميّز: راجِع"),IF(D75&lt;'تحليل الفقرات'!$B$17,"مموّه غير فعّال",IF(G75&gt;0,"مموّه يجذب المتفوقين: راجِعه","مموّه يعمل")))</f>
        <v>مموّه يعمل</v>
      </c>
    </row>
    <row r="76" customFormat="false" ht="17.9" hidden="false" customHeight="false" outlineLevel="0" collapsed="false">
      <c r="A76" s="15" t="s">
        <v>32</v>
      </c>
      <c r="B76" s="15" t="s">
        <v>46</v>
      </c>
      <c r="C76" s="15" t="str">
        <f aca="false">IF(الإجابات!$T$2=B76,"نعم","")</f>
        <v/>
      </c>
      <c r="D76" s="18" t="n">
        <f aca="false">COUNTIF(الإجابات!$T$3:$T$152,B76)/'تحليل الفقرات'!$B$2</f>
        <v>0.18</v>
      </c>
      <c r="E76" s="15" t="n">
        <f aca="false">COUNTIFS(الإجابات!$T$3:$T$152,B76,التصحيح!$AF$3:$AF$152,"&gt;="&amp;'تحليل الفقرات'!$B$5)</f>
        <v>4</v>
      </c>
      <c r="F76" s="15" t="n">
        <f aca="false">COUNTIFS(الإجابات!$T$3:$T$152,B76,التصحيح!$AF$3:$AF$152,"&lt;="&amp;'تحليل الفقرات'!$B$6)</f>
        <v>13</v>
      </c>
      <c r="G76" s="15" t="n">
        <f aca="false">E76-F76</f>
        <v>-9</v>
      </c>
      <c r="H76" s="15" t="str">
        <f aca="false">IF(C76="نعم",IF(G76&gt;0,"المفتاح يميّز كما يجب","المفتاح لا يميّز: راجِع"),IF(D76&lt;'تحليل الفقرات'!$B$17,"مموّه غير فعّال",IF(G76&gt;0,"مموّه يجذب المتفوقين: راجِعه","مموّه يعمل")))</f>
        <v>مموّه يعمل</v>
      </c>
    </row>
    <row r="77" customFormat="false" ht="17.9" hidden="false" customHeight="false" outlineLevel="0" collapsed="false">
      <c r="A77" s="20" t="s">
        <v>32</v>
      </c>
      <c r="B77" s="20" t="s">
        <v>45</v>
      </c>
      <c r="C77" s="20" t="str">
        <f aca="false">IF(الإجابات!$T$2=B77,"نعم","")</f>
        <v>نعم</v>
      </c>
      <c r="D77" s="21" t="n">
        <f aca="false">COUNTIF(الإجابات!$T$3:$T$152,B77)/'تحليل الفقرات'!$B$2</f>
        <v>0.566666666666667</v>
      </c>
      <c r="E77" s="20" t="n">
        <f aca="false">COUNTIFS(الإجابات!$T$3:$T$152,B77,التصحيح!$AF$3:$AF$152,"&gt;="&amp;'تحليل الفقرات'!$B$5)</f>
        <v>36</v>
      </c>
      <c r="F77" s="20" t="n">
        <f aca="false">COUNTIFS(الإجابات!$T$3:$T$152,B77,التصحيح!$AF$3:$AF$152,"&lt;="&amp;'تحليل الفقرات'!$B$6)</f>
        <v>16</v>
      </c>
      <c r="G77" s="20" t="n">
        <f aca="false">E77-F77</f>
        <v>20</v>
      </c>
      <c r="H77" s="20" t="str">
        <f aca="false">IF(C77="نعم",IF(G77&gt;0,"المفتاح يميّز كما يجب","المفتاح لا يميّز: راجِع"),IF(D77&lt;'تحليل الفقرات'!$B$17,"مموّه غير فعّال",IF(G77&gt;0,"مموّه يجذب المتفوقين: راجِعه","مموّه يعمل")))</f>
        <v>المفتاح يميّز كما يجب</v>
      </c>
    </row>
    <row r="78" customFormat="false" ht="17.9" hidden="false" customHeight="false" outlineLevel="0" collapsed="false">
      <c r="A78" s="15" t="s">
        <v>33</v>
      </c>
      <c r="B78" s="15" t="s">
        <v>48</v>
      </c>
      <c r="C78" s="15" t="str">
        <f aca="false">IF(الإجابات!$U$2=B78,"نعم","")</f>
        <v/>
      </c>
      <c r="D78" s="18" t="n">
        <f aca="false">COUNTIF(الإجابات!$U$3:$U$152,B78)/'تحليل الفقرات'!$B$2</f>
        <v>0.166666666666667</v>
      </c>
      <c r="E78" s="15" t="n">
        <f aca="false">COUNTIFS(الإجابات!$U$3:$U$152,B78,التصحيح!$AF$3:$AF$152,"&gt;="&amp;'تحليل الفقرات'!$B$5)</f>
        <v>1</v>
      </c>
      <c r="F78" s="15" t="n">
        <f aca="false">COUNTIFS(الإجابات!$U$3:$U$152,B78,التصحيح!$AF$3:$AF$152,"&lt;="&amp;'تحليل الفقرات'!$B$6)</f>
        <v>14</v>
      </c>
      <c r="G78" s="15" t="n">
        <f aca="false">E78-F78</f>
        <v>-13</v>
      </c>
      <c r="H78" s="15" t="str">
        <f aca="false">IF(C78="نعم",IF(G78&gt;0,"المفتاح يميّز كما يجب","المفتاح لا يميّز: راجِع"),IF(D78&lt;'تحليل الفقرات'!$B$17,"مموّه غير فعّال",IF(G78&gt;0,"مموّه يجذب المتفوقين: راجِعه","مموّه يعمل")))</f>
        <v>مموّه يعمل</v>
      </c>
    </row>
    <row r="79" customFormat="false" ht="17.9" hidden="false" customHeight="false" outlineLevel="0" collapsed="false">
      <c r="A79" s="15" t="s">
        <v>33</v>
      </c>
      <c r="B79" s="15" t="s">
        <v>47</v>
      </c>
      <c r="C79" s="15" t="str">
        <f aca="false">IF(الإجابات!$U$2=B79,"نعم","")</f>
        <v/>
      </c>
      <c r="D79" s="18" t="n">
        <f aca="false">COUNTIF(الإجابات!$U$3:$U$152,B79)/'تحليل الفقرات'!$B$2</f>
        <v>0.153333333333333</v>
      </c>
      <c r="E79" s="15" t="n">
        <f aca="false">COUNTIFS(الإجابات!$U$3:$U$152,B79,التصحيح!$AF$3:$AF$152,"&gt;="&amp;'تحليل الفقرات'!$B$5)</f>
        <v>0</v>
      </c>
      <c r="F79" s="15" t="n">
        <f aca="false">COUNTIFS(الإجابات!$U$3:$U$152,B79,التصحيح!$AF$3:$AF$152,"&lt;="&amp;'تحليل الفقرات'!$B$6)</f>
        <v>11</v>
      </c>
      <c r="G79" s="15" t="n">
        <f aca="false">E79-F79</f>
        <v>-11</v>
      </c>
      <c r="H79" s="15" t="str">
        <f aca="false">IF(C79="نعم",IF(G79&gt;0,"المفتاح يميّز كما يجب","المفتاح لا يميّز: راجِع"),IF(D79&lt;'تحليل الفقرات'!$B$17,"مموّه غير فعّال",IF(G79&gt;0,"مموّه يجذب المتفوقين: راجِعه","مموّه يعمل")))</f>
        <v>مموّه يعمل</v>
      </c>
    </row>
    <row r="80" customFormat="false" ht="17.9" hidden="false" customHeight="false" outlineLevel="0" collapsed="false">
      <c r="A80" s="15" t="s">
        <v>33</v>
      </c>
      <c r="B80" s="15" t="s">
        <v>46</v>
      </c>
      <c r="C80" s="15" t="str">
        <f aca="false">IF(الإجابات!$U$2=B80,"نعم","")</f>
        <v/>
      </c>
      <c r="D80" s="18" t="n">
        <f aca="false">COUNTIF(الإجابات!$U$3:$U$152,B80)/'تحليل الفقرات'!$B$2</f>
        <v>0.16</v>
      </c>
      <c r="E80" s="15" t="n">
        <f aca="false">COUNTIFS(الإجابات!$U$3:$U$152,B80,التصحيح!$AF$3:$AF$152,"&gt;="&amp;'تحليل الفقرات'!$B$5)</f>
        <v>2</v>
      </c>
      <c r="F80" s="15" t="n">
        <f aca="false">COUNTIFS(الإجابات!$U$3:$U$152,B80,التصحيح!$AF$3:$AF$152,"&lt;="&amp;'تحليل الفقرات'!$B$6)</f>
        <v>14</v>
      </c>
      <c r="G80" s="15" t="n">
        <f aca="false">E80-F80</f>
        <v>-12</v>
      </c>
      <c r="H80" s="15" t="str">
        <f aca="false">IF(C80="نعم",IF(G80&gt;0,"المفتاح يميّز كما يجب","المفتاح لا يميّز: راجِع"),IF(D80&lt;'تحليل الفقرات'!$B$17,"مموّه غير فعّال",IF(G80&gt;0,"مموّه يجذب المتفوقين: راجِعه","مموّه يعمل")))</f>
        <v>مموّه يعمل</v>
      </c>
    </row>
    <row r="81" customFormat="false" ht="17.9" hidden="false" customHeight="false" outlineLevel="0" collapsed="false">
      <c r="A81" s="20" t="s">
        <v>33</v>
      </c>
      <c r="B81" s="20" t="s">
        <v>45</v>
      </c>
      <c r="C81" s="20" t="str">
        <f aca="false">IF(الإجابات!$U$2=B81,"نعم","")</f>
        <v>نعم</v>
      </c>
      <c r="D81" s="21" t="n">
        <f aca="false">COUNTIF(الإجابات!$U$3:$U$152,B81)/'تحليل الفقرات'!$B$2</f>
        <v>0.52</v>
      </c>
      <c r="E81" s="20" t="n">
        <f aca="false">COUNTIFS(الإجابات!$U$3:$U$152,B81,التصحيح!$AF$3:$AF$152,"&gt;="&amp;'تحليل الفقرات'!$B$5)</f>
        <v>42</v>
      </c>
      <c r="F81" s="20" t="n">
        <f aca="false">COUNTIFS(الإجابات!$U$3:$U$152,B81,التصحيح!$AF$3:$AF$152,"&lt;="&amp;'تحليل الفقرات'!$B$6)</f>
        <v>6</v>
      </c>
      <c r="G81" s="20" t="n">
        <f aca="false">E81-F81</f>
        <v>36</v>
      </c>
      <c r="H81" s="20" t="str">
        <f aca="false">IF(C81="نعم",IF(G81&gt;0,"المفتاح يميّز كما يجب","المفتاح لا يميّز: راجِع"),IF(D81&lt;'تحليل الفقرات'!$B$17,"مموّه غير فعّال",IF(G81&gt;0,"مموّه يجذب المتفوقين: راجِعه","مموّه يعمل")))</f>
        <v>المفتاح يميّز كما يجب</v>
      </c>
    </row>
    <row r="82" customFormat="false" ht="17.9" hidden="false" customHeight="false" outlineLevel="0" collapsed="false">
      <c r="A82" s="15" t="s">
        <v>34</v>
      </c>
      <c r="B82" s="15" t="s">
        <v>48</v>
      </c>
      <c r="C82" s="15" t="str">
        <f aca="false">IF(الإجابات!$V$2=B82,"نعم","")</f>
        <v/>
      </c>
      <c r="D82" s="18" t="n">
        <f aca="false">COUNTIF(الإجابات!$V$3:$V$152,B82)/'تحليل الفقرات'!$B$2</f>
        <v>0.18</v>
      </c>
      <c r="E82" s="15" t="n">
        <f aca="false">COUNTIFS(الإجابات!$V$3:$V$152,B82,التصحيح!$AF$3:$AF$152,"&gt;="&amp;'تحليل الفقرات'!$B$5)</f>
        <v>0</v>
      </c>
      <c r="F82" s="15" t="n">
        <f aca="false">COUNTIFS(الإجابات!$V$3:$V$152,B82,التصحيح!$AF$3:$AF$152,"&lt;="&amp;'تحليل الفقرات'!$B$6)</f>
        <v>10</v>
      </c>
      <c r="G82" s="15" t="n">
        <f aca="false">E82-F82</f>
        <v>-10</v>
      </c>
      <c r="H82" s="15" t="str">
        <f aca="false">IF(C82="نعم",IF(G82&gt;0,"المفتاح يميّز كما يجب","المفتاح لا يميّز: راجِع"),IF(D82&lt;'تحليل الفقرات'!$B$17,"مموّه غير فعّال",IF(G82&gt;0,"مموّه يجذب المتفوقين: راجِعه","مموّه يعمل")))</f>
        <v>مموّه يعمل</v>
      </c>
    </row>
    <row r="83" customFormat="false" ht="17.9" hidden="false" customHeight="false" outlineLevel="0" collapsed="false">
      <c r="A83" s="15" t="s">
        <v>34</v>
      </c>
      <c r="B83" s="15" t="s">
        <v>47</v>
      </c>
      <c r="C83" s="15" t="str">
        <f aca="false">IF(الإجابات!$V$2=B83,"نعم","")</f>
        <v/>
      </c>
      <c r="D83" s="18" t="n">
        <f aca="false">COUNTIF(الإجابات!$V$3:$V$152,B83)/'تحليل الفقرات'!$B$2</f>
        <v>0.12</v>
      </c>
      <c r="E83" s="15" t="n">
        <f aca="false">COUNTIFS(الإجابات!$V$3:$V$152,B83,التصحيح!$AF$3:$AF$152,"&gt;="&amp;'تحليل الفقرات'!$B$5)</f>
        <v>0</v>
      </c>
      <c r="F83" s="15" t="n">
        <f aca="false">COUNTIFS(الإجابات!$V$3:$V$152,B83,التصحيح!$AF$3:$AF$152,"&lt;="&amp;'تحليل الفقرات'!$B$6)</f>
        <v>11</v>
      </c>
      <c r="G83" s="15" t="n">
        <f aca="false">E83-F83</f>
        <v>-11</v>
      </c>
      <c r="H83" s="15" t="str">
        <f aca="false">IF(C83="نعم",IF(G83&gt;0,"المفتاح يميّز كما يجب","المفتاح لا يميّز: راجِع"),IF(D83&lt;'تحليل الفقرات'!$B$17,"مموّه غير فعّال",IF(G83&gt;0,"مموّه يجذب المتفوقين: راجِعه","مموّه يعمل")))</f>
        <v>مموّه يعمل</v>
      </c>
    </row>
    <row r="84" customFormat="false" ht="17.9" hidden="false" customHeight="false" outlineLevel="0" collapsed="false">
      <c r="A84" s="15" t="s">
        <v>34</v>
      </c>
      <c r="B84" s="15" t="s">
        <v>46</v>
      </c>
      <c r="C84" s="15" t="str">
        <f aca="false">IF(الإجابات!$V$2=B84,"نعم","")</f>
        <v>نعم</v>
      </c>
      <c r="D84" s="18" t="n">
        <f aca="false">COUNTIF(الإجابات!$V$3:$V$152,B84)/'تحليل الفقرات'!$B$2</f>
        <v>0.553333333333333</v>
      </c>
      <c r="E84" s="15" t="n">
        <f aca="false">COUNTIFS(الإجابات!$V$3:$V$152,B84,التصحيح!$AF$3:$AF$152,"&gt;="&amp;'تحليل الفقرات'!$B$5)</f>
        <v>42</v>
      </c>
      <c r="F84" s="15" t="n">
        <f aca="false">COUNTIFS(الإجابات!$V$3:$V$152,B84,التصحيح!$AF$3:$AF$152,"&lt;="&amp;'تحليل الفقرات'!$B$6)</f>
        <v>13</v>
      </c>
      <c r="G84" s="15" t="n">
        <f aca="false">E84-F84</f>
        <v>29</v>
      </c>
      <c r="H84" s="15" t="str">
        <f aca="false">IF(C84="نعم",IF(G84&gt;0,"المفتاح يميّز كما يجب","المفتاح لا يميّز: راجِع"),IF(D84&lt;'تحليل الفقرات'!$B$17,"مموّه غير فعّال",IF(G84&gt;0,"مموّه يجذب المتفوقين: راجِعه","مموّه يعمل")))</f>
        <v>المفتاح يميّز كما يجب</v>
      </c>
    </row>
    <row r="85" customFormat="false" ht="17.9" hidden="false" customHeight="false" outlineLevel="0" collapsed="false">
      <c r="A85" s="20" t="s">
        <v>34</v>
      </c>
      <c r="B85" s="20" t="s">
        <v>45</v>
      </c>
      <c r="C85" s="20" t="str">
        <f aca="false">IF(الإجابات!$V$2=B85,"نعم","")</f>
        <v/>
      </c>
      <c r="D85" s="21" t="n">
        <f aca="false">COUNTIF(الإجابات!$V$3:$V$152,B85)/'تحليل الفقرات'!$B$2</f>
        <v>0.146666666666667</v>
      </c>
      <c r="E85" s="20" t="n">
        <f aca="false">COUNTIFS(الإجابات!$V$3:$V$152,B85,التصحيح!$AF$3:$AF$152,"&gt;="&amp;'تحليل الفقرات'!$B$5)</f>
        <v>3</v>
      </c>
      <c r="F85" s="20" t="n">
        <f aca="false">COUNTIFS(الإجابات!$V$3:$V$152,B85,التصحيح!$AF$3:$AF$152,"&lt;="&amp;'تحليل الفقرات'!$B$6)</f>
        <v>11</v>
      </c>
      <c r="G85" s="20" t="n">
        <f aca="false">E85-F85</f>
        <v>-8</v>
      </c>
      <c r="H85" s="20" t="str">
        <f aca="false">IF(C85="نعم",IF(G85&gt;0,"المفتاح يميّز كما يجب","المفتاح لا يميّز: راجِع"),IF(D85&lt;'تحليل الفقرات'!$B$17,"مموّه غير فعّال",IF(G85&gt;0,"مموّه يجذب المتفوقين: راجِعه","مموّه يعمل")))</f>
        <v>مموّه يعمل</v>
      </c>
    </row>
    <row r="86" customFormat="false" ht="17.9" hidden="false" customHeight="false" outlineLevel="0" collapsed="false">
      <c r="A86" s="15" t="s">
        <v>35</v>
      </c>
      <c r="B86" s="15" t="s">
        <v>48</v>
      </c>
      <c r="C86" s="15" t="str">
        <f aca="false">IF(الإجابات!$W$2=B86,"نعم","")</f>
        <v/>
      </c>
      <c r="D86" s="18" t="n">
        <f aca="false">COUNTIF(الإجابات!$W$3:$W$152,B86)/'تحليل الفقرات'!$B$2</f>
        <v>0.193333333333333</v>
      </c>
      <c r="E86" s="15" t="n">
        <f aca="false">COUNTIFS(الإجابات!$W$3:$W$152,B86,التصحيح!$AF$3:$AF$152,"&gt;="&amp;'تحليل الفقرات'!$B$5)</f>
        <v>3</v>
      </c>
      <c r="F86" s="15" t="n">
        <f aca="false">COUNTIFS(الإجابات!$W$3:$W$152,B86,التصحيح!$AF$3:$AF$152,"&lt;="&amp;'تحليل الفقرات'!$B$6)</f>
        <v>11</v>
      </c>
      <c r="G86" s="15" t="n">
        <f aca="false">E86-F86</f>
        <v>-8</v>
      </c>
      <c r="H86" s="15" t="str">
        <f aca="false">IF(C86="نعم",IF(G86&gt;0,"المفتاح يميّز كما يجب","المفتاح لا يميّز: راجِع"),IF(D86&lt;'تحليل الفقرات'!$B$17,"مموّه غير فعّال",IF(G86&gt;0,"مموّه يجذب المتفوقين: راجِعه","مموّه يعمل")))</f>
        <v>مموّه يعمل</v>
      </c>
    </row>
    <row r="87" customFormat="false" ht="17.9" hidden="false" customHeight="false" outlineLevel="0" collapsed="false">
      <c r="A87" s="15" t="s">
        <v>35</v>
      </c>
      <c r="B87" s="15" t="s">
        <v>47</v>
      </c>
      <c r="C87" s="15" t="str">
        <f aca="false">IF(الإجابات!$W$2=B87,"نعم","")</f>
        <v/>
      </c>
      <c r="D87" s="18" t="n">
        <f aca="false">COUNTIF(الإجابات!$W$3:$W$152,B87)/'تحليل الفقرات'!$B$2</f>
        <v>0.12</v>
      </c>
      <c r="E87" s="15" t="n">
        <f aca="false">COUNTIFS(الإجابات!$W$3:$W$152,B87,التصحيح!$AF$3:$AF$152,"&gt;="&amp;'تحليل الفقرات'!$B$5)</f>
        <v>0</v>
      </c>
      <c r="F87" s="15" t="n">
        <f aca="false">COUNTIFS(الإجابات!$W$3:$W$152,B87,التصحيح!$AF$3:$AF$152,"&lt;="&amp;'تحليل الفقرات'!$B$6)</f>
        <v>8</v>
      </c>
      <c r="G87" s="15" t="n">
        <f aca="false">E87-F87</f>
        <v>-8</v>
      </c>
      <c r="H87" s="15" t="str">
        <f aca="false">IF(C87="نعم",IF(G87&gt;0,"المفتاح يميّز كما يجب","المفتاح لا يميّز: راجِع"),IF(D87&lt;'تحليل الفقرات'!$B$17,"مموّه غير فعّال",IF(G87&gt;0,"مموّه يجذب المتفوقين: راجِعه","مموّه يعمل")))</f>
        <v>مموّه يعمل</v>
      </c>
    </row>
    <row r="88" customFormat="false" ht="17.9" hidden="false" customHeight="false" outlineLevel="0" collapsed="false">
      <c r="A88" s="15" t="s">
        <v>35</v>
      </c>
      <c r="B88" s="15" t="s">
        <v>46</v>
      </c>
      <c r="C88" s="15" t="str">
        <f aca="false">IF(الإجابات!$W$2=B88,"نعم","")</f>
        <v>نعم</v>
      </c>
      <c r="D88" s="18" t="n">
        <f aca="false">COUNTIF(الإجابات!$W$3:$W$152,B88)/'تحليل الفقرات'!$B$2</f>
        <v>0.493333333333333</v>
      </c>
      <c r="E88" s="15" t="n">
        <f aca="false">COUNTIFS(الإجابات!$W$3:$W$152,B88,التصحيح!$AF$3:$AF$152,"&gt;="&amp;'تحليل الفقرات'!$B$5)</f>
        <v>41</v>
      </c>
      <c r="F88" s="15" t="n">
        <f aca="false">COUNTIFS(الإجابات!$W$3:$W$152,B88,التصحيح!$AF$3:$AF$152,"&lt;="&amp;'تحليل الفقرات'!$B$6)</f>
        <v>6</v>
      </c>
      <c r="G88" s="15" t="n">
        <f aca="false">E88-F88</f>
        <v>35</v>
      </c>
      <c r="H88" s="15" t="str">
        <f aca="false">IF(C88="نعم",IF(G88&gt;0,"المفتاح يميّز كما يجب","المفتاح لا يميّز: راجِع"),IF(D88&lt;'تحليل الفقرات'!$B$17,"مموّه غير فعّال",IF(G88&gt;0,"مموّه يجذب المتفوقين: راجِعه","مموّه يعمل")))</f>
        <v>المفتاح يميّز كما يجب</v>
      </c>
    </row>
    <row r="89" customFormat="false" ht="17.9" hidden="false" customHeight="false" outlineLevel="0" collapsed="false">
      <c r="A89" s="20" t="s">
        <v>35</v>
      </c>
      <c r="B89" s="20" t="s">
        <v>45</v>
      </c>
      <c r="C89" s="20" t="str">
        <f aca="false">IF(الإجابات!$W$2=B89,"نعم","")</f>
        <v/>
      </c>
      <c r="D89" s="21" t="n">
        <f aca="false">COUNTIF(الإجابات!$W$3:$W$152,B89)/'تحليل الفقرات'!$B$2</f>
        <v>0.193333333333333</v>
      </c>
      <c r="E89" s="20" t="n">
        <f aca="false">COUNTIFS(الإجابات!$W$3:$W$152,B89,التصحيح!$AF$3:$AF$152,"&gt;="&amp;'تحليل الفقرات'!$B$5)</f>
        <v>1</v>
      </c>
      <c r="F89" s="20" t="n">
        <f aca="false">COUNTIFS(الإجابات!$W$3:$W$152,B89,التصحيح!$AF$3:$AF$152,"&lt;="&amp;'تحليل الفقرات'!$B$6)</f>
        <v>20</v>
      </c>
      <c r="G89" s="20" t="n">
        <f aca="false">E89-F89</f>
        <v>-19</v>
      </c>
      <c r="H89" s="20" t="str">
        <f aca="false">IF(C89="نعم",IF(G89&gt;0,"المفتاح يميّز كما يجب","المفتاح لا يميّز: راجِع"),IF(D89&lt;'تحليل الفقرات'!$B$17,"مموّه غير فعّال",IF(G89&gt;0,"مموّه يجذب المتفوقين: راجِعه","مموّه يعمل")))</f>
        <v>مموّه يعمل</v>
      </c>
    </row>
    <row r="90" customFormat="false" ht="17.9" hidden="false" customHeight="false" outlineLevel="0" collapsed="false">
      <c r="A90" s="15" t="s">
        <v>36</v>
      </c>
      <c r="B90" s="15" t="s">
        <v>48</v>
      </c>
      <c r="C90" s="15" t="str">
        <f aca="false">IF(الإجابات!$X$2=B90,"نعم","")</f>
        <v/>
      </c>
      <c r="D90" s="18" t="n">
        <f aca="false">COUNTIF(الإجابات!$X$3:$X$152,B90)/'تحليل الفقرات'!$B$2</f>
        <v>0.16</v>
      </c>
      <c r="E90" s="15" t="n">
        <f aca="false">COUNTIFS(الإجابات!$X$3:$X$152,B90,التصحيح!$AF$3:$AF$152,"&gt;="&amp;'تحليل الفقرات'!$B$5)</f>
        <v>2</v>
      </c>
      <c r="F90" s="15" t="n">
        <f aca="false">COUNTIFS(الإجابات!$X$3:$X$152,B90,التصحيح!$AF$3:$AF$152,"&lt;="&amp;'تحليل الفقرات'!$B$6)</f>
        <v>12</v>
      </c>
      <c r="G90" s="15" t="n">
        <f aca="false">E90-F90</f>
        <v>-10</v>
      </c>
      <c r="H90" s="15" t="str">
        <f aca="false">IF(C90="نعم",IF(G90&gt;0,"المفتاح يميّز كما يجب","المفتاح لا يميّز: راجِع"),IF(D90&lt;'تحليل الفقرات'!$B$17,"مموّه غير فعّال",IF(G90&gt;0,"مموّه يجذب المتفوقين: راجِعه","مموّه يعمل")))</f>
        <v>مموّه يعمل</v>
      </c>
    </row>
    <row r="91" customFormat="false" ht="17.9" hidden="false" customHeight="false" outlineLevel="0" collapsed="false">
      <c r="A91" s="15" t="s">
        <v>36</v>
      </c>
      <c r="B91" s="15" t="s">
        <v>47</v>
      </c>
      <c r="C91" s="15" t="str">
        <f aca="false">IF(الإجابات!$X$2=B91,"نعم","")</f>
        <v/>
      </c>
      <c r="D91" s="18" t="n">
        <f aca="false">COUNTIF(الإجابات!$X$3:$X$152,B91)/'تحليل الفقرات'!$B$2</f>
        <v>0.26</v>
      </c>
      <c r="E91" s="15" t="n">
        <f aca="false">COUNTIFS(الإجابات!$X$3:$X$152,B91,التصحيح!$AF$3:$AF$152,"&gt;="&amp;'تحليل الفقرات'!$B$5)</f>
        <v>1</v>
      </c>
      <c r="F91" s="15" t="n">
        <f aca="false">COUNTIFS(الإجابات!$X$3:$X$152,B91,التصحيح!$AF$3:$AF$152,"&lt;="&amp;'تحليل الفقرات'!$B$6)</f>
        <v>20</v>
      </c>
      <c r="G91" s="15" t="n">
        <f aca="false">E91-F91</f>
        <v>-19</v>
      </c>
      <c r="H91" s="15" t="str">
        <f aca="false">IF(C91="نعم",IF(G91&gt;0,"المفتاح يميّز كما يجب","المفتاح لا يميّز: راجِع"),IF(D91&lt;'تحليل الفقرات'!$B$17,"مموّه غير فعّال",IF(G91&gt;0,"مموّه يجذب المتفوقين: راجِعه","مموّه يعمل")))</f>
        <v>مموّه يعمل</v>
      </c>
    </row>
    <row r="92" customFormat="false" ht="17.9" hidden="false" customHeight="false" outlineLevel="0" collapsed="false">
      <c r="A92" s="15" t="s">
        <v>36</v>
      </c>
      <c r="B92" s="15" t="s">
        <v>46</v>
      </c>
      <c r="C92" s="15" t="str">
        <f aca="false">IF(الإجابات!$X$2=B92,"نعم","")</f>
        <v>نعم</v>
      </c>
      <c r="D92" s="18" t="n">
        <f aca="false">COUNTIF(الإجابات!$X$3:$X$152,B92)/'تحليل الفقرات'!$B$2</f>
        <v>0.58</v>
      </c>
      <c r="E92" s="15" t="n">
        <f aca="false">COUNTIFS(الإجابات!$X$3:$X$152,B92,التصحيح!$AF$3:$AF$152,"&gt;="&amp;'تحليل الفقرات'!$B$5)</f>
        <v>42</v>
      </c>
      <c r="F92" s="15" t="n">
        <f aca="false">COUNTIFS(الإجابات!$X$3:$X$152,B92,التصحيح!$AF$3:$AF$152,"&lt;="&amp;'تحليل الفقرات'!$B$6)</f>
        <v>13</v>
      </c>
      <c r="G92" s="15" t="n">
        <f aca="false">E92-F92</f>
        <v>29</v>
      </c>
      <c r="H92" s="15" t="str">
        <f aca="false">IF(C92="نعم",IF(G92&gt;0,"المفتاح يميّز كما يجب","المفتاح لا يميّز: راجِع"),IF(D92&lt;'تحليل الفقرات'!$B$17,"مموّه غير فعّال",IF(G92&gt;0,"مموّه يجذب المتفوقين: راجِعه","مموّه يعمل")))</f>
        <v>المفتاح يميّز كما يجب</v>
      </c>
    </row>
    <row r="93" customFormat="false" ht="17.9" hidden="false" customHeight="false" outlineLevel="0" collapsed="false">
      <c r="A93" s="20" t="s">
        <v>36</v>
      </c>
      <c r="B93" s="20" t="s">
        <v>45</v>
      </c>
      <c r="C93" s="20" t="str">
        <f aca="false">IF(الإجابات!$X$2=B93,"نعم","")</f>
        <v/>
      </c>
      <c r="D93" s="21" t="n">
        <f aca="false">COUNTIF(الإجابات!$X$3:$X$152,B93)/'تحليل الفقرات'!$B$2</f>
        <v>0</v>
      </c>
      <c r="E93" s="20" t="n">
        <f aca="false">COUNTIFS(الإجابات!$X$3:$X$152,B93,التصحيح!$AF$3:$AF$152,"&gt;="&amp;'تحليل الفقرات'!$B$5)</f>
        <v>0</v>
      </c>
      <c r="F93" s="20" t="n">
        <f aca="false">COUNTIFS(الإجابات!$X$3:$X$152,B93,التصحيح!$AF$3:$AF$152,"&lt;="&amp;'تحليل الفقرات'!$B$6)</f>
        <v>0</v>
      </c>
      <c r="G93" s="20" t="n">
        <f aca="false">E93-F93</f>
        <v>0</v>
      </c>
      <c r="H93" s="20" t="str">
        <f aca="false">IF(C93="نعم",IF(G93&gt;0,"المفتاح يميّز كما يجب","المفتاح لا يميّز: راجِع"),IF(D93&lt;'تحليل الفقرات'!$B$17,"مموّه غير فعّال",IF(G93&gt;0,"مموّه يجذب المتفوقين: راجِعه","مموّه يعمل")))</f>
        <v>مموّه غير فعّال</v>
      </c>
    </row>
    <row r="94" customFormat="false" ht="17.9" hidden="false" customHeight="false" outlineLevel="0" collapsed="false">
      <c r="A94" s="15" t="s">
        <v>37</v>
      </c>
      <c r="B94" s="15" t="s">
        <v>48</v>
      </c>
      <c r="C94" s="15" t="str">
        <f aca="false">IF(الإجابات!$Y$2=B94,"نعم","")</f>
        <v/>
      </c>
      <c r="D94" s="18" t="n">
        <f aca="false">COUNTIF(الإجابات!$Y$3:$Y$152,B94)/'تحليل الفقرات'!$B$2</f>
        <v>0.2</v>
      </c>
      <c r="E94" s="15" t="n">
        <f aca="false">COUNTIFS(الإجابات!$Y$3:$Y$152,B94,التصحيح!$AF$3:$AF$152,"&gt;="&amp;'تحليل الفقرات'!$B$5)</f>
        <v>1</v>
      </c>
      <c r="F94" s="15" t="n">
        <f aca="false">COUNTIFS(الإجابات!$Y$3:$Y$152,B94,التصحيح!$AF$3:$AF$152,"&lt;="&amp;'تحليل الفقرات'!$B$6)</f>
        <v>13</v>
      </c>
      <c r="G94" s="15" t="n">
        <f aca="false">E94-F94</f>
        <v>-12</v>
      </c>
      <c r="H94" s="15" t="str">
        <f aca="false">IF(C94="نعم",IF(G94&gt;0,"المفتاح يميّز كما يجب","المفتاح لا يميّز: راجِع"),IF(D94&lt;'تحليل الفقرات'!$B$17,"مموّه غير فعّال",IF(G94&gt;0,"مموّه يجذب المتفوقين: راجِعه","مموّه يعمل")))</f>
        <v>مموّه يعمل</v>
      </c>
    </row>
    <row r="95" customFormat="false" ht="17.9" hidden="false" customHeight="false" outlineLevel="0" collapsed="false">
      <c r="A95" s="15" t="s">
        <v>37</v>
      </c>
      <c r="B95" s="15" t="s">
        <v>47</v>
      </c>
      <c r="C95" s="15" t="str">
        <f aca="false">IF(الإجابات!$Y$2=B95,"نعم","")</f>
        <v>نعم</v>
      </c>
      <c r="D95" s="18" t="n">
        <f aca="false">COUNTIF(الإجابات!$Y$3:$Y$152,B95)/'تحليل الفقرات'!$B$2</f>
        <v>0.486666666666667</v>
      </c>
      <c r="E95" s="15" t="n">
        <f aca="false">COUNTIFS(الإجابات!$Y$3:$Y$152,B95,التصحيح!$AF$3:$AF$152,"&gt;="&amp;'تحليل الفقرات'!$B$5)</f>
        <v>43</v>
      </c>
      <c r="F95" s="15" t="n">
        <f aca="false">COUNTIFS(الإجابات!$Y$3:$Y$152,B95,التصحيح!$AF$3:$AF$152,"&lt;="&amp;'تحليل الفقرات'!$B$6)</f>
        <v>10</v>
      </c>
      <c r="G95" s="15" t="n">
        <f aca="false">E95-F95</f>
        <v>33</v>
      </c>
      <c r="H95" s="15" t="str">
        <f aca="false">IF(C95="نعم",IF(G95&gt;0,"المفتاح يميّز كما يجب","المفتاح لا يميّز: راجِع"),IF(D95&lt;'تحليل الفقرات'!$B$17,"مموّه غير فعّال",IF(G95&gt;0,"مموّه يجذب المتفوقين: راجِعه","مموّه يعمل")))</f>
        <v>المفتاح يميّز كما يجب</v>
      </c>
    </row>
    <row r="96" customFormat="false" ht="17.9" hidden="false" customHeight="false" outlineLevel="0" collapsed="false">
      <c r="A96" s="15" t="s">
        <v>37</v>
      </c>
      <c r="B96" s="15" t="s">
        <v>46</v>
      </c>
      <c r="C96" s="15" t="str">
        <f aca="false">IF(الإجابات!$Y$2=B96,"نعم","")</f>
        <v/>
      </c>
      <c r="D96" s="18" t="n">
        <f aca="false">COUNTIF(الإجابات!$Y$3:$Y$152,B96)/'تحليل الفقرات'!$B$2</f>
        <v>0.206666666666667</v>
      </c>
      <c r="E96" s="15" t="n">
        <f aca="false">COUNTIFS(الإجابات!$Y$3:$Y$152,B96,التصحيح!$AF$3:$AF$152,"&gt;="&amp;'تحليل الفقرات'!$B$5)</f>
        <v>1</v>
      </c>
      <c r="F96" s="15" t="n">
        <f aca="false">COUNTIFS(الإجابات!$Y$3:$Y$152,B96,التصحيح!$AF$3:$AF$152,"&lt;="&amp;'تحليل الفقرات'!$B$6)</f>
        <v>15</v>
      </c>
      <c r="G96" s="15" t="n">
        <f aca="false">E96-F96</f>
        <v>-14</v>
      </c>
      <c r="H96" s="15" t="str">
        <f aca="false">IF(C96="نعم",IF(G96&gt;0,"المفتاح يميّز كما يجب","المفتاح لا يميّز: راجِع"),IF(D96&lt;'تحليل الفقرات'!$B$17,"مموّه غير فعّال",IF(G96&gt;0,"مموّه يجذب المتفوقين: راجِعه","مموّه يعمل")))</f>
        <v>مموّه يعمل</v>
      </c>
    </row>
    <row r="97" customFormat="false" ht="17.9" hidden="false" customHeight="false" outlineLevel="0" collapsed="false">
      <c r="A97" s="20" t="s">
        <v>37</v>
      </c>
      <c r="B97" s="20" t="s">
        <v>45</v>
      </c>
      <c r="C97" s="20" t="str">
        <f aca="false">IF(الإجابات!$Y$2=B97,"نعم","")</f>
        <v/>
      </c>
      <c r="D97" s="21" t="n">
        <f aca="false">COUNTIF(الإجابات!$Y$3:$Y$152,B97)/'تحليل الفقرات'!$B$2</f>
        <v>0.106666666666667</v>
      </c>
      <c r="E97" s="20" t="n">
        <f aca="false">COUNTIFS(الإجابات!$Y$3:$Y$152,B97,التصحيح!$AF$3:$AF$152,"&gt;="&amp;'تحليل الفقرات'!$B$5)</f>
        <v>0</v>
      </c>
      <c r="F97" s="20" t="n">
        <f aca="false">COUNTIFS(الإجابات!$Y$3:$Y$152,B97,التصحيح!$AF$3:$AF$152,"&lt;="&amp;'تحليل الفقرات'!$B$6)</f>
        <v>7</v>
      </c>
      <c r="G97" s="20" t="n">
        <f aca="false">E97-F97</f>
        <v>-7</v>
      </c>
      <c r="H97" s="20" t="str">
        <f aca="false">IF(C97="نعم",IF(G97&gt;0,"المفتاح يميّز كما يجب","المفتاح لا يميّز: راجِع"),IF(D97&lt;'تحليل الفقرات'!$B$17,"مموّه غير فعّال",IF(G97&gt;0,"مموّه يجذب المتفوقين: راجِعه","مموّه يعمل")))</f>
        <v>مموّه يعمل</v>
      </c>
    </row>
    <row r="98" customFormat="false" ht="17.9" hidden="false" customHeight="false" outlineLevel="0" collapsed="false">
      <c r="A98" s="15" t="s">
        <v>38</v>
      </c>
      <c r="B98" s="15" t="s">
        <v>48</v>
      </c>
      <c r="C98" s="15" t="str">
        <f aca="false">IF(الإجابات!$Z$2=B98,"نعم","")</f>
        <v/>
      </c>
      <c r="D98" s="18" t="n">
        <f aca="false">COUNTIF(الإجابات!$Z$3:$Z$152,B98)/'تحليل الفقرات'!$B$2</f>
        <v>0.0933333333333333</v>
      </c>
      <c r="E98" s="15" t="n">
        <f aca="false">COUNTIFS(الإجابات!$Z$3:$Z$152,B98,التصحيح!$AF$3:$AF$152,"&gt;="&amp;'تحليل الفقرات'!$B$5)</f>
        <v>1</v>
      </c>
      <c r="F98" s="15" t="n">
        <f aca="false">COUNTIFS(الإجابات!$Z$3:$Z$152,B98,التصحيح!$AF$3:$AF$152,"&lt;="&amp;'تحليل الفقرات'!$B$6)</f>
        <v>10</v>
      </c>
      <c r="G98" s="15" t="n">
        <f aca="false">E98-F98</f>
        <v>-9</v>
      </c>
      <c r="H98" s="15" t="str">
        <f aca="false">IF(C98="نعم",IF(G98&gt;0,"المفتاح يميّز كما يجب","المفتاح لا يميّز: راجِع"),IF(D98&lt;'تحليل الفقرات'!$B$17,"مموّه غير فعّال",IF(G98&gt;0,"مموّه يجذب المتفوقين: راجِعه","مموّه يعمل")))</f>
        <v>مموّه يعمل</v>
      </c>
    </row>
    <row r="99" customFormat="false" ht="17.9" hidden="false" customHeight="false" outlineLevel="0" collapsed="false">
      <c r="A99" s="15" t="s">
        <v>38</v>
      </c>
      <c r="B99" s="15" t="s">
        <v>47</v>
      </c>
      <c r="C99" s="15" t="str">
        <f aca="false">IF(الإجابات!$Z$2=B99,"نعم","")</f>
        <v/>
      </c>
      <c r="D99" s="18" t="n">
        <f aca="false">COUNTIF(الإجابات!$Z$3:$Z$152,B99)/'تحليل الفقرات'!$B$2</f>
        <v>0.186666666666667</v>
      </c>
      <c r="E99" s="15" t="n">
        <f aca="false">COUNTIFS(الإجابات!$Z$3:$Z$152,B99,التصحيح!$AF$3:$AF$152,"&gt;="&amp;'تحليل الفقرات'!$B$5)</f>
        <v>2</v>
      </c>
      <c r="F99" s="15" t="n">
        <f aca="false">COUNTIFS(الإجابات!$Z$3:$Z$152,B99,التصحيح!$AF$3:$AF$152,"&lt;="&amp;'تحليل الفقرات'!$B$6)</f>
        <v>13</v>
      </c>
      <c r="G99" s="15" t="n">
        <f aca="false">E99-F99</f>
        <v>-11</v>
      </c>
      <c r="H99" s="15" t="str">
        <f aca="false">IF(C99="نعم",IF(G99&gt;0,"المفتاح يميّز كما يجب","المفتاح لا يميّز: راجِع"),IF(D99&lt;'تحليل الفقرات'!$B$17,"مموّه غير فعّال",IF(G99&gt;0,"مموّه يجذب المتفوقين: راجِعه","مموّه يعمل")))</f>
        <v>مموّه يعمل</v>
      </c>
    </row>
    <row r="100" customFormat="false" ht="17.9" hidden="false" customHeight="false" outlineLevel="0" collapsed="false">
      <c r="A100" s="15" t="s">
        <v>38</v>
      </c>
      <c r="B100" s="15" t="s">
        <v>46</v>
      </c>
      <c r="C100" s="15" t="str">
        <f aca="false">IF(الإجابات!$Z$2=B100,"نعم","")</f>
        <v>نعم</v>
      </c>
      <c r="D100" s="18" t="n">
        <f aca="false">COUNTIF(الإجابات!$Z$3:$Z$152,B100)/'تحليل الفقرات'!$B$2</f>
        <v>0.553333333333333</v>
      </c>
      <c r="E100" s="15" t="n">
        <f aca="false">COUNTIFS(الإجابات!$Z$3:$Z$152,B100,التصحيح!$AF$3:$AF$152,"&gt;="&amp;'تحليل الفقرات'!$B$5)</f>
        <v>40</v>
      </c>
      <c r="F100" s="15" t="n">
        <f aca="false">COUNTIFS(الإجابات!$Z$3:$Z$152,B100,التصحيح!$AF$3:$AF$152,"&lt;="&amp;'تحليل الفقرات'!$B$6)</f>
        <v>9</v>
      </c>
      <c r="G100" s="15" t="n">
        <f aca="false">E100-F100</f>
        <v>31</v>
      </c>
      <c r="H100" s="15" t="str">
        <f aca="false">IF(C100="نعم",IF(G100&gt;0,"المفتاح يميّز كما يجب","المفتاح لا يميّز: راجِع"),IF(D100&lt;'تحليل الفقرات'!$B$17,"مموّه غير فعّال",IF(G100&gt;0,"مموّه يجذب المتفوقين: راجِعه","مموّه يعمل")))</f>
        <v>المفتاح يميّز كما يجب</v>
      </c>
    </row>
    <row r="101" customFormat="false" ht="17.9" hidden="false" customHeight="false" outlineLevel="0" collapsed="false">
      <c r="A101" s="20" t="s">
        <v>38</v>
      </c>
      <c r="B101" s="20" t="s">
        <v>45</v>
      </c>
      <c r="C101" s="20" t="str">
        <f aca="false">IF(الإجابات!$Z$2=B101,"نعم","")</f>
        <v/>
      </c>
      <c r="D101" s="21" t="n">
        <f aca="false">COUNTIF(الإجابات!$Z$3:$Z$152,B101)/'تحليل الفقرات'!$B$2</f>
        <v>0.166666666666667</v>
      </c>
      <c r="E101" s="20" t="n">
        <f aca="false">COUNTIFS(الإجابات!$Z$3:$Z$152,B101,التصحيح!$AF$3:$AF$152,"&gt;="&amp;'تحليل الفقرات'!$B$5)</f>
        <v>2</v>
      </c>
      <c r="F101" s="20" t="n">
        <f aca="false">COUNTIFS(الإجابات!$Z$3:$Z$152,B101,التصحيح!$AF$3:$AF$152,"&lt;="&amp;'تحليل الفقرات'!$B$6)</f>
        <v>13</v>
      </c>
      <c r="G101" s="20" t="n">
        <f aca="false">E101-F101</f>
        <v>-11</v>
      </c>
      <c r="H101" s="20" t="str">
        <f aca="false">IF(C101="نعم",IF(G101&gt;0,"المفتاح يميّز كما يجب","المفتاح لا يميّز: راجِع"),IF(D101&lt;'تحليل الفقرات'!$B$17,"مموّه غير فعّال",IF(G101&gt;0,"مموّه يجذب المتفوقين: راجِعه","مموّه يعمل")))</f>
        <v>مموّه يعمل</v>
      </c>
    </row>
    <row r="102" customFormat="false" ht="17.9" hidden="false" customHeight="false" outlineLevel="0" collapsed="false">
      <c r="A102" s="15" t="s">
        <v>39</v>
      </c>
      <c r="B102" s="15" t="s">
        <v>48</v>
      </c>
      <c r="C102" s="15" t="str">
        <f aca="false">IF(الإجابات!$AA$2=B102,"نعم","")</f>
        <v/>
      </c>
      <c r="D102" s="18" t="n">
        <f aca="false">COUNTIF(الإجابات!$AA$3:$AA$152,B102)/'تحليل الفقرات'!$B$2</f>
        <v>0.266666666666667</v>
      </c>
      <c r="E102" s="15" t="n">
        <f aca="false">COUNTIFS(الإجابات!$AA$3:$AA$152,B102,التصحيح!$AF$3:$AF$152,"&gt;="&amp;'تحليل الفقرات'!$B$5)</f>
        <v>5</v>
      </c>
      <c r="F102" s="15" t="n">
        <f aca="false">COUNTIFS(الإجابات!$AA$3:$AA$152,B102,التصحيح!$AF$3:$AF$152,"&lt;="&amp;'تحليل الفقرات'!$B$6)</f>
        <v>19</v>
      </c>
      <c r="G102" s="15" t="n">
        <f aca="false">E102-F102</f>
        <v>-14</v>
      </c>
      <c r="H102" s="15" t="str">
        <f aca="false">IF(C102="نعم",IF(G102&gt;0,"المفتاح يميّز كما يجب","المفتاح لا يميّز: راجِع"),IF(D102&lt;'تحليل الفقرات'!$B$17,"مموّه غير فعّال",IF(G102&gt;0,"مموّه يجذب المتفوقين: راجِعه","مموّه يعمل")))</f>
        <v>مموّه يعمل</v>
      </c>
    </row>
    <row r="103" customFormat="false" ht="17.9" hidden="false" customHeight="false" outlineLevel="0" collapsed="false">
      <c r="A103" s="15" t="s">
        <v>39</v>
      </c>
      <c r="B103" s="15" t="s">
        <v>47</v>
      </c>
      <c r="C103" s="15" t="str">
        <f aca="false">IF(الإجابات!$AA$2=B103,"نعم","")</f>
        <v>نعم</v>
      </c>
      <c r="D103" s="18" t="n">
        <f aca="false">COUNTIF(الإجابات!$AA$3:$AA$152,B103)/'تحليل الفقرات'!$B$2</f>
        <v>0.413333333333333</v>
      </c>
      <c r="E103" s="15" t="n">
        <f aca="false">COUNTIFS(الإجابات!$AA$3:$AA$152,B103,التصحيح!$AF$3:$AF$152,"&gt;="&amp;'تحليل الفقرات'!$B$5)</f>
        <v>36</v>
      </c>
      <c r="F103" s="15" t="n">
        <f aca="false">COUNTIFS(الإجابات!$AA$3:$AA$152,B103,التصحيح!$AF$3:$AF$152,"&lt;="&amp;'تحليل الفقرات'!$B$6)</f>
        <v>5</v>
      </c>
      <c r="G103" s="15" t="n">
        <f aca="false">E103-F103</f>
        <v>31</v>
      </c>
      <c r="H103" s="15" t="str">
        <f aca="false">IF(C103="نعم",IF(G103&gt;0,"المفتاح يميّز كما يجب","المفتاح لا يميّز: راجِع"),IF(D103&lt;'تحليل الفقرات'!$B$17,"مموّه غير فعّال",IF(G103&gt;0,"مموّه يجذب المتفوقين: راجِعه","مموّه يعمل")))</f>
        <v>المفتاح يميّز كما يجب</v>
      </c>
    </row>
    <row r="104" customFormat="false" ht="17.9" hidden="false" customHeight="false" outlineLevel="0" collapsed="false">
      <c r="A104" s="15" t="s">
        <v>39</v>
      </c>
      <c r="B104" s="15" t="s">
        <v>46</v>
      </c>
      <c r="C104" s="15" t="str">
        <f aca="false">IF(الإجابات!$AA$2=B104,"نعم","")</f>
        <v/>
      </c>
      <c r="D104" s="18" t="n">
        <f aca="false">COUNTIF(الإجابات!$AA$3:$AA$152,B104)/'تحليل الفقرات'!$B$2</f>
        <v>0.2</v>
      </c>
      <c r="E104" s="15" t="n">
        <f aca="false">COUNTIFS(الإجابات!$AA$3:$AA$152,B104,التصحيح!$AF$3:$AF$152,"&gt;="&amp;'تحليل الفقرات'!$B$5)</f>
        <v>2</v>
      </c>
      <c r="F104" s="15" t="n">
        <f aca="false">COUNTIFS(الإجابات!$AA$3:$AA$152,B104,التصحيح!$AF$3:$AF$152,"&lt;="&amp;'تحليل الفقرات'!$B$6)</f>
        <v>13</v>
      </c>
      <c r="G104" s="15" t="n">
        <f aca="false">E104-F104</f>
        <v>-11</v>
      </c>
      <c r="H104" s="15" t="str">
        <f aca="false">IF(C104="نعم",IF(G104&gt;0,"المفتاح يميّز كما يجب","المفتاح لا يميّز: راجِع"),IF(D104&lt;'تحليل الفقرات'!$B$17,"مموّه غير فعّال",IF(G104&gt;0,"مموّه يجذب المتفوقين: راجِعه","مموّه يعمل")))</f>
        <v>مموّه يعمل</v>
      </c>
    </row>
    <row r="105" customFormat="false" ht="17.9" hidden="false" customHeight="false" outlineLevel="0" collapsed="false">
      <c r="A105" s="20" t="s">
        <v>39</v>
      </c>
      <c r="B105" s="20" t="s">
        <v>45</v>
      </c>
      <c r="C105" s="20" t="str">
        <f aca="false">IF(الإجابات!$AA$2=B105,"نعم","")</f>
        <v/>
      </c>
      <c r="D105" s="21" t="n">
        <f aca="false">COUNTIF(الإجابات!$AA$3:$AA$152,B105)/'تحليل الفقرات'!$B$2</f>
        <v>0.12</v>
      </c>
      <c r="E105" s="20" t="n">
        <f aca="false">COUNTIFS(الإجابات!$AA$3:$AA$152,B105,التصحيح!$AF$3:$AF$152,"&gt;="&amp;'تحليل الفقرات'!$B$5)</f>
        <v>2</v>
      </c>
      <c r="F105" s="20" t="n">
        <f aca="false">COUNTIFS(الإجابات!$AA$3:$AA$152,B105,التصحيح!$AF$3:$AF$152,"&lt;="&amp;'تحليل الفقرات'!$B$6)</f>
        <v>8</v>
      </c>
      <c r="G105" s="20" t="n">
        <f aca="false">E105-F105</f>
        <v>-6</v>
      </c>
      <c r="H105" s="20" t="str">
        <f aca="false">IF(C105="نعم",IF(G105&gt;0,"المفتاح يميّز كما يجب","المفتاح لا يميّز: راجِع"),IF(D105&lt;'تحليل الفقرات'!$B$17,"مموّه غير فعّال",IF(G105&gt;0,"مموّه يجذب المتفوقين: راجِعه","مموّه يعمل")))</f>
        <v>مموّه يعمل</v>
      </c>
    </row>
    <row r="106" customFormat="false" ht="17.9" hidden="false" customHeight="false" outlineLevel="0" collapsed="false">
      <c r="A106" s="15" t="s">
        <v>40</v>
      </c>
      <c r="B106" s="15" t="s">
        <v>48</v>
      </c>
      <c r="C106" s="15" t="str">
        <f aca="false">IF(الإجابات!$AB$2=B106,"نعم","")</f>
        <v/>
      </c>
      <c r="D106" s="18" t="n">
        <f aca="false">COUNTIF(الإجابات!$AB$3:$AB$152,B106)/'تحليل الفقرات'!$B$2</f>
        <v>0.113333333333333</v>
      </c>
      <c r="E106" s="15" t="n">
        <f aca="false">COUNTIFS(الإجابات!$AB$3:$AB$152,B106,التصحيح!$AF$3:$AF$152,"&gt;="&amp;'تحليل الفقرات'!$B$5)</f>
        <v>4</v>
      </c>
      <c r="F106" s="15" t="n">
        <f aca="false">COUNTIFS(الإجابات!$AB$3:$AB$152,B106,التصحيح!$AF$3:$AF$152,"&lt;="&amp;'تحليل الفقرات'!$B$6)</f>
        <v>6</v>
      </c>
      <c r="G106" s="15" t="n">
        <f aca="false">E106-F106</f>
        <v>-2</v>
      </c>
      <c r="H106" s="15" t="str">
        <f aca="false">IF(C106="نعم",IF(G106&gt;0,"المفتاح يميّز كما يجب","المفتاح لا يميّز: راجِع"),IF(D106&lt;'تحليل الفقرات'!$B$17,"مموّه غير فعّال",IF(G106&gt;0,"مموّه يجذب المتفوقين: راجِعه","مموّه يعمل")))</f>
        <v>مموّه يعمل</v>
      </c>
    </row>
    <row r="107" customFormat="false" ht="17.9" hidden="false" customHeight="false" outlineLevel="0" collapsed="false">
      <c r="A107" s="15" t="s">
        <v>40</v>
      </c>
      <c r="B107" s="15" t="s">
        <v>47</v>
      </c>
      <c r="C107" s="15" t="str">
        <f aca="false">IF(الإجابات!$AB$2=B107,"نعم","")</f>
        <v>نعم</v>
      </c>
      <c r="D107" s="18" t="n">
        <f aca="false">COUNTIF(الإجابات!$AB$3:$AB$152,B107)/'تحليل الفقرات'!$B$2</f>
        <v>0.493333333333333</v>
      </c>
      <c r="E107" s="15" t="n">
        <f aca="false">COUNTIFS(الإجابات!$AB$3:$AB$152,B107,التصحيح!$AF$3:$AF$152,"&gt;="&amp;'تحليل الفقرات'!$B$5)</f>
        <v>21</v>
      </c>
      <c r="F107" s="15" t="n">
        <f aca="false">COUNTIFS(الإجابات!$AB$3:$AB$152,B107,التصحيح!$AF$3:$AF$152,"&lt;="&amp;'تحليل الفقرات'!$B$6)</f>
        <v>21</v>
      </c>
      <c r="G107" s="15" t="n">
        <f aca="false">E107-F107</f>
        <v>0</v>
      </c>
      <c r="H107" s="15" t="str">
        <f aca="false">IF(C107="نعم",IF(G107&gt;0,"المفتاح يميّز كما يجب","المفتاح لا يميّز: راجِع"),IF(D107&lt;'تحليل الفقرات'!$B$17,"مموّه غير فعّال",IF(G107&gt;0,"مموّه يجذب المتفوقين: راجِعه","مموّه يعمل")))</f>
        <v>المفتاح لا يميّز: راجِع</v>
      </c>
    </row>
    <row r="108" customFormat="false" ht="17.9" hidden="false" customHeight="false" outlineLevel="0" collapsed="false">
      <c r="A108" s="15" t="s">
        <v>40</v>
      </c>
      <c r="B108" s="15" t="s">
        <v>46</v>
      </c>
      <c r="C108" s="15" t="str">
        <f aca="false">IF(الإجابات!$AB$2=B108,"نعم","")</f>
        <v/>
      </c>
      <c r="D108" s="18" t="n">
        <f aca="false">COUNTIF(الإجابات!$AB$3:$AB$152,B108)/'تحليل الفقرات'!$B$2</f>
        <v>0.246666666666667</v>
      </c>
      <c r="E108" s="15" t="n">
        <f aca="false">COUNTIFS(الإجابات!$AB$3:$AB$152,B108,التصحيح!$AF$3:$AF$152,"&gt;="&amp;'تحليل الفقرات'!$B$5)</f>
        <v>15</v>
      </c>
      <c r="F108" s="15" t="n">
        <f aca="false">COUNTIFS(الإجابات!$AB$3:$AB$152,B108,التصحيح!$AF$3:$AF$152,"&lt;="&amp;'تحليل الفقرات'!$B$6)</f>
        <v>9</v>
      </c>
      <c r="G108" s="15" t="n">
        <f aca="false">E108-F108</f>
        <v>6</v>
      </c>
      <c r="H108" s="15" t="str">
        <f aca="false">IF(C108="نعم",IF(G108&gt;0,"المفتاح يميّز كما يجب","المفتاح لا يميّز: راجِع"),IF(D108&lt;'تحليل الفقرات'!$B$17,"مموّه غير فعّال",IF(G108&gt;0,"مموّه يجذب المتفوقين: راجِعه","مموّه يعمل")))</f>
        <v>مموّه يجذب المتفوقين: راجِعه</v>
      </c>
    </row>
    <row r="109" customFormat="false" ht="17.9" hidden="false" customHeight="false" outlineLevel="0" collapsed="false">
      <c r="A109" s="20" t="s">
        <v>40</v>
      </c>
      <c r="B109" s="20" t="s">
        <v>45</v>
      </c>
      <c r="C109" s="20" t="str">
        <f aca="false">IF(الإجابات!$AB$2=B109,"نعم","")</f>
        <v/>
      </c>
      <c r="D109" s="21" t="n">
        <f aca="false">COUNTIF(الإجابات!$AB$3:$AB$152,B109)/'تحليل الفقرات'!$B$2</f>
        <v>0.146666666666667</v>
      </c>
      <c r="E109" s="20" t="n">
        <f aca="false">COUNTIFS(الإجابات!$AB$3:$AB$152,B109,التصحيح!$AF$3:$AF$152,"&gt;="&amp;'تحليل الفقرات'!$B$5)</f>
        <v>5</v>
      </c>
      <c r="F109" s="20" t="n">
        <f aca="false">COUNTIFS(الإجابات!$AB$3:$AB$152,B109,التصحيح!$AF$3:$AF$152,"&lt;="&amp;'تحليل الفقرات'!$B$6)</f>
        <v>9</v>
      </c>
      <c r="G109" s="20" t="n">
        <f aca="false">E109-F109</f>
        <v>-4</v>
      </c>
      <c r="H109" s="20" t="str">
        <f aca="false">IF(C109="نعم",IF(G109&gt;0,"المفتاح يميّز كما يجب","المفتاح لا يميّز: راجِع"),IF(D109&lt;'تحليل الفقرات'!$B$17,"مموّه غير فعّال",IF(G109&gt;0,"مموّه يجذب المتفوقين: راجِعه","مموّه يعمل")))</f>
        <v>مموّه يعمل</v>
      </c>
    </row>
    <row r="110" customFormat="false" ht="17.9" hidden="false" customHeight="false" outlineLevel="0" collapsed="false">
      <c r="A110" s="15" t="s">
        <v>41</v>
      </c>
      <c r="B110" s="15" t="s">
        <v>48</v>
      </c>
      <c r="C110" s="15" t="str">
        <f aca="false">IF(الإجابات!$AC$2=B110,"نعم","")</f>
        <v/>
      </c>
      <c r="D110" s="18" t="n">
        <f aca="false">COUNTIF(الإجابات!$AC$3:$AC$152,B110)/'تحليل الفقرات'!$B$2</f>
        <v>0.133333333333333</v>
      </c>
      <c r="E110" s="15" t="n">
        <f aca="false">COUNTIFS(الإجابات!$AC$3:$AC$152,B110,التصحيح!$AF$3:$AF$152,"&gt;="&amp;'تحليل الفقرات'!$B$5)</f>
        <v>3</v>
      </c>
      <c r="F110" s="15" t="n">
        <f aca="false">COUNTIFS(الإجابات!$AC$3:$AC$152,B110,التصحيح!$AF$3:$AF$152,"&lt;="&amp;'تحليل الفقرات'!$B$6)</f>
        <v>7</v>
      </c>
      <c r="G110" s="15" t="n">
        <f aca="false">E110-F110</f>
        <v>-4</v>
      </c>
      <c r="H110" s="15" t="str">
        <f aca="false">IF(C110="نعم",IF(G110&gt;0,"المفتاح يميّز كما يجب","المفتاح لا يميّز: راجِع"),IF(D110&lt;'تحليل الفقرات'!$B$17,"مموّه غير فعّال",IF(G110&gt;0,"مموّه يجذب المتفوقين: راجِعه","مموّه يعمل")))</f>
        <v>مموّه يعمل</v>
      </c>
    </row>
    <row r="111" customFormat="false" ht="17.9" hidden="false" customHeight="false" outlineLevel="0" collapsed="false">
      <c r="A111" s="15" t="s">
        <v>41</v>
      </c>
      <c r="B111" s="15" t="s">
        <v>47</v>
      </c>
      <c r="C111" s="15" t="str">
        <f aca="false">IF(الإجابات!$AC$2=B111,"نعم","")</f>
        <v>نعم</v>
      </c>
      <c r="D111" s="18" t="n">
        <f aca="false">COUNTIF(الإجابات!$AC$3:$AC$152,B111)/'تحليل الفقرات'!$B$2</f>
        <v>0.513333333333333</v>
      </c>
      <c r="E111" s="15" t="n">
        <f aca="false">COUNTIFS(الإجابات!$AC$3:$AC$152,B111,التصحيح!$AF$3:$AF$152,"&gt;="&amp;'تحليل الفقرات'!$B$5)</f>
        <v>38</v>
      </c>
      <c r="F111" s="15" t="n">
        <f aca="false">COUNTIFS(الإجابات!$AC$3:$AC$152,B111,التصحيح!$AF$3:$AF$152,"&lt;="&amp;'تحليل الفقرات'!$B$6)</f>
        <v>10</v>
      </c>
      <c r="G111" s="15" t="n">
        <f aca="false">E111-F111</f>
        <v>28</v>
      </c>
      <c r="H111" s="15" t="str">
        <f aca="false">IF(C111="نعم",IF(G111&gt;0,"المفتاح يميّز كما يجب","المفتاح لا يميّز: راجِع"),IF(D111&lt;'تحليل الفقرات'!$B$17,"مموّه غير فعّال",IF(G111&gt;0,"مموّه يجذب المتفوقين: راجِعه","مموّه يعمل")))</f>
        <v>المفتاح يميّز كما يجب</v>
      </c>
    </row>
    <row r="112" customFormat="false" ht="17.9" hidden="false" customHeight="false" outlineLevel="0" collapsed="false">
      <c r="A112" s="15" t="s">
        <v>41</v>
      </c>
      <c r="B112" s="15" t="s">
        <v>46</v>
      </c>
      <c r="C112" s="15" t="str">
        <f aca="false">IF(الإجابات!$AC$2=B112,"نعم","")</f>
        <v/>
      </c>
      <c r="D112" s="18" t="n">
        <f aca="false">COUNTIF(الإجابات!$AC$3:$AC$152,B112)/'تحليل الفقرات'!$B$2</f>
        <v>0.193333333333333</v>
      </c>
      <c r="E112" s="15" t="n">
        <f aca="false">COUNTIFS(الإجابات!$AC$3:$AC$152,B112,التصحيح!$AF$3:$AF$152,"&gt;="&amp;'تحليل الفقرات'!$B$5)</f>
        <v>2</v>
      </c>
      <c r="F112" s="15" t="n">
        <f aca="false">COUNTIFS(الإجابات!$AC$3:$AC$152,B112,التصحيح!$AF$3:$AF$152,"&lt;="&amp;'تحليل الفقرات'!$B$6)</f>
        <v>19</v>
      </c>
      <c r="G112" s="15" t="n">
        <f aca="false">E112-F112</f>
        <v>-17</v>
      </c>
      <c r="H112" s="15" t="str">
        <f aca="false">IF(C112="نعم",IF(G112&gt;0,"المفتاح يميّز كما يجب","المفتاح لا يميّز: راجِع"),IF(D112&lt;'تحليل الفقرات'!$B$17,"مموّه غير فعّال",IF(G112&gt;0,"مموّه يجذب المتفوقين: راجِعه","مموّه يعمل")))</f>
        <v>مموّه يعمل</v>
      </c>
    </row>
    <row r="113" customFormat="false" ht="17.9" hidden="false" customHeight="false" outlineLevel="0" collapsed="false">
      <c r="A113" s="20" t="s">
        <v>41</v>
      </c>
      <c r="B113" s="20" t="s">
        <v>45</v>
      </c>
      <c r="C113" s="20" t="str">
        <f aca="false">IF(الإجابات!$AC$2=B113,"نعم","")</f>
        <v/>
      </c>
      <c r="D113" s="21" t="n">
        <f aca="false">COUNTIF(الإجابات!$AC$3:$AC$152,B113)/'تحليل الفقرات'!$B$2</f>
        <v>0.16</v>
      </c>
      <c r="E113" s="20" t="n">
        <f aca="false">COUNTIFS(الإجابات!$AC$3:$AC$152,B113,التصحيح!$AF$3:$AF$152,"&gt;="&amp;'تحليل الفقرات'!$B$5)</f>
        <v>2</v>
      </c>
      <c r="F113" s="20" t="n">
        <f aca="false">COUNTIFS(الإجابات!$AC$3:$AC$152,B113,التصحيح!$AF$3:$AF$152,"&lt;="&amp;'تحليل الفقرات'!$B$6)</f>
        <v>9</v>
      </c>
      <c r="G113" s="20" t="n">
        <f aca="false">E113-F113</f>
        <v>-7</v>
      </c>
      <c r="H113" s="20" t="str">
        <f aca="false">IF(C113="نعم",IF(G113&gt;0,"المفتاح يميّز كما يجب","المفتاح لا يميّز: راجِع"),IF(D113&lt;'تحليل الفقرات'!$B$17,"مموّه غير فعّال",IF(G113&gt;0,"مموّه يجذب المتفوقين: راجِعه","مموّه يعمل")))</f>
        <v>مموّه يعمل</v>
      </c>
    </row>
    <row r="114" customFormat="false" ht="17.9" hidden="false" customHeight="false" outlineLevel="0" collapsed="false">
      <c r="A114" s="15" t="s">
        <v>42</v>
      </c>
      <c r="B114" s="15" t="s">
        <v>48</v>
      </c>
      <c r="C114" s="15" t="str">
        <f aca="false">IF(الإجابات!$AD$2=B114,"نعم","")</f>
        <v/>
      </c>
      <c r="D114" s="18" t="n">
        <f aca="false">COUNTIF(الإجابات!$AD$3:$AD$152,B114)/'تحليل الفقرات'!$B$2</f>
        <v>0.18</v>
      </c>
      <c r="E114" s="15" t="n">
        <f aca="false">COUNTIFS(الإجابات!$AD$3:$AD$152,B114,التصحيح!$AF$3:$AF$152,"&gt;="&amp;'تحليل الفقرات'!$B$5)</f>
        <v>1</v>
      </c>
      <c r="F114" s="15" t="n">
        <f aca="false">COUNTIFS(الإجابات!$AD$3:$AD$152,B114,التصحيح!$AF$3:$AF$152,"&lt;="&amp;'تحليل الفقرات'!$B$6)</f>
        <v>14</v>
      </c>
      <c r="G114" s="15" t="n">
        <f aca="false">E114-F114</f>
        <v>-13</v>
      </c>
      <c r="H114" s="15" t="str">
        <f aca="false">IF(C114="نعم",IF(G114&gt;0,"المفتاح يميّز كما يجب","المفتاح لا يميّز: راجِع"),IF(D114&lt;'تحليل الفقرات'!$B$17,"مموّه غير فعّال",IF(G114&gt;0,"مموّه يجذب المتفوقين: راجِعه","مموّه يعمل")))</f>
        <v>مموّه يعمل</v>
      </c>
    </row>
    <row r="115" customFormat="false" ht="17.9" hidden="false" customHeight="false" outlineLevel="0" collapsed="false">
      <c r="A115" s="15" t="s">
        <v>42</v>
      </c>
      <c r="B115" s="15" t="s">
        <v>47</v>
      </c>
      <c r="C115" s="15" t="str">
        <f aca="false">IF(الإجابات!$AD$2=B115,"نعم","")</f>
        <v/>
      </c>
      <c r="D115" s="18" t="n">
        <f aca="false">COUNTIF(الإجابات!$AD$3:$AD$152,B115)/'تحليل الفقرات'!$B$2</f>
        <v>0.153333333333333</v>
      </c>
      <c r="E115" s="15" t="n">
        <f aca="false">COUNTIFS(الإجابات!$AD$3:$AD$152,B115,التصحيح!$AF$3:$AF$152,"&gt;="&amp;'تحليل الفقرات'!$B$5)</f>
        <v>1</v>
      </c>
      <c r="F115" s="15" t="n">
        <f aca="false">COUNTIFS(الإجابات!$AD$3:$AD$152,B115,التصحيح!$AF$3:$AF$152,"&lt;="&amp;'تحليل الفقرات'!$B$6)</f>
        <v>8</v>
      </c>
      <c r="G115" s="15" t="n">
        <f aca="false">E115-F115</f>
        <v>-7</v>
      </c>
      <c r="H115" s="15" t="str">
        <f aca="false">IF(C115="نعم",IF(G115&gt;0,"المفتاح يميّز كما يجب","المفتاح لا يميّز: راجِع"),IF(D115&lt;'تحليل الفقرات'!$B$17,"مموّه غير فعّال",IF(G115&gt;0,"مموّه يجذب المتفوقين: راجِعه","مموّه يعمل")))</f>
        <v>مموّه يعمل</v>
      </c>
    </row>
    <row r="116" customFormat="false" ht="17.9" hidden="false" customHeight="false" outlineLevel="0" collapsed="false">
      <c r="A116" s="15" t="s">
        <v>42</v>
      </c>
      <c r="B116" s="15" t="s">
        <v>46</v>
      </c>
      <c r="C116" s="15" t="str">
        <f aca="false">IF(الإجابات!$AD$2=B116,"نعم","")</f>
        <v>نعم</v>
      </c>
      <c r="D116" s="18" t="n">
        <f aca="false">COUNTIF(الإجابات!$AD$3:$AD$152,B116)/'تحليل الفقرات'!$B$2</f>
        <v>0.54</v>
      </c>
      <c r="E116" s="15" t="n">
        <f aca="false">COUNTIFS(الإجابات!$AD$3:$AD$152,B116,التصحيح!$AF$3:$AF$152,"&gt;="&amp;'تحليل الفقرات'!$B$5)</f>
        <v>39</v>
      </c>
      <c r="F116" s="15" t="n">
        <f aca="false">COUNTIFS(الإجابات!$AD$3:$AD$152,B116,التصحيح!$AF$3:$AF$152,"&lt;="&amp;'تحليل الفقرات'!$B$6)</f>
        <v>13</v>
      </c>
      <c r="G116" s="15" t="n">
        <f aca="false">E116-F116</f>
        <v>26</v>
      </c>
      <c r="H116" s="15" t="str">
        <f aca="false">IF(C116="نعم",IF(G116&gt;0,"المفتاح يميّز كما يجب","المفتاح لا يميّز: راجِع"),IF(D116&lt;'تحليل الفقرات'!$B$17,"مموّه غير فعّال",IF(G116&gt;0,"مموّه يجذب المتفوقين: راجِعه","مموّه يعمل")))</f>
        <v>المفتاح يميّز كما يجب</v>
      </c>
    </row>
    <row r="117" customFormat="false" ht="17.9" hidden="false" customHeight="false" outlineLevel="0" collapsed="false">
      <c r="A117" s="20" t="s">
        <v>42</v>
      </c>
      <c r="B117" s="20" t="s">
        <v>45</v>
      </c>
      <c r="C117" s="20" t="str">
        <f aca="false">IF(الإجابات!$AD$2=B117,"نعم","")</f>
        <v/>
      </c>
      <c r="D117" s="21" t="n">
        <f aca="false">COUNTIF(الإجابات!$AD$3:$AD$152,B117)/'تحليل الفقرات'!$B$2</f>
        <v>0.126666666666667</v>
      </c>
      <c r="E117" s="20" t="n">
        <f aca="false">COUNTIFS(الإجابات!$AD$3:$AD$152,B117,التصحيح!$AF$3:$AF$152,"&gt;="&amp;'تحليل الفقرات'!$B$5)</f>
        <v>4</v>
      </c>
      <c r="F117" s="20" t="n">
        <f aca="false">COUNTIFS(الإجابات!$AD$3:$AD$152,B117,التصحيح!$AF$3:$AF$152,"&lt;="&amp;'تحليل الفقرات'!$B$6)</f>
        <v>10</v>
      </c>
      <c r="G117" s="20" t="n">
        <f aca="false">E117-F117</f>
        <v>-6</v>
      </c>
      <c r="H117" s="20" t="str">
        <f aca="false">IF(C117="نعم",IF(G117&gt;0,"المفتاح يميّز كما يجب","المفتاح لا يميّز: راجِع"),IF(D117&lt;'تحليل الفقرات'!$B$17,"مموّه غير فعّال",IF(G117&gt;0,"مموّه يجذب المتفوقين: راجِعه","مموّه يعمل")))</f>
        <v>مموّه يعمل</v>
      </c>
    </row>
    <row r="118" customFormat="false" ht="17.9" hidden="false" customHeight="false" outlineLevel="0" collapsed="false">
      <c r="A118" s="15" t="s">
        <v>43</v>
      </c>
      <c r="B118" s="15" t="s">
        <v>48</v>
      </c>
      <c r="C118" s="15" t="str">
        <f aca="false">IF(الإجابات!$AE$2=B118,"نعم","")</f>
        <v/>
      </c>
      <c r="D118" s="18" t="n">
        <f aca="false">COUNTIF(الإجابات!$AE$3:$AE$152,B118)/'تحليل الفقرات'!$B$2</f>
        <v>0.146666666666667</v>
      </c>
      <c r="E118" s="15" t="n">
        <f aca="false">COUNTIFS(الإجابات!$AE$3:$AE$152,B118,التصحيح!$AF$3:$AF$152,"&gt;="&amp;'تحليل الفقرات'!$B$5)</f>
        <v>0</v>
      </c>
      <c r="F118" s="15" t="n">
        <f aca="false">COUNTIFS(الإجابات!$AE$3:$AE$152,B118,التصحيح!$AF$3:$AF$152,"&lt;="&amp;'تحليل الفقرات'!$B$6)</f>
        <v>10</v>
      </c>
      <c r="G118" s="15" t="n">
        <f aca="false">E118-F118</f>
        <v>-10</v>
      </c>
      <c r="H118" s="15" t="str">
        <f aca="false">IF(C118="نعم",IF(G118&gt;0,"المفتاح يميّز كما يجب","المفتاح لا يميّز: راجِع"),IF(D118&lt;'تحليل الفقرات'!$B$17,"مموّه غير فعّال",IF(G118&gt;0,"مموّه يجذب المتفوقين: راجِعه","مموّه يعمل")))</f>
        <v>مموّه يعمل</v>
      </c>
    </row>
    <row r="119" customFormat="false" ht="17.9" hidden="false" customHeight="false" outlineLevel="0" collapsed="false">
      <c r="A119" s="15" t="s">
        <v>43</v>
      </c>
      <c r="B119" s="15" t="s">
        <v>47</v>
      </c>
      <c r="C119" s="15" t="str">
        <f aca="false">IF(الإجابات!$AE$2=B119,"نعم","")</f>
        <v/>
      </c>
      <c r="D119" s="18" t="n">
        <f aca="false">COUNTIF(الإجابات!$AE$3:$AE$152,B119)/'تحليل الفقرات'!$B$2</f>
        <v>0.113333333333333</v>
      </c>
      <c r="E119" s="15" t="n">
        <f aca="false">COUNTIFS(الإجابات!$AE$3:$AE$152,B119,التصحيح!$AF$3:$AF$152,"&gt;="&amp;'تحليل الفقرات'!$B$5)</f>
        <v>0</v>
      </c>
      <c r="F119" s="15" t="n">
        <f aca="false">COUNTIFS(الإجابات!$AE$3:$AE$152,B119,التصحيح!$AF$3:$AF$152,"&lt;="&amp;'تحليل الفقرات'!$B$6)</f>
        <v>14</v>
      </c>
      <c r="G119" s="15" t="n">
        <f aca="false">E119-F119</f>
        <v>-14</v>
      </c>
      <c r="H119" s="15" t="str">
        <f aca="false">IF(C119="نعم",IF(G119&gt;0,"المفتاح يميّز كما يجب","المفتاح لا يميّز: راجِع"),IF(D119&lt;'تحليل الفقرات'!$B$17,"مموّه غير فعّال",IF(G119&gt;0,"مموّه يجذب المتفوقين: راجِعه","مموّه يعمل")))</f>
        <v>مموّه يعمل</v>
      </c>
    </row>
    <row r="120" customFormat="false" ht="17.9" hidden="false" customHeight="false" outlineLevel="0" collapsed="false">
      <c r="A120" s="15" t="s">
        <v>43</v>
      </c>
      <c r="B120" s="15" t="s">
        <v>46</v>
      </c>
      <c r="C120" s="15" t="str">
        <f aca="false">IF(الإجابات!$AE$2=B120,"نعم","")</f>
        <v>نعم</v>
      </c>
      <c r="D120" s="18" t="n">
        <f aca="false">COUNTIF(الإجابات!$AE$3:$AE$152,B120)/'تحليل الفقرات'!$B$2</f>
        <v>0.586666666666667</v>
      </c>
      <c r="E120" s="15" t="n">
        <f aca="false">COUNTIFS(الإجابات!$AE$3:$AE$152,B120,التصحيح!$AF$3:$AF$152,"&gt;="&amp;'تحليل الفقرات'!$B$5)</f>
        <v>45</v>
      </c>
      <c r="F120" s="15" t="n">
        <f aca="false">COUNTIFS(الإجابات!$AE$3:$AE$152,B120,التصحيح!$AF$3:$AF$152,"&lt;="&amp;'تحليل الفقرات'!$B$6)</f>
        <v>11</v>
      </c>
      <c r="G120" s="15" t="n">
        <f aca="false">E120-F120</f>
        <v>34</v>
      </c>
      <c r="H120" s="15" t="str">
        <f aca="false">IF(C120="نعم",IF(G120&gt;0,"المفتاح يميّز كما يجب","المفتاح لا يميّز: راجِع"),IF(D120&lt;'تحليل الفقرات'!$B$17,"مموّه غير فعّال",IF(G120&gt;0,"مموّه يجذب المتفوقين: راجِعه","مموّه يعمل")))</f>
        <v>المفتاح يميّز كما يجب</v>
      </c>
    </row>
    <row r="121" customFormat="false" ht="17.9" hidden="false" customHeight="false" outlineLevel="0" collapsed="false">
      <c r="A121" s="20" t="s">
        <v>43</v>
      </c>
      <c r="B121" s="20" t="s">
        <v>45</v>
      </c>
      <c r="C121" s="20" t="str">
        <f aca="false">IF(الإجابات!$AE$2=B121,"نعم","")</f>
        <v/>
      </c>
      <c r="D121" s="21" t="n">
        <f aca="false">COUNTIF(الإجابات!$AE$3:$AE$152,B121)/'تحليل الفقرات'!$B$2</f>
        <v>0.153333333333333</v>
      </c>
      <c r="E121" s="20" t="n">
        <f aca="false">COUNTIFS(الإجابات!$AE$3:$AE$152,B121,التصحيح!$AF$3:$AF$152,"&gt;="&amp;'تحليل الفقرات'!$B$5)</f>
        <v>0</v>
      </c>
      <c r="F121" s="20" t="n">
        <f aca="false">COUNTIFS(الإجابات!$AE$3:$AE$152,B121,التصحيح!$AF$3:$AF$152,"&lt;="&amp;'تحليل الفقرات'!$B$6)</f>
        <v>10</v>
      </c>
      <c r="G121" s="20" t="n">
        <f aca="false">E121-F121</f>
        <v>-10</v>
      </c>
      <c r="H121" s="20" t="str">
        <f aca="false">IF(C121="نعم",IF(G121&gt;0,"المفتاح يميّز كما يجب","المفتاح لا يميّز: راجِع"),IF(D121&lt;'تحليل الفقرات'!$B$17,"مموّه غير فعّال",IF(G121&gt;0,"مموّه يجذب المتفوقين: راجِعه","مموّه يعمل")))</f>
        <v>مموّه يعمل</v>
      </c>
    </row>
  </sheetData>
  <conditionalFormatting sqref="H2:H121">
    <cfRule type="expression" priority="2" aboveAverage="0" equalAverage="0" bottom="0" percent="0" rank="0" text="" dxfId="0">
      <formula>OR(H2="مموّه غير فعّال",LEFT(H2,10)="مموّه يجذب",LEFT(H2,10)="المفتاح لا")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9" hidden="false" customHeight="false" outlineLevel="0" collapsed="false">
      <c r="A1" s="4" t="s">
        <v>242</v>
      </c>
      <c r="B1" s="4" t="s">
        <v>243</v>
      </c>
    </row>
    <row r="2" customFormat="false" ht="15" hidden="false" customHeight="false" outlineLevel="0" collapsed="false">
      <c r="A2" s="22" t="s">
        <v>202</v>
      </c>
      <c r="B2" s="23" t="n">
        <f aca="false">'تحليل الفقرات'!B2</f>
        <v>150</v>
      </c>
    </row>
    <row r="3" customFormat="false" ht="15" hidden="false" customHeight="false" outlineLevel="0" collapsed="false">
      <c r="A3" s="22" t="s">
        <v>244</v>
      </c>
      <c r="B3" s="23" t="n">
        <f aca="false">'تحليل الفقرات'!B9</f>
        <v>30</v>
      </c>
    </row>
    <row r="4" customFormat="false" ht="15" hidden="false" customHeight="false" outlineLevel="0" collapsed="false">
      <c r="A4" s="22" t="s">
        <v>245</v>
      </c>
      <c r="B4" s="24" t="n">
        <f aca="false">AVERAGE(التصحيح!$AF$3:$AF$152)</f>
        <v>16.4666666666667</v>
      </c>
    </row>
    <row r="5" customFormat="false" ht="15" hidden="false" customHeight="false" outlineLevel="0" collapsed="false">
      <c r="A5" s="22" t="s">
        <v>246</v>
      </c>
      <c r="B5" s="24" t="n">
        <f aca="false">'تحليل الفقرات'!B11</f>
        <v>6.39965276835826</v>
      </c>
    </row>
    <row r="6" customFormat="false" ht="15" hidden="false" customHeight="false" outlineLevel="0" collapsed="false">
      <c r="A6" s="22" t="s">
        <v>247</v>
      </c>
      <c r="B6" s="23" t="n">
        <f aca="false">MIN(التصحيح!$AF$3:$AF$152)</f>
        <v>4</v>
      </c>
    </row>
    <row r="7" customFormat="false" ht="15" hidden="false" customHeight="false" outlineLevel="0" collapsed="false">
      <c r="A7" s="22" t="s">
        <v>248</v>
      </c>
      <c r="B7" s="23" t="n">
        <f aca="false">MAX(التصحيح!$AF$3:$AF$152)</f>
        <v>28</v>
      </c>
    </row>
    <row r="8" customFormat="false" ht="17.9" hidden="false" customHeight="false" outlineLevel="0" collapsed="false">
      <c r="A8" s="22" t="s">
        <v>249</v>
      </c>
      <c r="B8" s="24" t="n">
        <f aca="false">'تحليل الفقرات'!B9/('تحليل الفقرات'!B9-1)*(1-'تحليل الفقرات'!B12/'تحليل الفقرات'!B10)</f>
        <v>0.869802982393773</v>
      </c>
    </row>
    <row r="9" customFormat="false" ht="15" hidden="false" customHeight="false" outlineLevel="0" collapsed="false">
      <c r="A9" s="22" t="s">
        <v>250</v>
      </c>
      <c r="B9" s="24" t="n">
        <f aca="false">B5*SQRT(1-B8)</f>
        <v>2.30917543459553</v>
      </c>
    </row>
    <row r="10" customFormat="false" ht="15" hidden="false" customHeight="false" outlineLevel="0" collapsed="false">
      <c r="A10" s="22" t="s">
        <v>251</v>
      </c>
      <c r="B10" s="24" t="n">
        <f aca="false">AVERAGE('تحليل الفقرات'!C21:C50)</f>
        <v>0.548888888888889</v>
      </c>
    </row>
    <row r="11" customFormat="false" ht="15" hidden="false" customHeight="false" outlineLevel="0" collapsed="false">
      <c r="A11" s="22" t="s">
        <v>252</v>
      </c>
      <c r="B11" s="24" t="n">
        <f aca="false">AVERAGE('تحليل الفقرات'!I21:I50)</f>
        <v>0.396510081779793</v>
      </c>
    </row>
    <row r="12" customFormat="false" ht="17.9" hidden="false" customHeight="false" outlineLevel="0" collapsed="false">
      <c r="A12" s="22" t="s">
        <v>253</v>
      </c>
      <c r="B12" s="23" t="n">
        <f aca="false">COUNTIF('تحليل الفقرات'!P21:P50,"جيدة")</f>
        <v>21</v>
      </c>
    </row>
    <row r="13" customFormat="false" ht="15" hidden="false" customHeight="false" outlineLevel="0" collapsed="false">
      <c r="A13" s="22" t="s">
        <v>254</v>
      </c>
      <c r="B13" s="23" t="n">
        <f aca="false">B3-B12</f>
        <v>9</v>
      </c>
    </row>
    <row r="16" customFormat="false" ht="17.9" hidden="false" customHeight="false" outlineLevel="0" collapsed="false">
      <c r="A16" s="4" t="s">
        <v>255</v>
      </c>
      <c r="B16" s="4"/>
    </row>
    <row r="17" customFormat="false" ht="15" hidden="false" customHeight="false" outlineLevel="0" collapsed="false">
      <c r="A17" s="25" t="s">
        <v>256</v>
      </c>
      <c r="B17" s="25" t="s">
        <v>202</v>
      </c>
    </row>
    <row r="18" customFormat="false" ht="15" hidden="false" customHeight="false" outlineLevel="0" collapsed="false">
      <c r="A18" s="7" t="s">
        <v>257</v>
      </c>
      <c r="B18" s="7" t="n">
        <f aca="false">COUNTIFS(التصحيح!$AF$3:$AF$152,"&gt;=0",التصحيح!$AF$3:$AF$152,"&lt;=5")</f>
        <v>2</v>
      </c>
    </row>
    <row r="19" customFormat="false" ht="15" hidden="false" customHeight="false" outlineLevel="0" collapsed="false">
      <c r="A19" s="7" t="s">
        <v>258</v>
      </c>
      <c r="B19" s="7" t="n">
        <f aca="false">COUNTIFS(التصحيح!$AF$3:$AF$152,"&gt;=6",التصحيح!$AF$3:$AF$152,"&lt;=8")</f>
        <v>14</v>
      </c>
    </row>
    <row r="20" customFormat="false" ht="15" hidden="false" customHeight="false" outlineLevel="0" collapsed="false">
      <c r="A20" s="7" t="s">
        <v>259</v>
      </c>
      <c r="B20" s="7" t="n">
        <f aca="false">COUNTIFS(التصحيح!$AF$3:$AF$152,"&gt;=9",التصحيح!$AF$3:$AF$152,"&lt;=11")</f>
        <v>29</v>
      </c>
    </row>
    <row r="21" customFormat="false" ht="15" hidden="false" customHeight="false" outlineLevel="0" collapsed="false">
      <c r="A21" s="7" t="s">
        <v>260</v>
      </c>
      <c r="B21" s="7" t="n">
        <f aca="false">COUNTIFS(التصحيح!$AF$3:$AF$152,"&gt;=12",التصحيح!$AF$3:$AF$152,"&lt;=14")</f>
        <v>19</v>
      </c>
    </row>
    <row r="22" customFormat="false" ht="15" hidden="false" customHeight="false" outlineLevel="0" collapsed="false">
      <c r="A22" s="7" t="s">
        <v>261</v>
      </c>
      <c r="B22" s="7" t="n">
        <f aca="false">COUNTIFS(التصحيح!$AF$3:$AF$152,"&gt;=15",التصحيح!$AF$3:$AF$152,"&lt;=17")</f>
        <v>20</v>
      </c>
    </row>
    <row r="23" customFormat="false" ht="15" hidden="false" customHeight="false" outlineLevel="0" collapsed="false">
      <c r="A23" s="7" t="s">
        <v>262</v>
      </c>
      <c r="B23" s="7" t="n">
        <f aca="false">COUNTIFS(التصحيح!$AF$3:$AF$152,"&gt;=18",التصحيح!$AF$3:$AF$152,"&lt;=20")</f>
        <v>21</v>
      </c>
    </row>
    <row r="24" customFormat="false" ht="15" hidden="false" customHeight="false" outlineLevel="0" collapsed="false">
      <c r="A24" s="7" t="s">
        <v>263</v>
      </c>
      <c r="B24" s="7" t="n">
        <f aca="false">COUNTIFS(التصحيح!$AF$3:$AF$152,"&gt;=21",التصحيح!$AF$3:$AF$152,"&lt;=23")</f>
        <v>18</v>
      </c>
    </row>
    <row r="25" customFormat="false" ht="15" hidden="false" customHeight="false" outlineLevel="0" collapsed="false">
      <c r="A25" s="7" t="s">
        <v>264</v>
      </c>
      <c r="B25" s="7" t="n">
        <f aca="false">COUNTIFS(التصحيح!$AF$3:$AF$152,"&gt;=24",التصحيح!$AF$3:$AF$152,"&lt;=26")</f>
        <v>16</v>
      </c>
    </row>
    <row r="26" customFormat="false" ht="15" hidden="false" customHeight="false" outlineLevel="0" collapsed="false">
      <c r="A26" s="7" t="s">
        <v>265</v>
      </c>
      <c r="B26" s="7" t="n">
        <f aca="false">COUNTIFS(التصحيح!$AF$3:$AF$152,"&gt;=27",التصحيح!$AF$3:$AF$152,"&lt;=30")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2026-10-04T21:04:59Z</dcterms:created>
  <dc:creator>openpyxl</dc:creator>
  <dc:description/>
  <dc:language>en-US</dc:language>
  <cp:lastModifiedBy/>
  <dcterms:modified xsi:type="dcterms:W3CDTF">2026-10-04T21:05:04Z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