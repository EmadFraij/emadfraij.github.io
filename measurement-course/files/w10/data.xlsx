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قرأني" sheetId="1" state="visible" r:id="rId3"/>
    <sheet name="البيانات" sheetId="2" state="visible" r:id="rId4"/>
    <sheet name="الاتفاق" sheetId="3" state="visible" r:id="rId5"/>
    <sheet name="المجموعات الفرعية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" authorId="0">
      <text>
        <r>
          <rPr>
            <sz val="10"/>
            <rFont val="FreeSans"/>
            <family val="2"/>
          </rPr>
          <t xml:space="preserve">حدود إرشادية من </t>
        </r>
        <r>
          <rPr>
            <sz val="10"/>
            <rFont val="Arial"/>
            <family val="2"/>
          </rPr>
          <t xml:space="preserve">Williamson, Xi &amp; Breyer (2012): </t>
        </r>
        <r>
          <rPr>
            <sz val="10"/>
            <rFont val="FreeSans"/>
            <family val="2"/>
          </rPr>
          <t xml:space="preserve">كابا الموزون </t>
        </r>
        <r>
          <rPr>
            <sz val="10"/>
            <rFont val="Arial"/>
            <family val="2"/>
          </rPr>
          <t xml:space="preserve">0.70 على الأقل، وألا يقل اتفاق الأداة مع البشر عن اتفاق البشر فيما بينهم بأكثر من 0.10</t>
        </r>
        <r>
          <rPr>
            <sz val="10"/>
            <rFont val="FreeSans"/>
            <family val="2"/>
          </rPr>
          <t xml:space="preserve">، وألا يتجاوز الفرق المعياري بين المتوسطين </t>
        </r>
        <r>
          <rPr>
            <sz val="10"/>
            <rFont val="Arial"/>
            <family val="2"/>
          </rPr>
          <t xml:space="preserve">0.15.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FreeSans"/>
            <family val="2"/>
          </rPr>
          <t xml:space="preserve">ارتباط موجب يعني أن الأداة تمنح الإجابات الأطول درجات أعلى من البشر، بغض النظر عن جودة محتواها</t>
        </r>
        <r>
          <rPr>
            <sz val="10"/>
            <rFont val="Arial"/>
            <family val="2"/>
          </rPr>
          <t xml:space="preserve">.</t>
        </r>
      </text>
    </comment>
    <comment ref="I1" authorId="0">
      <text>
        <r>
          <rPr>
            <sz val="10"/>
            <rFont val="Arial"/>
            <family val="2"/>
          </rPr>
          <t xml:space="preserve">Williamson, Xi &amp; Breyer (2012) </t>
        </r>
        <r>
          <rPr>
            <sz val="10"/>
            <rFont val="FreeSans"/>
            <family val="2"/>
          </rPr>
          <t xml:space="preserve">يقترحون حداً أشد للمجموعات الفرعية (</t>
        </r>
        <r>
          <rPr>
            <sz val="10"/>
            <rFont val="Arial"/>
            <family val="2"/>
          </rPr>
          <t xml:space="preserve">0.10) لأن الظلم قد يختفي في المتوسط العام.</t>
        </r>
      </text>
    </comment>
  </commentList>
</comments>
</file>

<file path=xl/sharedStrings.xml><?xml version="1.0" encoding="utf-8"?>
<sst xmlns="http://schemas.openxmlformats.org/spreadsheetml/2006/main" count="299" uniqueCount="170">
  <si>
    <t xml:space="preserve">مشغل الأسبوع 10 — التصحيح الآلي: متى يُوثق به؟</t>
  </si>
  <si>
    <t xml:space="preserve">مساق القياس والتقويم التربوي — دبلوم الدراسات العليا المهني في التدريس</t>
  </si>
  <si>
    <t xml:space="preserve">تنبيه: البيانات محاكاة حاسوبية لأغراض التدريب، وليست لطلبة أو أداة حقيقية.</t>
  </si>
  <si>
    <t xml:space="preserve">120 إجابة قصيرة عن سؤال علوم مفتوح، صُحّحت من 0 إلى 3 بسلم واحد ثلاث مرات: مصحح بشري أول، ومصحح بشري ثانٍ، وأداة ذكاء اصطناعي.</t>
  </si>
  <si>
    <t xml:space="preserve">لكل إجابة أيضاً: عدد كلماتها، وهل فيها أخطاء إملائية كثيرة.</t>
  </si>
  <si>
    <t xml:space="preserve">أوراق المصنف:</t>
  </si>
  <si>
    <t xml:space="preserve">البيانات: الدرجات الثلاث وخصائص كل إجابة.</t>
  </si>
  <si>
    <t xml:space="preserve">الاتفاق: مؤشرات الاتفاق بين المصححَين البشريين، وبين الأداة والمصحح الأول، مع الحدود الإرشادية.</t>
  </si>
  <si>
    <t xml:space="preserve">المجموعات الفرعية: هل تتساهل الأداة أو تتشدد مع نوع معيّن من الإجابات؟</t>
  </si>
  <si>
    <t xml:space="preserve">الفكرة الأساسية: الاتفاق العام المرتفع لا يكفي. الأداة قد تتفق مع البشر في المتوسط، وتظلم مجموعة من الطلبة.</t>
  </si>
  <si>
    <t xml:space="preserve">الإجابة</t>
  </si>
  <si>
    <t xml:space="preserve">عدد الكلمات</t>
  </si>
  <si>
    <t xml:space="preserve">أخطاء إملائية كثيرة</t>
  </si>
  <si>
    <t xml:space="preserve">المصحح البشري 1</t>
  </si>
  <si>
    <t xml:space="preserve">المصحح البشري 2</t>
  </si>
  <si>
    <t xml:space="preserve">الأداة</t>
  </si>
  <si>
    <t xml:space="preserve">الأداة ناقص البشري 1</t>
  </si>
  <si>
    <t xml:space="preserve">طويلة (35 كلمة فأكثر)</t>
  </si>
  <si>
    <t xml:space="preserve">R001</t>
  </si>
  <si>
    <t xml:space="preserve">لا</t>
  </si>
  <si>
    <t xml:space="preserve">R002</t>
  </si>
  <si>
    <t xml:space="preserve">نعم</t>
  </si>
  <si>
    <t xml:space="preserve">R003</t>
  </si>
  <si>
    <t xml:space="preserve">R004</t>
  </si>
  <si>
    <t xml:space="preserve">R005</t>
  </si>
  <si>
    <t xml:space="preserve">R006</t>
  </si>
  <si>
    <t xml:space="preserve">R007</t>
  </si>
  <si>
    <t xml:space="preserve">R008</t>
  </si>
  <si>
    <t xml:space="preserve">R009</t>
  </si>
  <si>
    <t xml:space="preserve">R010</t>
  </si>
  <si>
    <t xml:space="preserve">R011</t>
  </si>
  <si>
    <t xml:space="preserve">R012</t>
  </si>
  <si>
    <t xml:space="preserve">R013</t>
  </si>
  <si>
    <t xml:space="preserve">R014</t>
  </si>
  <si>
    <t xml:space="preserve">R015</t>
  </si>
  <si>
    <t xml:space="preserve">R016</t>
  </si>
  <si>
    <t xml:space="preserve">R017</t>
  </si>
  <si>
    <t xml:space="preserve">R018</t>
  </si>
  <si>
    <t xml:space="preserve">R019</t>
  </si>
  <si>
    <t xml:space="preserve">R020</t>
  </si>
  <si>
    <t xml:space="preserve">R021</t>
  </si>
  <si>
    <t xml:space="preserve">R022</t>
  </si>
  <si>
    <t xml:space="preserve">R023</t>
  </si>
  <si>
    <t xml:space="preserve">R024</t>
  </si>
  <si>
    <t xml:space="preserve">R025</t>
  </si>
  <si>
    <t xml:space="preserve">R026</t>
  </si>
  <si>
    <t xml:space="preserve">R027</t>
  </si>
  <si>
    <t xml:space="preserve">R028</t>
  </si>
  <si>
    <t xml:space="preserve">R029</t>
  </si>
  <si>
    <t xml:space="preserve">R030</t>
  </si>
  <si>
    <t xml:space="preserve">R031</t>
  </si>
  <si>
    <t xml:space="preserve">R032</t>
  </si>
  <si>
    <t xml:space="preserve">R033</t>
  </si>
  <si>
    <t xml:space="preserve">R034</t>
  </si>
  <si>
    <t xml:space="preserve">R035</t>
  </si>
  <si>
    <t xml:space="preserve">R036</t>
  </si>
  <si>
    <t xml:space="preserve">R037</t>
  </si>
  <si>
    <t xml:space="preserve">R038</t>
  </si>
  <si>
    <t xml:space="preserve">R039</t>
  </si>
  <si>
    <t xml:space="preserve">R040</t>
  </si>
  <si>
    <t xml:space="preserve">R041</t>
  </si>
  <si>
    <t xml:space="preserve">R042</t>
  </si>
  <si>
    <t xml:space="preserve">R043</t>
  </si>
  <si>
    <t xml:space="preserve">R044</t>
  </si>
  <si>
    <t xml:space="preserve">R045</t>
  </si>
  <si>
    <t xml:space="preserve">R046</t>
  </si>
  <si>
    <t xml:space="preserve">R047</t>
  </si>
  <si>
    <t xml:space="preserve">R048</t>
  </si>
  <si>
    <t xml:space="preserve">R049</t>
  </si>
  <si>
    <t xml:space="preserve">R050</t>
  </si>
  <si>
    <t xml:space="preserve">R051</t>
  </si>
  <si>
    <t xml:space="preserve">R052</t>
  </si>
  <si>
    <t xml:space="preserve">R053</t>
  </si>
  <si>
    <t xml:space="preserve">R054</t>
  </si>
  <si>
    <t xml:space="preserve">R055</t>
  </si>
  <si>
    <t xml:space="preserve">R056</t>
  </si>
  <si>
    <t xml:space="preserve">R057</t>
  </si>
  <si>
    <t xml:space="preserve">R058</t>
  </si>
  <si>
    <t xml:space="preserve">R059</t>
  </si>
  <si>
    <t xml:space="preserve">R060</t>
  </si>
  <si>
    <t xml:space="preserve">R061</t>
  </si>
  <si>
    <t xml:space="preserve">R062</t>
  </si>
  <si>
    <t xml:space="preserve">R063</t>
  </si>
  <si>
    <t xml:space="preserve">R064</t>
  </si>
  <si>
    <t xml:space="preserve">R065</t>
  </si>
  <si>
    <t xml:space="preserve">R066</t>
  </si>
  <si>
    <t xml:space="preserve">R067</t>
  </si>
  <si>
    <t xml:space="preserve">R068</t>
  </si>
  <si>
    <t xml:space="preserve">R069</t>
  </si>
  <si>
    <t xml:space="preserve">R070</t>
  </si>
  <si>
    <t xml:space="preserve">R071</t>
  </si>
  <si>
    <t xml:space="preserve">R072</t>
  </si>
  <si>
    <t xml:space="preserve">R073</t>
  </si>
  <si>
    <t xml:space="preserve">R074</t>
  </si>
  <si>
    <t xml:space="preserve">R075</t>
  </si>
  <si>
    <t xml:space="preserve">R076</t>
  </si>
  <si>
    <t xml:space="preserve">R077</t>
  </si>
  <si>
    <t xml:space="preserve">R078</t>
  </si>
  <si>
    <t xml:space="preserve">R079</t>
  </si>
  <si>
    <t xml:space="preserve">R080</t>
  </si>
  <si>
    <t xml:space="preserve">R081</t>
  </si>
  <si>
    <t xml:space="preserve">R082</t>
  </si>
  <si>
    <t xml:space="preserve">R083</t>
  </si>
  <si>
    <t xml:space="preserve">R084</t>
  </si>
  <si>
    <t xml:space="preserve">R085</t>
  </si>
  <si>
    <t xml:space="preserve">R086</t>
  </si>
  <si>
    <t xml:space="preserve">R087</t>
  </si>
  <si>
    <t xml:space="preserve">R088</t>
  </si>
  <si>
    <t xml:space="preserve">R089</t>
  </si>
  <si>
    <t xml:space="preserve">R090</t>
  </si>
  <si>
    <t xml:space="preserve">R091</t>
  </si>
  <si>
    <t xml:space="preserve">R092</t>
  </si>
  <si>
    <t xml:space="preserve">R093</t>
  </si>
  <si>
    <t xml:space="preserve">R094</t>
  </si>
  <si>
    <t xml:space="preserve">R095</t>
  </si>
  <si>
    <t xml:space="preserve">R096</t>
  </si>
  <si>
    <t xml:space="preserve">R097</t>
  </si>
  <si>
    <t xml:space="preserve">R098</t>
  </si>
  <si>
    <t xml:space="preserve">R099</t>
  </si>
  <si>
    <t xml:space="preserve">R100</t>
  </si>
  <si>
    <t xml:space="preserve">R101</t>
  </si>
  <si>
    <t xml:space="preserve">R102</t>
  </si>
  <si>
    <t xml:space="preserve">R103</t>
  </si>
  <si>
    <t xml:space="preserve">R104</t>
  </si>
  <si>
    <t xml:space="preserve">R105</t>
  </si>
  <si>
    <t xml:space="preserve">R106</t>
  </si>
  <si>
    <t xml:space="preserve">R107</t>
  </si>
  <si>
    <t xml:space="preserve">R108</t>
  </si>
  <si>
    <t xml:space="preserve">R109</t>
  </si>
  <si>
    <t xml:space="preserve">R110</t>
  </si>
  <si>
    <t xml:space="preserve">R111</t>
  </si>
  <si>
    <t xml:space="preserve">R112</t>
  </si>
  <si>
    <t xml:space="preserve">R113</t>
  </si>
  <si>
    <t xml:space="preserve">R114</t>
  </si>
  <si>
    <t xml:space="preserve">R115</t>
  </si>
  <si>
    <t xml:space="preserve">R116</t>
  </si>
  <si>
    <t xml:space="preserve">R117</t>
  </si>
  <si>
    <t xml:space="preserve">R118</t>
  </si>
  <si>
    <t xml:space="preserve">R119</t>
  </si>
  <si>
    <t xml:space="preserve">R120</t>
  </si>
  <si>
    <t xml:space="preserve">مؤشرات الاتفاق</t>
  </si>
  <si>
    <r>
      <rPr>
        <sz val="11"/>
        <color theme="1"/>
        <rFont val="FreeSans"/>
        <family val="2"/>
      </rPr>
      <t xml:space="preserve">حد الإجابة الطويلة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عدد الكلمات</t>
    </r>
    <r>
      <rPr>
        <sz val="11"/>
        <color theme="1"/>
        <rFont val="Calibri"/>
        <family val="2"/>
        <charset val="1"/>
      </rPr>
      <t xml:space="preserve">)</t>
    </r>
  </si>
  <si>
    <t xml:space="preserve">حد معامل كابا الموزون</t>
  </si>
  <si>
    <t xml:space="preserve">حد التراجع عن الاتفاق البشري</t>
  </si>
  <si>
    <t xml:space="preserve">حد الفرق المعياري للمتوسطات</t>
  </si>
  <si>
    <t xml:space="preserve">صفوف: البشري 1، أعمدة: البشري 2</t>
  </si>
  <si>
    <t xml:space="preserve">عدد الإجابات</t>
  </si>
  <si>
    <t xml:space="preserve">اتفاق تام</t>
  </si>
  <si>
    <t xml:space="preserve">اتفاق تام أو متجاور</t>
  </si>
  <si>
    <t xml:space="preserve">معامل كابا</t>
  </si>
  <si>
    <t xml:space="preserve">معامل كابا الموزون التربيعي</t>
  </si>
  <si>
    <t xml:space="preserve">متوسط الأول</t>
  </si>
  <si>
    <t xml:space="preserve">متوسط الثاني</t>
  </si>
  <si>
    <t xml:space="preserve">الفرق المعياري للمتوسطين</t>
  </si>
  <si>
    <t xml:space="preserve">صفوف: الأداة، أعمدة: البشري 1</t>
  </si>
  <si>
    <t xml:space="preserve">الحكم وفق الحدود الإرشادية</t>
  </si>
  <si>
    <r>
      <rPr>
        <sz val="11"/>
        <color theme="1"/>
        <rFont val="FreeSans"/>
        <family val="2"/>
      </rPr>
      <t xml:space="preserve">كابا الموزون للأداة مع البشري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</rPr>
      <t xml:space="preserve">لا يقل عن الحد</t>
    </r>
  </si>
  <si>
    <t xml:space="preserve">التراجع عن الاتفاق البشري لا يتجاوز الحد</t>
  </si>
  <si>
    <t xml:space="preserve">الفرق المعياري للمتوسطين لا يتجاوز الحد</t>
  </si>
  <si>
    <r>
      <rPr>
        <sz val="11"/>
        <color theme="1"/>
        <rFont val="FreeSans"/>
        <family val="2"/>
      </rPr>
      <t xml:space="preserve">مقدار التراجع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كابا البشريين ناقص كابا الأداة</t>
    </r>
    <r>
      <rPr>
        <sz val="11"/>
        <color theme="1"/>
        <rFont val="Calibri"/>
        <family val="2"/>
        <charset val="1"/>
      </rPr>
      <t xml:space="preserve">)</t>
    </r>
  </si>
  <si>
    <t xml:space="preserve">المجموعة</t>
  </si>
  <si>
    <t xml:space="preserve">متوسط البشري 1</t>
  </si>
  <si>
    <t xml:space="preserve">متوسط الأداة</t>
  </si>
  <si>
    <t xml:space="preserve">متوسط الفرق (الأداة ناقص البشري)</t>
  </si>
  <si>
    <t xml:space="preserve">الحكم</t>
  </si>
  <si>
    <t xml:space="preserve">حد الفرق المعياري للمجموعة الفرعية</t>
  </si>
  <si>
    <t xml:space="preserve">إجابات طويلة</t>
  </si>
  <si>
    <t xml:space="preserve">إجابات قصيرة</t>
  </si>
  <si>
    <t xml:space="preserve">أخطاء إملائية قليلة</t>
  </si>
  <si>
    <t xml:space="preserve">الارتباط بين عدد الكلمات وفرق الأداة عن البشري 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</si>
</sst>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0.00"/>
    <numFmt numFmtId="168" formatCode="\+0.00;\-0.00;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IBM Plex Sans Arabic"/>
      <family val="0"/>
      <charset val="1"/>
    </font>
    <font>
      <sz val="11"/>
      <name val="IBM Plex Sans Arabic"/>
      <family val="0"/>
      <charset val="1"/>
    </font>
    <font>
      <b val="true"/>
      <sz val="11"/>
      <name val="IBM Plex Sans Arabic"/>
      <family val="0"/>
      <charset val="1"/>
    </font>
    <font>
      <b val="true"/>
      <sz val="11"/>
      <color rgb="FFFFFFFF"/>
      <name val="IBM Plex Sans Arabic"/>
      <family val="0"/>
      <charset val="1"/>
    </font>
    <font>
      <sz val="11"/>
      <color theme="1"/>
      <name val="FreeSans"/>
      <family val="2"/>
    </font>
    <font>
      <sz val="11"/>
      <color rgb="FF0000FF"/>
      <name val="IBM Plex Sans Arabic"/>
      <family val="0"/>
      <charset val="1"/>
    </font>
    <font>
      <b val="true"/>
      <sz val="12"/>
      <color rgb="FF1F4E79"/>
      <name val="IBM Plex Sans Arabic"/>
      <family val="0"/>
      <charset val="1"/>
    </font>
    <font>
      <sz val="10"/>
      <name val="FreeSan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9" hidden="false" customHeight="false" outlineLevel="0" collapsed="false">
      <c r="A4" s="3" t="s">
        <v>2</v>
      </c>
    </row>
    <row r="5" customFormat="false" ht="17.9" hidden="false" customHeight="false" outlineLevel="0" collapsed="false">
      <c r="A5" s="2" t="s">
        <v>3</v>
      </c>
    </row>
    <row r="6" customFormat="false" ht="17.9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7.9" hidden="false" customHeight="false" outlineLevel="0" collapsed="false">
      <c r="A8" s="3" t="s">
        <v>5</v>
      </c>
    </row>
    <row r="9" customFormat="false" ht="17.9" hidden="false" customHeight="false" outlineLevel="0" collapsed="false">
      <c r="A9" s="2" t="s">
        <v>6</v>
      </c>
    </row>
    <row r="10" customFormat="false" ht="17.9" hidden="false" customHeight="false" outlineLevel="0" collapsed="false">
      <c r="A10" s="2" t="s">
        <v>7</v>
      </c>
    </row>
    <row r="11" customFormat="false" ht="17.9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7.9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34.3" hidden="false" customHeight="false" outlineLevel="0" collapsed="false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</row>
    <row r="2" customFormat="false" ht="17.9" hidden="false" customHeight="false" outlineLevel="0" collapsed="false">
      <c r="A2" s="5" t="s">
        <v>18</v>
      </c>
      <c r="B2" s="5" t="n">
        <v>9</v>
      </c>
      <c r="C2" s="5" t="s">
        <v>19</v>
      </c>
      <c r="D2" s="5" t="n">
        <v>0</v>
      </c>
      <c r="E2" s="5" t="n">
        <v>0</v>
      </c>
      <c r="F2" s="5" t="n">
        <v>0</v>
      </c>
      <c r="G2" s="5" t="n">
        <f aca="false">F2-D2</f>
        <v>0</v>
      </c>
      <c r="H2" s="5" t="str">
        <f aca="false">IF(B2&gt;=الاتفاق!$C$3,"نعم","لا")</f>
        <v>لا</v>
      </c>
    </row>
    <row r="3" customFormat="false" ht="17.9" hidden="false" customHeight="false" outlineLevel="0" collapsed="false">
      <c r="A3" s="5" t="s">
        <v>20</v>
      </c>
      <c r="B3" s="5" t="n">
        <v>27</v>
      </c>
      <c r="C3" s="5" t="s">
        <v>21</v>
      </c>
      <c r="D3" s="5" t="n">
        <v>2</v>
      </c>
      <c r="E3" s="5" t="n">
        <v>2</v>
      </c>
      <c r="F3" s="5" t="n">
        <v>2</v>
      </c>
      <c r="G3" s="5" t="n">
        <f aca="false">F3-D3</f>
        <v>0</v>
      </c>
      <c r="H3" s="5" t="str">
        <f aca="false">IF(B3&gt;=الاتفاق!$C$3,"نعم","لا")</f>
        <v>لا</v>
      </c>
    </row>
    <row r="4" customFormat="false" ht="17.9" hidden="false" customHeight="false" outlineLevel="0" collapsed="false">
      <c r="A4" s="5" t="s">
        <v>22</v>
      </c>
      <c r="B4" s="5" t="n">
        <v>34</v>
      </c>
      <c r="C4" s="5" t="s">
        <v>19</v>
      </c>
      <c r="D4" s="5" t="n">
        <v>3</v>
      </c>
      <c r="E4" s="5" t="n">
        <v>2</v>
      </c>
      <c r="F4" s="5" t="n">
        <v>3</v>
      </c>
      <c r="G4" s="5" t="n">
        <f aca="false">F4-D4</f>
        <v>0</v>
      </c>
      <c r="H4" s="5" t="str">
        <f aca="false">IF(B4&gt;=الاتفاق!$C$3,"نعم","لا")</f>
        <v>لا</v>
      </c>
    </row>
    <row r="5" customFormat="false" ht="17.9" hidden="false" customHeight="false" outlineLevel="0" collapsed="false">
      <c r="A5" s="5" t="s">
        <v>23</v>
      </c>
      <c r="B5" s="5" t="n">
        <v>46</v>
      </c>
      <c r="C5" s="5" t="s">
        <v>19</v>
      </c>
      <c r="D5" s="5" t="n">
        <v>3</v>
      </c>
      <c r="E5" s="5" t="n">
        <v>3</v>
      </c>
      <c r="F5" s="5" t="n">
        <v>3</v>
      </c>
      <c r="G5" s="5" t="n">
        <f aca="false">F5-D5</f>
        <v>0</v>
      </c>
      <c r="H5" s="5" t="str">
        <f aca="false">IF(B5&gt;=الاتفاق!$C$3,"نعم","لا")</f>
        <v>نعم</v>
      </c>
    </row>
    <row r="6" customFormat="false" ht="17.9" hidden="false" customHeight="false" outlineLevel="0" collapsed="false">
      <c r="A6" s="5" t="s">
        <v>24</v>
      </c>
      <c r="B6" s="5" t="n">
        <v>43</v>
      </c>
      <c r="C6" s="5" t="s">
        <v>19</v>
      </c>
      <c r="D6" s="5" t="n">
        <v>3</v>
      </c>
      <c r="E6" s="5" t="n">
        <v>3</v>
      </c>
      <c r="F6" s="5" t="n">
        <v>3</v>
      </c>
      <c r="G6" s="5" t="n">
        <f aca="false">F6-D6</f>
        <v>0</v>
      </c>
      <c r="H6" s="5" t="str">
        <f aca="false">IF(B6&gt;=الاتفاق!$C$3,"نعم","لا")</f>
        <v>نعم</v>
      </c>
    </row>
    <row r="7" customFormat="false" ht="17.9" hidden="false" customHeight="false" outlineLevel="0" collapsed="false">
      <c r="A7" s="5" t="s">
        <v>25</v>
      </c>
      <c r="B7" s="5" t="n">
        <v>28</v>
      </c>
      <c r="C7" s="5" t="s">
        <v>19</v>
      </c>
      <c r="D7" s="5" t="n">
        <v>2</v>
      </c>
      <c r="E7" s="5" t="n">
        <v>2</v>
      </c>
      <c r="F7" s="5" t="n">
        <v>2</v>
      </c>
      <c r="G7" s="5" t="n">
        <f aca="false">F7-D7</f>
        <v>0</v>
      </c>
      <c r="H7" s="5" t="str">
        <f aca="false">IF(B7&gt;=الاتفاق!$C$3,"نعم","لا")</f>
        <v>لا</v>
      </c>
    </row>
    <row r="8" customFormat="false" ht="17.9" hidden="false" customHeight="false" outlineLevel="0" collapsed="false">
      <c r="A8" s="5" t="s">
        <v>26</v>
      </c>
      <c r="B8" s="5" t="n">
        <v>9</v>
      </c>
      <c r="C8" s="5" t="s">
        <v>21</v>
      </c>
      <c r="D8" s="5" t="n">
        <v>1</v>
      </c>
      <c r="E8" s="5" t="n">
        <v>0</v>
      </c>
      <c r="F8" s="5" t="n">
        <v>0</v>
      </c>
      <c r="G8" s="5" t="n">
        <f aca="false">F8-D8</f>
        <v>-1</v>
      </c>
      <c r="H8" s="5" t="str">
        <f aca="false">IF(B8&gt;=الاتفاق!$C$3,"نعم","لا")</f>
        <v>لا</v>
      </c>
    </row>
    <row r="9" customFormat="false" ht="17.9" hidden="false" customHeight="false" outlineLevel="0" collapsed="false">
      <c r="A9" s="5" t="s">
        <v>27</v>
      </c>
      <c r="B9" s="5" t="n">
        <v>23</v>
      </c>
      <c r="C9" s="5" t="s">
        <v>19</v>
      </c>
      <c r="D9" s="5" t="n">
        <v>2</v>
      </c>
      <c r="E9" s="5" t="n">
        <v>2</v>
      </c>
      <c r="F9" s="5" t="n">
        <v>2</v>
      </c>
      <c r="G9" s="5" t="n">
        <f aca="false">F9-D9</f>
        <v>0</v>
      </c>
      <c r="H9" s="5" t="str">
        <f aca="false">IF(B9&gt;=الاتفاق!$C$3,"نعم","لا")</f>
        <v>لا</v>
      </c>
    </row>
    <row r="10" customFormat="false" ht="17.9" hidden="false" customHeight="false" outlineLevel="0" collapsed="false">
      <c r="A10" s="5" t="s">
        <v>28</v>
      </c>
      <c r="B10" s="5" t="n">
        <v>4</v>
      </c>
      <c r="C10" s="5" t="s">
        <v>21</v>
      </c>
      <c r="D10" s="5" t="n">
        <v>0</v>
      </c>
      <c r="E10" s="5" t="n">
        <v>1</v>
      </c>
      <c r="F10" s="5" t="n">
        <v>0</v>
      </c>
      <c r="G10" s="5" t="n">
        <f aca="false">F10-D10</f>
        <v>0</v>
      </c>
      <c r="H10" s="5" t="str">
        <f aca="false">IF(B10&gt;=الاتفاق!$C$3,"نعم","لا")</f>
        <v>لا</v>
      </c>
    </row>
    <row r="11" customFormat="false" ht="17.9" hidden="false" customHeight="false" outlineLevel="0" collapsed="false">
      <c r="A11" s="5" t="s">
        <v>29</v>
      </c>
      <c r="B11" s="5" t="n">
        <v>29</v>
      </c>
      <c r="C11" s="5" t="s">
        <v>19</v>
      </c>
      <c r="D11" s="5" t="n">
        <v>2</v>
      </c>
      <c r="E11" s="5" t="n">
        <v>1</v>
      </c>
      <c r="F11" s="5" t="n">
        <v>2</v>
      </c>
      <c r="G11" s="5" t="n">
        <f aca="false">F11-D11</f>
        <v>0</v>
      </c>
      <c r="H11" s="5" t="str">
        <f aca="false">IF(B11&gt;=الاتفاق!$C$3,"نعم","لا")</f>
        <v>لا</v>
      </c>
    </row>
    <row r="12" customFormat="false" ht="17.9" hidden="false" customHeight="false" outlineLevel="0" collapsed="false">
      <c r="A12" s="5" t="s">
        <v>30</v>
      </c>
      <c r="B12" s="5" t="n">
        <v>19</v>
      </c>
      <c r="C12" s="5" t="s">
        <v>19</v>
      </c>
      <c r="D12" s="5" t="n">
        <v>1</v>
      </c>
      <c r="E12" s="5" t="n">
        <v>1</v>
      </c>
      <c r="F12" s="5" t="n">
        <v>1</v>
      </c>
      <c r="G12" s="5" t="n">
        <f aca="false">F12-D12</f>
        <v>0</v>
      </c>
      <c r="H12" s="5" t="str">
        <f aca="false">IF(B12&gt;=الاتفاق!$C$3,"نعم","لا")</f>
        <v>لا</v>
      </c>
    </row>
    <row r="13" customFormat="false" ht="17.9" hidden="false" customHeight="false" outlineLevel="0" collapsed="false">
      <c r="A13" s="5" t="s">
        <v>31</v>
      </c>
      <c r="B13" s="5" t="n">
        <v>23</v>
      </c>
      <c r="C13" s="5" t="s">
        <v>19</v>
      </c>
      <c r="D13" s="5" t="n">
        <v>3</v>
      </c>
      <c r="E13" s="5" t="n">
        <v>3</v>
      </c>
      <c r="F13" s="5" t="n">
        <v>3</v>
      </c>
      <c r="G13" s="5" t="n">
        <f aca="false">F13-D13</f>
        <v>0</v>
      </c>
      <c r="H13" s="5" t="str">
        <f aca="false">IF(B13&gt;=الاتفاق!$C$3,"نعم","لا")</f>
        <v>لا</v>
      </c>
    </row>
    <row r="14" customFormat="false" ht="17.9" hidden="false" customHeight="false" outlineLevel="0" collapsed="false">
      <c r="A14" s="5" t="s">
        <v>32</v>
      </c>
      <c r="B14" s="5" t="n">
        <v>23</v>
      </c>
      <c r="C14" s="5" t="s">
        <v>19</v>
      </c>
      <c r="D14" s="5" t="n">
        <v>0</v>
      </c>
      <c r="E14" s="5" t="n">
        <v>0</v>
      </c>
      <c r="F14" s="5" t="n">
        <v>0</v>
      </c>
      <c r="G14" s="5" t="n">
        <f aca="false">F14-D14</f>
        <v>0</v>
      </c>
      <c r="H14" s="5" t="str">
        <f aca="false">IF(B14&gt;=الاتفاق!$C$3,"نعم","لا")</f>
        <v>لا</v>
      </c>
    </row>
    <row r="15" customFormat="false" ht="17.9" hidden="false" customHeight="false" outlineLevel="0" collapsed="false">
      <c r="A15" s="5" t="s">
        <v>33</v>
      </c>
      <c r="B15" s="5" t="n">
        <v>21</v>
      </c>
      <c r="C15" s="5" t="s">
        <v>19</v>
      </c>
      <c r="D15" s="5" t="n">
        <v>3</v>
      </c>
      <c r="E15" s="5" t="n">
        <v>3</v>
      </c>
      <c r="F15" s="5" t="n">
        <v>3</v>
      </c>
      <c r="G15" s="5" t="n">
        <f aca="false">F15-D15</f>
        <v>0</v>
      </c>
      <c r="H15" s="5" t="str">
        <f aca="false">IF(B15&gt;=الاتفاق!$C$3,"نعم","لا")</f>
        <v>لا</v>
      </c>
    </row>
    <row r="16" customFormat="false" ht="17.9" hidden="false" customHeight="false" outlineLevel="0" collapsed="false">
      <c r="A16" s="5" t="s">
        <v>34</v>
      </c>
      <c r="B16" s="5" t="n">
        <v>21</v>
      </c>
      <c r="C16" s="5" t="s">
        <v>19</v>
      </c>
      <c r="D16" s="5" t="n">
        <v>2</v>
      </c>
      <c r="E16" s="5" t="n">
        <v>2</v>
      </c>
      <c r="F16" s="5" t="n">
        <v>2</v>
      </c>
      <c r="G16" s="5" t="n">
        <f aca="false">F16-D16</f>
        <v>0</v>
      </c>
      <c r="H16" s="5" t="str">
        <f aca="false">IF(B16&gt;=الاتفاق!$C$3,"نعم","لا")</f>
        <v>لا</v>
      </c>
    </row>
    <row r="17" customFormat="false" ht="17.9" hidden="false" customHeight="false" outlineLevel="0" collapsed="false">
      <c r="A17" s="5" t="s">
        <v>35</v>
      </c>
      <c r="B17" s="5" t="n">
        <v>32</v>
      </c>
      <c r="C17" s="5" t="s">
        <v>19</v>
      </c>
      <c r="D17" s="5" t="n">
        <v>3</v>
      </c>
      <c r="E17" s="5" t="n">
        <v>3</v>
      </c>
      <c r="F17" s="5" t="n">
        <v>3</v>
      </c>
      <c r="G17" s="5" t="n">
        <f aca="false">F17-D17</f>
        <v>0</v>
      </c>
      <c r="H17" s="5" t="str">
        <f aca="false">IF(B17&gt;=الاتفاق!$C$3,"نعم","لا")</f>
        <v>لا</v>
      </c>
    </row>
    <row r="18" customFormat="false" ht="17.9" hidden="false" customHeight="false" outlineLevel="0" collapsed="false">
      <c r="A18" s="5" t="s">
        <v>36</v>
      </c>
      <c r="B18" s="5" t="n">
        <v>46</v>
      </c>
      <c r="C18" s="5" t="s">
        <v>21</v>
      </c>
      <c r="D18" s="5" t="n">
        <v>2</v>
      </c>
      <c r="E18" s="5" t="n">
        <v>2</v>
      </c>
      <c r="F18" s="5" t="n">
        <v>1</v>
      </c>
      <c r="G18" s="5" t="n">
        <f aca="false">F18-D18</f>
        <v>-1</v>
      </c>
      <c r="H18" s="5" t="str">
        <f aca="false">IF(B18&gt;=الاتفاق!$C$3,"نعم","لا")</f>
        <v>نعم</v>
      </c>
    </row>
    <row r="19" customFormat="false" ht="17.9" hidden="false" customHeight="false" outlineLevel="0" collapsed="false">
      <c r="A19" s="5" t="s">
        <v>37</v>
      </c>
      <c r="B19" s="5" t="n">
        <v>6</v>
      </c>
      <c r="C19" s="5" t="s">
        <v>19</v>
      </c>
      <c r="D19" s="5" t="n">
        <v>0</v>
      </c>
      <c r="E19" s="5" t="n">
        <v>0</v>
      </c>
      <c r="F19" s="5" t="n">
        <v>0</v>
      </c>
      <c r="G19" s="5" t="n">
        <f aca="false">F19-D19</f>
        <v>0</v>
      </c>
      <c r="H19" s="5" t="str">
        <f aca="false">IF(B19&gt;=الاتفاق!$C$3,"نعم","لا")</f>
        <v>لا</v>
      </c>
    </row>
    <row r="20" customFormat="false" ht="17.9" hidden="false" customHeight="false" outlineLevel="0" collapsed="false">
      <c r="A20" s="5" t="s">
        <v>38</v>
      </c>
      <c r="B20" s="5" t="n">
        <v>15</v>
      </c>
      <c r="C20" s="5" t="s">
        <v>21</v>
      </c>
      <c r="D20" s="5" t="n">
        <v>0</v>
      </c>
      <c r="E20" s="5" t="n">
        <v>0</v>
      </c>
      <c r="F20" s="5" t="n">
        <v>0</v>
      </c>
      <c r="G20" s="5" t="n">
        <f aca="false">F20-D20</f>
        <v>0</v>
      </c>
      <c r="H20" s="5" t="str">
        <f aca="false">IF(B20&gt;=الاتفاق!$C$3,"نعم","لا")</f>
        <v>لا</v>
      </c>
    </row>
    <row r="21" customFormat="false" ht="17.9" hidden="false" customHeight="false" outlineLevel="0" collapsed="false">
      <c r="A21" s="5" t="s">
        <v>39</v>
      </c>
      <c r="B21" s="5" t="n">
        <v>29</v>
      </c>
      <c r="C21" s="5" t="s">
        <v>21</v>
      </c>
      <c r="D21" s="5" t="n">
        <v>0</v>
      </c>
      <c r="E21" s="5" t="n">
        <v>1</v>
      </c>
      <c r="F21" s="5" t="n">
        <v>0</v>
      </c>
      <c r="G21" s="5" t="n">
        <f aca="false">F21-D21</f>
        <v>0</v>
      </c>
      <c r="H21" s="5" t="str">
        <f aca="false">IF(B21&gt;=الاتفاق!$C$3,"نعم","لا")</f>
        <v>لا</v>
      </c>
    </row>
    <row r="22" customFormat="false" ht="17.9" hidden="false" customHeight="false" outlineLevel="0" collapsed="false">
      <c r="A22" s="5" t="s">
        <v>40</v>
      </c>
      <c r="B22" s="5" t="n">
        <v>44</v>
      </c>
      <c r="C22" s="5" t="s">
        <v>21</v>
      </c>
      <c r="D22" s="5" t="n">
        <v>3</v>
      </c>
      <c r="E22" s="5" t="n">
        <v>3</v>
      </c>
      <c r="F22" s="5" t="n">
        <v>3</v>
      </c>
      <c r="G22" s="5" t="n">
        <f aca="false">F22-D22</f>
        <v>0</v>
      </c>
      <c r="H22" s="5" t="str">
        <f aca="false">IF(B22&gt;=الاتفاق!$C$3,"نعم","لا")</f>
        <v>نعم</v>
      </c>
    </row>
    <row r="23" customFormat="false" ht="17.9" hidden="false" customHeight="false" outlineLevel="0" collapsed="false">
      <c r="A23" s="5" t="s">
        <v>41</v>
      </c>
      <c r="B23" s="5" t="n">
        <v>57</v>
      </c>
      <c r="C23" s="5" t="s">
        <v>19</v>
      </c>
      <c r="D23" s="5" t="n">
        <v>3</v>
      </c>
      <c r="E23" s="5" t="n">
        <v>3</v>
      </c>
      <c r="F23" s="5" t="n">
        <v>3</v>
      </c>
      <c r="G23" s="5" t="n">
        <f aca="false">F23-D23</f>
        <v>0</v>
      </c>
      <c r="H23" s="5" t="str">
        <f aca="false">IF(B23&gt;=الاتفاق!$C$3,"نعم","لا")</f>
        <v>نعم</v>
      </c>
    </row>
    <row r="24" customFormat="false" ht="17.9" hidden="false" customHeight="false" outlineLevel="0" collapsed="false">
      <c r="A24" s="5" t="s">
        <v>42</v>
      </c>
      <c r="B24" s="5" t="n">
        <v>20</v>
      </c>
      <c r="C24" s="5" t="s">
        <v>19</v>
      </c>
      <c r="D24" s="5" t="n">
        <v>1</v>
      </c>
      <c r="E24" s="5" t="n">
        <v>0</v>
      </c>
      <c r="F24" s="5" t="n">
        <v>0</v>
      </c>
      <c r="G24" s="5" t="n">
        <f aca="false">F24-D24</f>
        <v>-1</v>
      </c>
      <c r="H24" s="5" t="str">
        <f aca="false">IF(B24&gt;=الاتفاق!$C$3,"نعم","لا")</f>
        <v>لا</v>
      </c>
    </row>
    <row r="25" customFormat="false" ht="17.9" hidden="false" customHeight="false" outlineLevel="0" collapsed="false">
      <c r="A25" s="5" t="s">
        <v>43</v>
      </c>
      <c r="B25" s="5" t="n">
        <v>25</v>
      </c>
      <c r="C25" s="5" t="s">
        <v>19</v>
      </c>
      <c r="D25" s="5" t="n">
        <v>0</v>
      </c>
      <c r="E25" s="5" t="n">
        <v>0</v>
      </c>
      <c r="F25" s="5" t="n">
        <v>0</v>
      </c>
      <c r="G25" s="5" t="n">
        <f aca="false">F25-D25</f>
        <v>0</v>
      </c>
      <c r="H25" s="5" t="str">
        <f aca="false">IF(B25&gt;=الاتفاق!$C$3,"نعم","لا")</f>
        <v>لا</v>
      </c>
    </row>
    <row r="26" customFormat="false" ht="17.9" hidden="false" customHeight="false" outlineLevel="0" collapsed="false">
      <c r="A26" s="5" t="s">
        <v>44</v>
      </c>
      <c r="B26" s="5" t="n">
        <v>31</v>
      </c>
      <c r="C26" s="5" t="s">
        <v>19</v>
      </c>
      <c r="D26" s="5" t="n">
        <v>1</v>
      </c>
      <c r="E26" s="5" t="n">
        <v>1</v>
      </c>
      <c r="F26" s="5" t="n">
        <v>2</v>
      </c>
      <c r="G26" s="5" t="n">
        <f aca="false">F26-D26</f>
        <v>1</v>
      </c>
      <c r="H26" s="5" t="str">
        <f aca="false">IF(B26&gt;=الاتفاق!$C$3,"نعم","لا")</f>
        <v>لا</v>
      </c>
    </row>
    <row r="27" customFormat="false" ht="17.9" hidden="false" customHeight="false" outlineLevel="0" collapsed="false">
      <c r="A27" s="5" t="s">
        <v>45</v>
      </c>
      <c r="B27" s="5" t="n">
        <v>34</v>
      </c>
      <c r="C27" s="5" t="s">
        <v>19</v>
      </c>
      <c r="D27" s="5" t="n">
        <v>1</v>
      </c>
      <c r="E27" s="5" t="n">
        <v>1</v>
      </c>
      <c r="F27" s="5" t="n">
        <v>0</v>
      </c>
      <c r="G27" s="5" t="n">
        <f aca="false">F27-D27</f>
        <v>-1</v>
      </c>
      <c r="H27" s="5" t="str">
        <f aca="false">IF(B27&gt;=الاتفاق!$C$3,"نعم","لا")</f>
        <v>لا</v>
      </c>
    </row>
    <row r="28" customFormat="false" ht="17.9" hidden="false" customHeight="false" outlineLevel="0" collapsed="false">
      <c r="A28" s="5" t="s">
        <v>46</v>
      </c>
      <c r="B28" s="5" t="n">
        <v>9</v>
      </c>
      <c r="C28" s="5" t="s">
        <v>19</v>
      </c>
      <c r="D28" s="5" t="n">
        <v>1</v>
      </c>
      <c r="E28" s="5" t="n">
        <v>1</v>
      </c>
      <c r="F28" s="5" t="n">
        <v>1</v>
      </c>
      <c r="G28" s="5" t="n">
        <f aca="false">F28-D28</f>
        <v>0</v>
      </c>
      <c r="H28" s="5" t="str">
        <f aca="false">IF(B28&gt;=الاتفاق!$C$3,"نعم","لا")</f>
        <v>لا</v>
      </c>
    </row>
    <row r="29" customFormat="false" ht="17.9" hidden="false" customHeight="false" outlineLevel="0" collapsed="false">
      <c r="A29" s="5" t="s">
        <v>47</v>
      </c>
      <c r="B29" s="5" t="n">
        <v>16</v>
      </c>
      <c r="C29" s="5" t="s">
        <v>19</v>
      </c>
      <c r="D29" s="5" t="n">
        <v>0</v>
      </c>
      <c r="E29" s="5" t="n">
        <v>0</v>
      </c>
      <c r="F29" s="5" t="n">
        <v>0</v>
      </c>
      <c r="G29" s="5" t="n">
        <f aca="false">F29-D29</f>
        <v>0</v>
      </c>
      <c r="H29" s="5" t="str">
        <f aca="false">IF(B29&gt;=الاتفاق!$C$3,"نعم","لا")</f>
        <v>لا</v>
      </c>
    </row>
    <row r="30" customFormat="false" ht="17.9" hidden="false" customHeight="false" outlineLevel="0" collapsed="false">
      <c r="A30" s="5" t="s">
        <v>48</v>
      </c>
      <c r="B30" s="5" t="n">
        <v>7</v>
      </c>
      <c r="C30" s="5" t="s">
        <v>19</v>
      </c>
      <c r="D30" s="5" t="n">
        <v>0</v>
      </c>
      <c r="E30" s="5" t="n">
        <v>0</v>
      </c>
      <c r="F30" s="5" t="n">
        <v>0</v>
      </c>
      <c r="G30" s="5" t="n">
        <f aca="false">F30-D30</f>
        <v>0</v>
      </c>
      <c r="H30" s="5" t="str">
        <f aca="false">IF(B30&gt;=الاتفاق!$C$3,"نعم","لا")</f>
        <v>لا</v>
      </c>
    </row>
    <row r="31" customFormat="false" ht="17.9" hidden="false" customHeight="false" outlineLevel="0" collapsed="false">
      <c r="A31" s="5" t="s">
        <v>49</v>
      </c>
      <c r="B31" s="5" t="n">
        <v>20</v>
      </c>
      <c r="C31" s="5" t="s">
        <v>19</v>
      </c>
      <c r="D31" s="5" t="n">
        <v>1</v>
      </c>
      <c r="E31" s="5" t="n">
        <v>0</v>
      </c>
      <c r="F31" s="5" t="n">
        <v>1</v>
      </c>
      <c r="G31" s="5" t="n">
        <f aca="false">F31-D31</f>
        <v>0</v>
      </c>
      <c r="H31" s="5" t="str">
        <f aca="false">IF(B31&gt;=الاتفاق!$C$3,"نعم","لا")</f>
        <v>لا</v>
      </c>
    </row>
    <row r="32" customFormat="false" ht="17.9" hidden="false" customHeight="false" outlineLevel="0" collapsed="false">
      <c r="A32" s="5" t="s">
        <v>50</v>
      </c>
      <c r="B32" s="5" t="n">
        <v>45</v>
      </c>
      <c r="C32" s="5" t="s">
        <v>21</v>
      </c>
      <c r="D32" s="5" t="n">
        <v>3</v>
      </c>
      <c r="E32" s="5" t="n">
        <v>3</v>
      </c>
      <c r="F32" s="5" t="n">
        <v>3</v>
      </c>
      <c r="G32" s="5" t="n">
        <f aca="false">F32-D32</f>
        <v>0</v>
      </c>
      <c r="H32" s="5" t="str">
        <f aca="false">IF(B32&gt;=الاتفاق!$C$3,"نعم","لا")</f>
        <v>نعم</v>
      </c>
    </row>
    <row r="33" customFormat="false" ht="17.9" hidden="false" customHeight="false" outlineLevel="0" collapsed="false">
      <c r="A33" s="5" t="s">
        <v>51</v>
      </c>
      <c r="B33" s="5" t="n">
        <v>26</v>
      </c>
      <c r="C33" s="5" t="s">
        <v>19</v>
      </c>
      <c r="D33" s="5" t="n">
        <v>2</v>
      </c>
      <c r="E33" s="5" t="n">
        <v>1</v>
      </c>
      <c r="F33" s="5" t="n">
        <v>2</v>
      </c>
      <c r="G33" s="5" t="n">
        <f aca="false">F33-D33</f>
        <v>0</v>
      </c>
      <c r="H33" s="5" t="str">
        <f aca="false">IF(B33&gt;=الاتفاق!$C$3,"نعم","لا")</f>
        <v>لا</v>
      </c>
    </row>
    <row r="34" customFormat="false" ht="17.9" hidden="false" customHeight="false" outlineLevel="0" collapsed="false">
      <c r="A34" s="5" t="s">
        <v>52</v>
      </c>
      <c r="B34" s="5" t="n">
        <v>19</v>
      </c>
      <c r="C34" s="5" t="s">
        <v>21</v>
      </c>
      <c r="D34" s="5" t="n">
        <v>1</v>
      </c>
      <c r="E34" s="5" t="n">
        <v>1</v>
      </c>
      <c r="F34" s="5" t="n">
        <v>1</v>
      </c>
      <c r="G34" s="5" t="n">
        <f aca="false">F34-D34</f>
        <v>0</v>
      </c>
      <c r="H34" s="5" t="str">
        <f aca="false">IF(B34&gt;=الاتفاق!$C$3,"نعم","لا")</f>
        <v>لا</v>
      </c>
    </row>
    <row r="35" customFormat="false" ht="17.9" hidden="false" customHeight="false" outlineLevel="0" collapsed="false">
      <c r="A35" s="5" t="s">
        <v>53</v>
      </c>
      <c r="B35" s="5" t="n">
        <v>4</v>
      </c>
      <c r="C35" s="5" t="s">
        <v>19</v>
      </c>
      <c r="D35" s="5" t="n">
        <v>2</v>
      </c>
      <c r="E35" s="5" t="n">
        <v>1</v>
      </c>
      <c r="F35" s="5" t="n">
        <v>1</v>
      </c>
      <c r="G35" s="5" t="n">
        <f aca="false">F35-D35</f>
        <v>-1</v>
      </c>
      <c r="H35" s="5" t="str">
        <f aca="false">IF(B35&gt;=الاتفاق!$C$3,"نعم","لا")</f>
        <v>لا</v>
      </c>
    </row>
    <row r="36" customFormat="false" ht="17.9" hidden="false" customHeight="false" outlineLevel="0" collapsed="false">
      <c r="A36" s="5" t="s">
        <v>54</v>
      </c>
      <c r="B36" s="5" t="n">
        <v>29</v>
      </c>
      <c r="C36" s="5" t="s">
        <v>19</v>
      </c>
      <c r="D36" s="5" t="n">
        <v>1</v>
      </c>
      <c r="E36" s="5" t="n">
        <v>2</v>
      </c>
      <c r="F36" s="5" t="n">
        <v>2</v>
      </c>
      <c r="G36" s="5" t="n">
        <f aca="false">F36-D36</f>
        <v>1</v>
      </c>
      <c r="H36" s="5" t="str">
        <f aca="false">IF(B36&gt;=الاتفاق!$C$3,"نعم","لا")</f>
        <v>لا</v>
      </c>
    </row>
    <row r="37" customFormat="false" ht="17.9" hidden="false" customHeight="false" outlineLevel="0" collapsed="false">
      <c r="A37" s="5" t="s">
        <v>55</v>
      </c>
      <c r="B37" s="5" t="n">
        <v>36</v>
      </c>
      <c r="C37" s="5" t="s">
        <v>21</v>
      </c>
      <c r="D37" s="5" t="n">
        <v>0</v>
      </c>
      <c r="E37" s="5" t="n">
        <v>0</v>
      </c>
      <c r="F37" s="5" t="n">
        <v>0</v>
      </c>
      <c r="G37" s="5" t="n">
        <f aca="false">F37-D37</f>
        <v>0</v>
      </c>
      <c r="H37" s="5" t="str">
        <f aca="false">IF(B37&gt;=الاتفاق!$C$3,"نعم","لا")</f>
        <v>نعم</v>
      </c>
    </row>
    <row r="38" customFormat="false" ht="17.9" hidden="false" customHeight="false" outlineLevel="0" collapsed="false">
      <c r="A38" s="5" t="s">
        <v>56</v>
      </c>
      <c r="B38" s="5" t="n">
        <v>5</v>
      </c>
      <c r="C38" s="5" t="s">
        <v>19</v>
      </c>
      <c r="D38" s="5" t="n">
        <v>1</v>
      </c>
      <c r="E38" s="5" t="n">
        <v>1</v>
      </c>
      <c r="F38" s="5" t="n">
        <v>1</v>
      </c>
      <c r="G38" s="5" t="n">
        <f aca="false">F38-D38</f>
        <v>0</v>
      </c>
      <c r="H38" s="5" t="str">
        <f aca="false">IF(B38&gt;=الاتفاق!$C$3,"نعم","لا")</f>
        <v>لا</v>
      </c>
    </row>
    <row r="39" customFormat="false" ht="17.9" hidden="false" customHeight="false" outlineLevel="0" collapsed="false">
      <c r="A39" s="5" t="s">
        <v>57</v>
      </c>
      <c r="B39" s="5" t="n">
        <v>14</v>
      </c>
      <c r="C39" s="5" t="s">
        <v>19</v>
      </c>
      <c r="D39" s="5" t="n">
        <v>0</v>
      </c>
      <c r="E39" s="5" t="n">
        <v>0</v>
      </c>
      <c r="F39" s="5" t="n">
        <v>0</v>
      </c>
      <c r="G39" s="5" t="n">
        <f aca="false">F39-D39</f>
        <v>0</v>
      </c>
      <c r="H39" s="5" t="str">
        <f aca="false">IF(B39&gt;=الاتفاق!$C$3,"نعم","لا")</f>
        <v>لا</v>
      </c>
    </row>
    <row r="40" customFormat="false" ht="17.9" hidden="false" customHeight="false" outlineLevel="0" collapsed="false">
      <c r="A40" s="5" t="s">
        <v>58</v>
      </c>
      <c r="B40" s="5" t="n">
        <v>12</v>
      </c>
      <c r="C40" s="5" t="s">
        <v>19</v>
      </c>
      <c r="D40" s="5" t="n">
        <v>0</v>
      </c>
      <c r="E40" s="5" t="n">
        <v>1</v>
      </c>
      <c r="F40" s="5" t="n">
        <v>1</v>
      </c>
      <c r="G40" s="5" t="n">
        <f aca="false">F40-D40</f>
        <v>1</v>
      </c>
      <c r="H40" s="5" t="str">
        <f aca="false">IF(B40&gt;=الاتفاق!$C$3,"نعم","لا")</f>
        <v>لا</v>
      </c>
    </row>
    <row r="41" customFormat="false" ht="17.9" hidden="false" customHeight="false" outlineLevel="0" collapsed="false">
      <c r="A41" s="5" t="s">
        <v>59</v>
      </c>
      <c r="B41" s="5" t="n">
        <v>33</v>
      </c>
      <c r="C41" s="5" t="s">
        <v>19</v>
      </c>
      <c r="D41" s="5" t="n">
        <v>2</v>
      </c>
      <c r="E41" s="5" t="n">
        <v>2</v>
      </c>
      <c r="F41" s="5" t="n">
        <v>2</v>
      </c>
      <c r="G41" s="5" t="n">
        <f aca="false">F41-D41</f>
        <v>0</v>
      </c>
      <c r="H41" s="5" t="str">
        <f aca="false">IF(B41&gt;=الاتفاق!$C$3,"نعم","لا")</f>
        <v>لا</v>
      </c>
    </row>
    <row r="42" customFormat="false" ht="17.9" hidden="false" customHeight="false" outlineLevel="0" collapsed="false">
      <c r="A42" s="5" t="s">
        <v>60</v>
      </c>
      <c r="B42" s="5" t="n">
        <v>27</v>
      </c>
      <c r="C42" s="5" t="s">
        <v>19</v>
      </c>
      <c r="D42" s="5" t="n">
        <v>1</v>
      </c>
      <c r="E42" s="5" t="n">
        <v>1</v>
      </c>
      <c r="F42" s="5" t="n">
        <v>1</v>
      </c>
      <c r="G42" s="5" t="n">
        <f aca="false">F42-D42</f>
        <v>0</v>
      </c>
      <c r="H42" s="5" t="str">
        <f aca="false">IF(B42&gt;=الاتفاق!$C$3,"نعم","لا")</f>
        <v>لا</v>
      </c>
    </row>
    <row r="43" customFormat="false" ht="17.9" hidden="false" customHeight="false" outlineLevel="0" collapsed="false">
      <c r="A43" s="5" t="s">
        <v>61</v>
      </c>
      <c r="B43" s="5" t="n">
        <v>28</v>
      </c>
      <c r="C43" s="5" t="s">
        <v>19</v>
      </c>
      <c r="D43" s="5" t="n">
        <v>2</v>
      </c>
      <c r="E43" s="5" t="n">
        <v>3</v>
      </c>
      <c r="F43" s="5" t="n">
        <v>3</v>
      </c>
      <c r="G43" s="5" t="n">
        <f aca="false">F43-D43</f>
        <v>1</v>
      </c>
      <c r="H43" s="5" t="str">
        <f aca="false">IF(B43&gt;=الاتفاق!$C$3,"نعم","لا")</f>
        <v>لا</v>
      </c>
    </row>
    <row r="44" customFormat="false" ht="17.9" hidden="false" customHeight="false" outlineLevel="0" collapsed="false">
      <c r="A44" s="5" t="s">
        <v>62</v>
      </c>
      <c r="B44" s="5" t="n">
        <v>29</v>
      </c>
      <c r="C44" s="5" t="s">
        <v>19</v>
      </c>
      <c r="D44" s="5" t="n">
        <v>3</v>
      </c>
      <c r="E44" s="5" t="n">
        <v>2</v>
      </c>
      <c r="F44" s="5" t="n">
        <v>2</v>
      </c>
      <c r="G44" s="5" t="n">
        <f aca="false">F44-D44</f>
        <v>-1</v>
      </c>
      <c r="H44" s="5" t="str">
        <f aca="false">IF(B44&gt;=الاتفاق!$C$3,"نعم","لا")</f>
        <v>لا</v>
      </c>
    </row>
    <row r="45" customFormat="false" ht="17.9" hidden="false" customHeight="false" outlineLevel="0" collapsed="false">
      <c r="A45" s="5" t="s">
        <v>63</v>
      </c>
      <c r="B45" s="5" t="n">
        <v>43</v>
      </c>
      <c r="C45" s="5" t="s">
        <v>19</v>
      </c>
      <c r="D45" s="5" t="n">
        <v>3</v>
      </c>
      <c r="E45" s="5" t="n">
        <v>3</v>
      </c>
      <c r="F45" s="5" t="n">
        <v>3</v>
      </c>
      <c r="G45" s="5" t="n">
        <f aca="false">F45-D45</f>
        <v>0</v>
      </c>
      <c r="H45" s="5" t="str">
        <f aca="false">IF(B45&gt;=الاتفاق!$C$3,"نعم","لا")</f>
        <v>نعم</v>
      </c>
    </row>
    <row r="46" customFormat="false" ht="17.9" hidden="false" customHeight="false" outlineLevel="0" collapsed="false">
      <c r="A46" s="5" t="s">
        <v>64</v>
      </c>
      <c r="B46" s="5" t="n">
        <v>52</v>
      </c>
      <c r="C46" s="5" t="s">
        <v>19</v>
      </c>
      <c r="D46" s="5" t="n">
        <v>3</v>
      </c>
      <c r="E46" s="5" t="n">
        <v>3</v>
      </c>
      <c r="F46" s="5" t="n">
        <v>3</v>
      </c>
      <c r="G46" s="5" t="n">
        <f aca="false">F46-D46</f>
        <v>0</v>
      </c>
      <c r="H46" s="5" t="str">
        <f aca="false">IF(B46&gt;=الاتفاق!$C$3,"نعم","لا")</f>
        <v>نعم</v>
      </c>
    </row>
    <row r="47" customFormat="false" ht="17.9" hidden="false" customHeight="false" outlineLevel="0" collapsed="false">
      <c r="A47" s="5" t="s">
        <v>65</v>
      </c>
      <c r="B47" s="5" t="n">
        <v>25</v>
      </c>
      <c r="C47" s="5" t="s">
        <v>19</v>
      </c>
      <c r="D47" s="5" t="n">
        <v>2</v>
      </c>
      <c r="E47" s="5" t="n">
        <v>2</v>
      </c>
      <c r="F47" s="5" t="n">
        <v>2</v>
      </c>
      <c r="G47" s="5" t="n">
        <f aca="false">F47-D47</f>
        <v>0</v>
      </c>
      <c r="H47" s="5" t="str">
        <f aca="false">IF(B47&gt;=الاتفاق!$C$3,"نعم","لا")</f>
        <v>لا</v>
      </c>
    </row>
    <row r="48" customFormat="false" ht="17.9" hidden="false" customHeight="false" outlineLevel="0" collapsed="false">
      <c r="A48" s="5" t="s">
        <v>66</v>
      </c>
      <c r="B48" s="5" t="n">
        <v>39</v>
      </c>
      <c r="C48" s="5" t="s">
        <v>19</v>
      </c>
      <c r="D48" s="5" t="n">
        <v>3</v>
      </c>
      <c r="E48" s="5" t="n">
        <v>3</v>
      </c>
      <c r="F48" s="5" t="n">
        <v>3</v>
      </c>
      <c r="G48" s="5" t="n">
        <f aca="false">F48-D48</f>
        <v>0</v>
      </c>
      <c r="H48" s="5" t="str">
        <f aca="false">IF(B48&gt;=الاتفاق!$C$3,"نعم","لا")</f>
        <v>نعم</v>
      </c>
    </row>
    <row r="49" customFormat="false" ht="17.9" hidden="false" customHeight="false" outlineLevel="0" collapsed="false">
      <c r="A49" s="5" t="s">
        <v>67</v>
      </c>
      <c r="B49" s="5" t="n">
        <v>42</v>
      </c>
      <c r="C49" s="5" t="s">
        <v>19</v>
      </c>
      <c r="D49" s="5" t="n">
        <v>2</v>
      </c>
      <c r="E49" s="5" t="n">
        <v>2</v>
      </c>
      <c r="F49" s="5" t="n">
        <v>3</v>
      </c>
      <c r="G49" s="5" t="n">
        <f aca="false">F49-D49</f>
        <v>1</v>
      </c>
      <c r="H49" s="5" t="str">
        <f aca="false">IF(B49&gt;=الاتفاق!$C$3,"نعم","لا")</f>
        <v>نعم</v>
      </c>
    </row>
    <row r="50" customFormat="false" ht="17.9" hidden="false" customHeight="false" outlineLevel="0" collapsed="false">
      <c r="A50" s="5" t="s">
        <v>68</v>
      </c>
      <c r="B50" s="5" t="n">
        <v>26</v>
      </c>
      <c r="C50" s="5" t="s">
        <v>19</v>
      </c>
      <c r="D50" s="5" t="n">
        <v>1</v>
      </c>
      <c r="E50" s="5" t="n">
        <v>1</v>
      </c>
      <c r="F50" s="5" t="n">
        <v>2</v>
      </c>
      <c r="G50" s="5" t="n">
        <f aca="false">F50-D50</f>
        <v>1</v>
      </c>
      <c r="H50" s="5" t="str">
        <f aca="false">IF(B50&gt;=الاتفاق!$C$3,"نعم","لا")</f>
        <v>لا</v>
      </c>
    </row>
    <row r="51" customFormat="false" ht="17.9" hidden="false" customHeight="false" outlineLevel="0" collapsed="false">
      <c r="A51" s="5" t="s">
        <v>69</v>
      </c>
      <c r="B51" s="5" t="n">
        <v>11</v>
      </c>
      <c r="C51" s="5" t="s">
        <v>19</v>
      </c>
      <c r="D51" s="5" t="n">
        <v>1</v>
      </c>
      <c r="E51" s="5" t="n">
        <v>1</v>
      </c>
      <c r="F51" s="5" t="n">
        <v>1</v>
      </c>
      <c r="G51" s="5" t="n">
        <f aca="false">F51-D51</f>
        <v>0</v>
      </c>
      <c r="H51" s="5" t="str">
        <f aca="false">IF(B51&gt;=الاتفاق!$C$3,"نعم","لا")</f>
        <v>لا</v>
      </c>
    </row>
    <row r="52" customFormat="false" ht="17.9" hidden="false" customHeight="false" outlineLevel="0" collapsed="false">
      <c r="A52" s="5" t="s">
        <v>70</v>
      </c>
      <c r="B52" s="5" t="n">
        <v>55</v>
      </c>
      <c r="C52" s="5" t="s">
        <v>19</v>
      </c>
      <c r="D52" s="5" t="n">
        <v>3</v>
      </c>
      <c r="E52" s="5" t="n">
        <v>3</v>
      </c>
      <c r="F52" s="5" t="n">
        <v>3</v>
      </c>
      <c r="G52" s="5" t="n">
        <f aca="false">F52-D52</f>
        <v>0</v>
      </c>
      <c r="H52" s="5" t="str">
        <f aca="false">IF(B52&gt;=الاتفاق!$C$3,"نعم","لا")</f>
        <v>نعم</v>
      </c>
    </row>
    <row r="53" customFormat="false" ht="17.9" hidden="false" customHeight="false" outlineLevel="0" collapsed="false">
      <c r="A53" s="5" t="s">
        <v>71</v>
      </c>
      <c r="B53" s="5" t="n">
        <v>14</v>
      </c>
      <c r="C53" s="5" t="s">
        <v>19</v>
      </c>
      <c r="D53" s="5" t="n">
        <v>0</v>
      </c>
      <c r="E53" s="5" t="n">
        <v>0</v>
      </c>
      <c r="F53" s="5" t="n">
        <v>0</v>
      </c>
      <c r="G53" s="5" t="n">
        <f aca="false">F53-D53</f>
        <v>0</v>
      </c>
      <c r="H53" s="5" t="str">
        <f aca="false">IF(B53&gt;=الاتفاق!$C$3,"نعم","لا")</f>
        <v>لا</v>
      </c>
    </row>
    <row r="54" customFormat="false" ht="17.9" hidden="false" customHeight="false" outlineLevel="0" collapsed="false">
      <c r="A54" s="5" t="s">
        <v>72</v>
      </c>
      <c r="B54" s="5" t="n">
        <v>44</v>
      </c>
      <c r="C54" s="5" t="s">
        <v>19</v>
      </c>
      <c r="D54" s="5" t="n">
        <v>2</v>
      </c>
      <c r="E54" s="5" t="n">
        <v>2</v>
      </c>
      <c r="F54" s="5" t="n">
        <v>3</v>
      </c>
      <c r="G54" s="5" t="n">
        <f aca="false">F54-D54</f>
        <v>1</v>
      </c>
      <c r="H54" s="5" t="str">
        <f aca="false">IF(B54&gt;=الاتفاق!$C$3,"نعم","لا")</f>
        <v>نعم</v>
      </c>
    </row>
    <row r="55" customFormat="false" ht="17.9" hidden="false" customHeight="false" outlineLevel="0" collapsed="false">
      <c r="A55" s="5" t="s">
        <v>73</v>
      </c>
      <c r="B55" s="5" t="n">
        <v>48</v>
      </c>
      <c r="C55" s="5" t="s">
        <v>19</v>
      </c>
      <c r="D55" s="5" t="n">
        <v>3</v>
      </c>
      <c r="E55" s="5" t="n">
        <v>3</v>
      </c>
      <c r="F55" s="5" t="n">
        <v>3</v>
      </c>
      <c r="G55" s="5" t="n">
        <f aca="false">F55-D55</f>
        <v>0</v>
      </c>
      <c r="H55" s="5" t="str">
        <f aca="false">IF(B55&gt;=الاتفاق!$C$3,"نعم","لا")</f>
        <v>نعم</v>
      </c>
    </row>
    <row r="56" customFormat="false" ht="17.9" hidden="false" customHeight="false" outlineLevel="0" collapsed="false">
      <c r="A56" s="5" t="s">
        <v>74</v>
      </c>
      <c r="B56" s="5" t="n">
        <v>53</v>
      </c>
      <c r="C56" s="5" t="s">
        <v>19</v>
      </c>
      <c r="D56" s="5" t="n">
        <v>3</v>
      </c>
      <c r="E56" s="5" t="n">
        <v>3</v>
      </c>
      <c r="F56" s="5" t="n">
        <v>3</v>
      </c>
      <c r="G56" s="5" t="n">
        <f aca="false">F56-D56</f>
        <v>0</v>
      </c>
      <c r="H56" s="5" t="str">
        <f aca="false">IF(B56&gt;=الاتفاق!$C$3,"نعم","لا")</f>
        <v>نعم</v>
      </c>
    </row>
    <row r="57" customFormat="false" ht="17.9" hidden="false" customHeight="false" outlineLevel="0" collapsed="false">
      <c r="A57" s="5" t="s">
        <v>75</v>
      </c>
      <c r="B57" s="5" t="n">
        <v>42</v>
      </c>
      <c r="C57" s="5" t="s">
        <v>19</v>
      </c>
      <c r="D57" s="5" t="n">
        <v>3</v>
      </c>
      <c r="E57" s="5" t="n">
        <v>3</v>
      </c>
      <c r="F57" s="5" t="n">
        <v>3</v>
      </c>
      <c r="G57" s="5" t="n">
        <f aca="false">F57-D57</f>
        <v>0</v>
      </c>
      <c r="H57" s="5" t="str">
        <f aca="false">IF(B57&gt;=الاتفاق!$C$3,"نعم","لا")</f>
        <v>نعم</v>
      </c>
    </row>
    <row r="58" customFormat="false" ht="17.9" hidden="false" customHeight="false" outlineLevel="0" collapsed="false">
      <c r="A58" s="5" t="s">
        <v>76</v>
      </c>
      <c r="B58" s="5" t="n">
        <v>4</v>
      </c>
      <c r="C58" s="5" t="s">
        <v>19</v>
      </c>
      <c r="D58" s="5" t="n">
        <v>1</v>
      </c>
      <c r="E58" s="5" t="n">
        <v>1</v>
      </c>
      <c r="F58" s="5" t="n">
        <v>1</v>
      </c>
      <c r="G58" s="5" t="n">
        <f aca="false">F58-D58</f>
        <v>0</v>
      </c>
      <c r="H58" s="5" t="str">
        <f aca="false">IF(B58&gt;=الاتفاق!$C$3,"نعم","لا")</f>
        <v>لا</v>
      </c>
    </row>
    <row r="59" customFormat="false" ht="17.9" hidden="false" customHeight="false" outlineLevel="0" collapsed="false">
      <c r="A59" s="5" t="s">
        <v>77</v>
      </c>
      <c r="B59" s="5" t="n">
        <v>27</v>
      </c>
      <c r="C59" s="5" t="s">
        <v>21</v>
      </c>
      <c r="D59" s="5" t="n">
        <v>0</v>
      </c>
      <c r="E59" s="5" t="n">
        <v>0</v>
      </c>
      <c r="F59" s="5" t="n">
        <v>0</v>
      </c>
      <c r="G59" s="5" t="n">
        <f aca="false">F59-D59</f>
        <v>0</v>
      </c>
      <c r="H59" s="5" t="str">
        <f aca="false">IF(B59&gt;=الاتفاق!$C$3,"نعم","لا")</f>
        <v>لا</v>
      </c>
    </row>
    <row r="60" customFormat="false" ht="17.9" hidden="false" customHeight="false" outlineLevel="0" collapsed="false">
      <c r="A60" s="5" t="s">
        <v>78</v>
      </c>
      <c r="B60" s="5" t="n">
        <v>41</v>
      </c>
      <c r="C60" s="5" t="s">
        <v>21</v>
      </c>
      <c r="D60" s="5" t="n">
        <v>3</v>
      </c>
      <c r="E60" s="5" t="n">
        <v>3</v>
      </c>
      <c r="F60" s="5" t="n">
        <v>3</v>
      </c>
      <c r="G60" s="5" t="n">
        <f aca="false">F60-D60</f>
        <v>0</v>
      </c>
      <c r="H60" s="5" t="str">
        <f aca="false">IF(B60&gt;=الاتفاق!$C$3,"نعم","لا")</f>
        <v>نعم</v>
      </c>
    </row>
    <row r="61" customFormat="false" ht="17.9" hidden="false" customHeight="false" outlineLevel="0" collapsed="false">
      <c r="A61" s="5" t="s">
        <v>79</v>
      </c>
      <c r="B61" s="5" t="n">
        <v>40</v>
      </c>
      <c r="C61" s="5" t="s">
        <v>21</v>
      </c>
      <c r="D61" s="5" t="n">
        <v>3</v>
      </c>
      <c r="E61" s="5" t="n">
        <v>3</v>
      </c>
      <c r="F61" s="5" t="n">
        <v>3</v>
      </c>
      <c r="G61" s="5" t="n">
        <f aca="false">F61-D61</f>
        <v>0</v>
      </c>
      <c r="H61" s="5" t="str">
        <f aca="false">IF(B61&gt;=الاتفاق!$C$3,"نعم","لا")</f>
        <v>نعم</v>
      </c>
    </row>
    <row r="62" customFormat="false" ht="17.9" hidden="false" customHeight="false" outlineLevel="0" collapsed="false">
      <c r="A62" s="5" t="s">
        <v>80</v>
      </c>
      <c r="B62" s="5" t="n">
        <v>20</v>
      </c>
      <c r="C62" s="5" t="s">
        <v>21</v>
      </c>
      <c r="D62" s="5" t="n">
        <v>1</v>
      </c>
      <c r="E62" s="5" t="n">
        <v>2</v>
      </c>
      <c r="F62" s="5" t="n">
        <v>1</v>
      </c>
      <c r="G62" s="5" t="n">
        <f aca="false">F62-D62</f>
        <v>0</v>
      </c>
      <c r="H62" s="5" t="str">
        <f aca="false">IF(B62&gt;=الاتفاق!$C$3,"نعم","لا")</f>
        <v>لا</v>
      </c>
    </row>
    <row r="63" customFormat="false" ht="17.9" hidden="false" customHeight="false" outlineLevel="0" collapsed="false">
      <c r="A63" s="5" t="s">
        <v>81</v>
      </c>
      <c r="B63" s="5" t="n">
        <v>15</v>
      </c>
      <c r="C63" s="5" t="s">
        <v>19</v>
      </c>
      <c r="D63" s="5" t="n">
        <v>3</v>
      </c>
      <c r="E63" s="5" t="n">
        <v>1</v>
      </c>
      <c r="F63" s="5" t="n">
        <v>2</v>
      </c>
      <c r="G63" s="5" t="n">
        <f aca="false">F63-D63</f>
        <v>-1</v>
      </c>
      <c r="H63" s="5" t="str">
        <f aca="false">IF(B63&gt;=الاتفاق!$C$3,"نعم","لا")</f>
        <v>لا</v>
      </c>
    </row>
    <row r="64" customFormat="false" ht="17.9" hidden="false" customHeight="false" outlineLevel="0" collapsed="false">
      <c r="A64" s="5" t="s">
        <v>82</v>
      </c>
      <c r="B64" s="5" t="n">
        <v>27</v>
      </c>
      <c r="C64" s="5" t="s">
        <v>19</v>
      </c>
      <c r="D64" s="5" t="n">
        <v>2</v>
      </c>
      <c r="E64" s="5" t="n">
        <v>2</v>
      </c>
      <c r="F64" s="5" t="n">
        <v>2</v>
      </c>
      <c r="G64" s="5" t="n">
        <f aca="false">F64-D64</f>
        <v>0</v>
      </c>
      <c r="H64" s="5" t="str">
        <f aca="false">IF(B64&gt;=الاتفاق!$C$3,"نعم","لا")</f>
        <v>لا</v>
      </c>
    </row>
    <row r="65" customFormat="false" ht="17.9" hidden="false" customHeight="false" outlineLevel="0" collapsed="false">
      <c r="A65" s="5" t="s">
        <v>83</v>
      </c>
      <c r="B65" s="5" t="n">
        <v>43</v>
      </c>
      <c r="C65" s="5" t="s">
        <v>19</v>
      </c>
      <c r="D65" s="5" t="n">
        <v>2</v>
      </c>
      <c r="E65" s="5" t="n">
        <v>2</v>
      </c>
      <c r="F65" s="5" t="n">
        <v>3</v>
      </c>
      <c r="G65" s="5" t="n">
        <f aca="false">F65-D65</f>
        <v>1</v>
      </c>
      <c r="H65" s="5" t="str">
        <f aca="false">IF(B65&gt;=الاتفاق!$C$3,"نعم","لا")</f>
        <v>نعم</v>
      </c>
    </row>
    <row r="66" customFormat="false" ht="17.9" hidden="false" customHeight="false" outlineLevel="0" collapsed="false">
      <c r="A66" s="5" t="s">
        <v>84</v>
      </c>
      <c r="B66" s="5" t="n">
        <v>43</v>
      </c>
      <c r="C66" s="5" t="s">
        <v>19</v>
      </c>
      <c r="D66" s="5" t="n">
        <v>3</v>
      </c>
      <c r="E66" s="5" t="n">
        <v>3</v>
      </c>
      <c r="F66" s="5" t="n">
        <v>3</v>
      </c>
      <c r="G66" s="5" t="n">
        <f aca="false">F66-D66</f>
        <v>0</v>
      </c>
      <c r="H66" s="5" t="str">
        <f aca="false">IF(B66&gt;=الاتفاق!$C$3,"نعم","لا")</f>
        <v>نعم</v>
      </c>
    </row>
    <row r="67" customFormat="false" ht="17.9" hidden="false" customHeight="false" outlineLevel="0" collapsed="false">
      <c r="A67" s="5" t="s">
        <v>85</v>
      </c>
      <c r="B67" s="5" t="n">
        <v>44</v>
      </c>
      <c r="C67" s="5" t="s">
        <v>19</v>
      </c>
      <c r="D67" s="5" t="n">
        <v>3</v>
      </c>
      <c r="E67" s="5" t="n">
        <v>3</v>
      </c>
      <c r="F67" s="5" t="n">
        <v>3</v>
      </c>
      <c r="G67" s="5" t="n">
        <f aca="false">F67-D67</f>
        <v>0</v>
      </c>
      <c r="H67" s="5" t="str">
        <f aca="false">IF(B67&gt;=الاتفاق!$C$3,"نعم","لا")</f>
        <v>نعم</v>
      </c>
    </row>
    <row r="68" customFormat="false" ht="17.9" hidden="false" customHeight="false" outlineLevel="0" collapsed="false">
      <c r="A68" s="5" t="s">
        <v>86</v>
      </c>
      <c r="B68" s="5" t="n">
        <v>15</v>
      </c>
      <c r="C68" s="5" t="s">
        <v>19</v>
      </c>
      <c r="D68" s="5" t="n">
        <v>0</v>
      </c>
      <c r="E68" s="5" t="n">
        <v>0</v>
      </c>
      <c r="F68" s="5" t="n">
        <v>0</v>
      </c>
      <c r="G68" s="5" t="n">
        <f aca="false">F68-D68</f>
        <v>0</v>
      </c>
      <c r="H68" s="5" t="str">
        <f aca="false">IF(B68&gt;=الاتفاق!$C$3,"نعم","لا")</f>
        <v>لا</v>
      </c>
    </row>
    <row r="69" customFormat="false" ht="17.9" hidden="false" customHeight="false" outlineLevel="0" collapsed="false">
      <c r="A69" s="5" t="s">
        <v>87</v>
      </c>
      <c r="B69" s="5" t="n">
        <v>26</v>
      </c>
      <c r="C69" s="5" t="s">
        <v>19</v>
      </c>
      <c r="D69" s="5" t="n">
        <v>1</v>
      </c>
      <c r="E69" s="5" t="n">
        <v>1</v>
      </c>
      <c r="F69" s="5" t="n">
        <v>1</v>
      </c>
      <c r="G69" s="5" t="n">
        <f aca="false">F69-D69</f>
        <v>0</v>
      </c>
      <c r="H69" s="5" t="str">
        <f aca="false">IF(B69&gt;=الاتفاق!$C$3,"نعم","لا")</f>
        <v>لا</v>
      </c>
    </row>
    <row r="70" customFormat="false" ht="17.9" hidden="false" customHeight="false" outlineLevel="0" collapsed="false">
      <c r="A70" s="5" t="s">
        <v>88</v>
      </c>
      <c r="B70" s="5" t="n">
        <v>24</v>
      </c>
      <c r="C70" s="5" t="s">
        <v>19</v>
      </c>
      <c r="D70" s="5" t="n">
        <v>1</v>
      </c>
      <c r="E70" s="5" t="n">
        <v>1</v>
      </c>
      <c r="F70" s="5" t="n">
        <v>1</v>
      </c>
      <c r="G70" s="5" t="n">
        <f aca="false">F70-D70</f>
        <v>0</v>
      </c>
      <c r="H70" s="5" t="str">
        <f aca="false">IF(B70&gt;=الاتفاق!$C$3,"نعم","لا")</f>
        <v>لا</v>
      </c>
    </row>
    <row r="71" customFormat="false" ht="17.9" hidden="false" customHeight="false" outlineLevel="0" collapsed="false">
      <c r="A71" s="5" t="s">
        <v>89</v>
      </c>
      <c r="B71" s="5" t="n">
        <v>17</v>
      </c>
      <c r="C71" s="5" t="s">
        <v>21</v>
      </c>
      <c r="D71" s="5" t="n">
        <v>3</v>
      </c>
      <c r="E71" s="5" t="n">
        <v>3</v>
      </c>
      <c r="F71" s="5" t="n">
        <v>2</v>
      </c>
      <c r="G71" s="5" t="n">
        <f aca="false">F71-D71</f>
        <v>-1</v>
      </c>
      <c r="H71" s="5" t="str">
        <f aca="false">IF(B71&gt;=الاتفاق!$C$3,"نعم","لا")</f>
        <v>لا</v>
      </c>
    </row>
    <row r="72" customFormat="false" ht="17.9" hidden="false" customHeight="false" outlineLevel="0" collapsed="false">
      <c r="A72" s="5" t="s">
        <v>90</v>
      </c>
      <c r="B72" s="5" t="n">
        <v>18</v>
      </c>
      <c r="C72" s="5" t="s">
        <v>21</v>
      </c>
      <c r="D72" s="5" t="n">
        <v>1</v>
      </c>
      <c r="E72" s="5" t="n">
        <v>1</v>
      </c>
      <c r="F72" s="5" t="n">
        <v>0</v>
      </c>
      <c r="G72" s="5" t="n">
        <f aca="false">F72-D72</f>
        <v>-1</v>
      </c>
      <c r="H72" s="5" t="str">
        <f aca="false">IF(B72&gt;=الاتفاق!$C$3,"نعم","لا")</f>
        <v>لا</v>
      </c>
    </row>
    <row r="73" customFormat="false" ht="17.9" hidden="false" customHeight="false" outlineLevel="0" collapsed="false">
      <c r="A73" s="5" t="s">
        <v>91</v>
      </c>
      <c r="B73" s="5" t="n">
        <v>6</v>
      </c>
      <c r="C73" s="5" t="s">
        <v>19</v>
      </c>
      <c r="D73" s="5" t="n">
        <v>1</v>
      </c>
      <c r="E73" s="5" t="n">
        <v>1</v>
      </c>
      <c r="F73" s="5" t="n">
        <v>0</v>
      </c>
      <c r="G73" s="5" t="n">
        <f aca="false">F73-D73</f>
        <v>-1</v>
      </c>
      <c r="H73" s="5" t="str">
        <f aca="false">IF(B73&gt;=الاتفاق!$C$3,"نعم","لا")</f>
        <v>لا</v>
      </c>
    </row>
    <row r="74" customFormat="false" ht="17.9" hidden="false" customHeight="false" outlineLevel="0" collapsed="false">
      <c r="A74" s="5" t="s">
        <v>92</v>
      </c>
      <c r="B74" s="5" t="n">
        <v>37</v>
      </c>
      <c r="C74" s="5" t="s">
        <v>21</v>
      </c>
      <c r="D74" s="5" t="n">
        <v>2</v>
      </c>
      <c r="E74" s="5" t="n">
        <v>2</v>
      </c>
      <c r="F74" s="5" t="n">
        <v>1</v>
      </c>
      <c r="G74" s="5" t="n">
        <f aca="false">F74-D74</f>
        <v>-1</v>
      </c>
      <c r="H74" s="5" t="str">
        <f aca="false">IF(B74&gt;=الاتفاق!$C$3,"نعم","لا")</f>
        <v>نعم</v>
      </c>
    </row>
    <row r="75" customFormat="false" ht="17.9" hidden="false" customHeight="false" outlineLevel="0" collapsed="false">
      <c r="A75" s="5" t="s">
        <v>93</v>
      </c>
      <c r="B75" s="5" t="n">
        <v>40</v>
      </c>
      <c r="C75" s="5" t="s">
        <v>19</v>
      </c>
      <c r="D75" s="5" t="n">
        <v>2</v>
      </c>
      <c r="E75" s="5" t="n">
        <v>2</v>
      </c>
      <c r="F75" s="5" t="n">
        <v>3</v>
      </c>
      <c r="G75" s="5" t="n">
        <f aca="false">F75-D75</f>
        <v>1</v>
      </c>
      <c r="H75" s="5" t="str">
        <f aca="false">IF(B75&gt;=الاتفاق!$C$3,"نعم","لا")</f>
        <v>نعم</v>
      </c>
    </row>
    <row r="76" customFormat="false" ht="17.9" hidden="false" customHeight="false" outlineLevel="0" collapsed="false">
      <c r="A76" s="5" t="s">
        <v>94</v>
      </c>
      <c r="B76" s="5" t="n">
        <v>41</v>
      </c>
      <c r="C76" s="5" t="s">
        <v>19</v>
      </c>
      <c r="D76" s="5" t="n">
        <v>3</v>
      </c>
      <c r="E76" s="5" t="n">
        <v>3</v>
      </c>
      <c r="F76" s="5" t="n">
        <v>3</v>
      </c>
      <c r="G76" s="5" t="n">
        <f aca="false">F76-D76</f>
        <v>0</v>
      </c>
      <c r="H76" s="5" t="str">
        <f aca="false">IF(B76&gt;=الاتفاق!$C$3,"نعم","لا")</f>
        <v>نعم</v>
      </c>
    </row>
    <row r="77" customFormat="false" ht="17.9" hidden="false" customHeight="false" outlineLevel="0" collapsed="false">
      <c r="A77" s="5" t="s">
        <v>95</v>
      </c>
      <c r="B77" s="5" t="n">
        <v>15</v>
      </c>
      <c r="C77" s="5" t="s">
        <v>19</v>
      </c>
      <c r="D77" s="5" t="n">
        <v>2</v>
      </c>
      <c r="E77" s="5" t="n">
        <v>2</v>
      </c>
      <c r="F77" s="5" t="n">
        <v>2</v>
      </c>
      <c r="G77" s="5" t="n">
        <f aca="false">F77-D77</f>
        <v>0</v>
      </c>
      <c r="H77" s="5" t="str">
        <f aca="false">IF(B77&gt;=الاتفاق!$C$3,"نعم","لا")</f>
        <v>لا</v>
      </c>
    </row>
    <row r="78" customFormat="false" ht="17.9" hidden="false" customHeight="false" outlineLevel="0" collapsed="false">
      <c r="A78" s="5" t="s">
        <v>96</v>
      </c>
      <c r="B78" s="5" t="n">
        <v>39</v>
      </c>
      <c r="C78" s="5" t="s">
        <v>21</v>
      </c>
      <c r="D78" s="5" t="n">
        <v>3</v>
      </c>
      <c r="E78" s="5" t="n">
        <v>3</v>
      </c>
      <c r="F78" s="5" t="n">
        <v>3</v>
      </c>
      <c r="G78" s="5" t="n">
        <f aca="false">F78-D78</f>
        <v>0</v>
      </c>
      <c r="H78" s="5" t="str">
        <f aca="false">IF(B78&gt;=الاتفاق!$C$3,"نعم","لا")</f>
        <v>نعم</v>
      </c>
    </row>
    <row r="79" customFormat="false" ht="17.9" hidden="false" customHeight="false" outlineLevel="0" collapsed="false">
      <c r="A79" s="5" t="s">
        <v>97</v>
      </c>
      <c r="B79" s="5" t="n">
        <v>11</v>
      </c>
      <c r="C79" s="5" t="s">
        <v>19</v>
      </c>
      <c r="D79" s="5" t="n">
        <v>1</v>
      </c>
      <c r="E79" s="5" t="n">
        <v>2</v>
      </c>
      <c r="F79" s="5" t="n">
        <v>1</v>
      </c>
      <c r="G79" s="5" t="n">
        <f aca="false">F79-D79</f>
        <v>0</v>
      </c>
      <c r="H79" s="5" t="str">
        <f aca="false">IF(B79&gt;=الاتفاق!$C$3,"نعم","لا")</f>
        <v>لا</v>
      </c>
    </row>
    <row r="80" customFormat="false" ht="17.9" hidden="false" customHeight="false" outlineLevel="0" collapsed="false">
      <c r="A80" s="5" t="s">
        <v>98</v>
      </c>
      <c r="B80" s="5" t="n">
        <v>39</v>
      </c>
      <c r="C80" s="5" t="s">
        <v>21</v>
      </c>
      <c r="D80" s="5" t="n">
        <v>2</v>
      </c>
      <c r="E80" s="5" t="n">
        <v>2</v>
      </c>
      <c r="F80" s="5" t="n">
        <v>3</v>
      </c>
      <c r="G80" s="5" t="n">
        <f aca="false">F80-D80</f>
        <v>1</v>
      </c>
      <c r="H80" s="5" t="str">
        <f aca="false">IF(B80&gt;=الاتفاق!$C$3,"نعم","لا")</f>
        <v>نعم</v>
      </c>
    </row>
    <row r="81" customFormat="false" ht="17.9" hidden="false" customHeight="false" outlineLevel="0" collapsed="false">
      <c r="A81" s="5" t="s">
        <v>99</v>
      </c>
      <c r="B81" s="5" t="n">
        <v>38</v>
      </c>
      <c r="C81" s="5" t="s">
        <v>19</v>
      </c>
      <c r="D81" s="5" t="n">
        <v>1</v>
      </c>
      <c r="E81" s="5" t="n">
        <v>1</v>
      </c>
      <c r="F81" s="5" t="n">
        <v>2</v>
      </c>
      <c r="G81" s="5" t="n">
        <f aca="false">F81-D81</f>
        <v>1</v>
      </c>
      <c r="H81" s="5" t="str">
        <f aca="false">IF(B81&gt;=الاتفاق!$C$3,"نعم","لا")</f>
        <v>نعم</v>
      </c>
    </row>
    <row r="82" customFormat="false" ht="17.9" hidden="false" customHeight="false" outlineLevel="0" collapsed="false">
      <c r="A82" s="5" t="s">
        <v>100</v>
      </c>
      <c r="B82" s="5" t="n">
        <v>7</v>
      </c>
      <c r="C82" s="5" t="s">
        <v>21</v>
      </c>
      <c r="D82" s="5" t="n">
        <v>2</v>
      </c>
      <c r="E82" s="5" t="n">
        <v>2</v>
      </c>
      <c r="F82" s="5" t="n">
        <v>1</v>
      </c>
      <c r="G82" s="5" t="n">
        <f aca="false">F82-D82</f>
        <v>-1</v>
      </c>
      <c r="H82" s="5" t="str">
        <f aca="false">IF(B82&gt;=الاتفاق!$C$3,"نعم","لا")</f>
        <v>لا</v>
      </c>
    </row>
    <row r="83" customFormat="false" ht="17.9" hidden="false" customHeight="false" outlineLevel="0" collapsed="false">
      <c r="A83" s="5" t="s">
        <v>101</v>
      </c>
      <c r="B83" s="5" t="n">
        <v>22</v>
      </c>
      <c r="C83" s="5" t="s">
        <v>19</v>
      </c>
      <c r="D83" s="5" t="n">
        <v>1</v>
      </c>
      <c r="E83" s="5" t="n">
        <v>1</v>
      </c>
      <c r="F83" s="5" t="n">
        <v>1</v>
      </c>
      <c r="G83" s="5" t="n">
        <f aca="false">F83-D83</f>
        <v>0</v>
      </c>
      <c r="H83" s="5" t="str">
        <f aca="false">IF(B83&gt;=الاتفاق!$C$3,"نعم","لا")</f>
        <v>لا</v>
      </c>
    </row>
    <row r="84" customFormat="false" ht="17.9" hidden="false" customHeight="false" outlineLevel="0" collapsed="false">
      <c r="A84" s="5" t="s">
        <v>102</v>
      </c>
      <c r="B84" s="5" t="n">
        <v>36</v>
      </c>
      <c r="C84" s="5" t="s">
        <v>21</v>
      </c>
      <c r="D84" s="5" t="n">
        <v>2</v>
      </c>
      <c r="E84" s="5" t="n">
        <v>2</v>
      </c>
      <c r="F84" s="5" t="n">
        <v>2</v>
      </c>
      <c r="G84" s="5" t="n">
        <f aca="false">F84-D84</f>
        <v>0</v>
      </c>
      <c r="H84" s="5" t="str">
        <f aca="false">IF(B84&gt;=الاتفاق!$C$3,"نعم","لا")</f>
        <v>نعم</v>
      </c>
    </row>
    <row r="85" customFormat="false" ht="17.9" hidden="false" customHeight="false" outlineLevel="0" collapsed="false">
      <c r="A85" s="5" t="s">
        <v>103</v>
      </c>
      <c r="B85" s="5" t="n">
        <v>37</v>
      </c>
      <c r="C85" s="5" t="s">
        <v>19</v>
      </c>
      <c r="D85" s="5" t="n">
        <v>2</v>
      </c>
      <c r="E85" s="5" t="n">
        <v>1</v>
      </c>
      <c r="F85" s="5" t="n">
        <v>2</v>
      </c>
      <c r="G85" s="5" t="n">
        <f aca="false">F85-D85</f>
        <v>0</v>
      </c>
      <c r="H85" s="5" t="str">
        <f aca="false">IF(B85&gt;=الاتفاق!$C$3,"نعم","لا")</f>
        <v>نعم</v>
      </c>
    </row>
    <row r="86" customFormat="false" ht="17.9" hidden="false" customHeight="false" outlineLevel="0" collapsed="false">
      <c r="A86" s="5" t="s">
        <v>104</v>
      </c>
      <c r="B86" s="5" t="n">
        <v>18</v>
      </c>
      <c r="C86" s="5" t="s">
        <v>19</v>
      </c>
      <c r="D86" s="5" t="n">
        <v>1</v>
      </c>
      <c r="E86" s="5" t="n">
        <v>2</v>
      </c>
      <c r="F86" s="5" t="n">
        <v>1</v>
      </c>
      <c r="G86" s="5" t="n">
        <f aca="false">F86-D86</f>
        <v>0</v>
      </c>
      <c r="H86" s="5" t="str">
        <f aca="false">IF(B86&gt;=الاتفاق!$C$3,"نعم","لا")</f>
        <v>لا</v>
      </c>
    </row>
    <row r="87" customFormat="false" ht="17.9" hidden="false" customHeight="false" outlineLevel="0" collapsed="false">
      <c r="A87" s="5" t="s">
        <v>105</v>
      </c>
      <c r="B87" s="5" t="n">
        <v>16</v>
      </c>
      <c r="C87" s="5" t="s">
        <v>19</v>
      </c>
      <c r="D87" s="5" t="n">
        <v>1</v>
      </c>
      <c r="E87" s="5" t="n">
        <v>1</v>
      </c>
      <c r="F87" s="5" t="n">
        <v>1</v>
      </c>
      <c r="G87" s="5" t="n">
        <f aca="false">F87-D87</f>
        <v>0</v>
      </c>
      <c r="H87" s="5" t="str">
        <f aca="false">IF(B87&gt;=الاتفاق!$C$3,"نعم","لا")</f>
        <v>لا</v>
      </c>
    </row>
    <row r="88" customFormat="false" ht="17.9" hidden="false" customHeight="false" outlineLevel="0" collapsed="false">
      <c r="A88" s="5" t="s">
        <v>106</v>
      </c>
      <c r="B88" s="5" t="n">
        <v>39</v>
      </c>
      <c r="C88" s="5" t="s">
        <v>19</v>
      </c>
      <c r="D88" s="5" t="n">
        <v>2</v>
      </c>
      <c r="E88" s="5" t="n">
        <v>3</v>
      </c>
      <c r="F88" s="5" t="n">
        <v>3</v>
      </c>
      <c r="G88" s="5" t="n">
        <f aca="false">F88-D88</f>
        <v>1</v>
      </c>
      <c r="H88" s="5" t="str">
        <f aca="false">IF(B88&gt;=الاتفاق!$C$3,"نعم","لا")</f>
        <v>نعم</v>
      </c>
    </row>
    <row r="89" customFormat="false" ht="17.9" hidden="false" customHeight="false" outlineLevel="0" collapsed="false">
      <c r="A89" s="5" t="s">
        <v>107</v>
      </c>
      <c r="B89" s="5" t="n">
        <v>35</v>
      </c>
      <c r="C89" s="5" t="s">
        <v>19</v>
      </c>
      <c r="D89" s="5" t="n">
        <v>3</v>
      </c>
      <c r="E89" s="5" t="n">
        <v>3</v>
      </c>
      <c r="F89" s="5" t="n">
        <v>3</v>
      </c>
      <c r="G89" s="5" t="n">
        <f aca="false">F89-D89</f>
        <v>0</v>
      </c>
      <c r="H89" s="5" t="str">
        <f aca="false">IF(B89&gt;=الاتفاق!$C$3,"نعم","لا")</f>
        <v>نعم</v>
      </c>
    </row>
    <row r="90" customFormat="false" ht="17.9" hidden="false" customHeight="false" outlineLevel="0" collapsed="false">
      <c r="A90" s="5" t="s">
        <v>108</v>
      </c>
      <c r="B90" s="5" t="n">
        <v>42</v>
      </c>
      <c r="C90" s="5" t="s">
        <v>19</v>
      </c>
      <c r="D90" s="5" t="n">
        <v>3</v>
      </c>
      <c r="E90" s="5" t="n">
        <v>3</v>
      </c>
      <c r="F90" s="5" t="n">
        <v>3</v>
      </c>
      <c r="G90" s="5" t="n">
        <f aca="false">F90-D90</f>
        <v>0</v>
      </c>
      <c r="H90" s="5" t="str">
        <f aca="false">IF(B90&gt;=الاتفاق!$C$3,"نعم","لا")</f>
        <v>نعم</v>
      </c>
    </row>
    <row r="91" customFormat="false" ht="17.9" hidden="false" customHeight="false" outlineLevel="0" collapsed="false">
      <c r="A91" s="5" t="s">
        <v>109</v>
      </c>
      <c r="B91" s="5" t="n">
        <v>25</v>
      </c>
      <c r="C91" s="5" t="s">
        <v>19</v>
      </c>
      <c r="D91" s="5" t="n">
        <v>2</v>
      </c>
      <c r="E91" s="5" t="n">
        <v>1</v>
      </c>
      <c r="F91" s="5" t="n">
        <v>1</v>
      </c>
      <c r="G91" s="5" t="n">
        <f aca="false">F91-D91</f>
        <v>-1</v>
      </c>
      <c r="H91" s="5" t="str">
        <f aca="false">IF(B91&gt;=الاتفاق!$C$3,"نعم","لا")</f>
        <v>لا</v>
      </c>
    </row>
    <row r="92" customFormat="false" ht="17.9" hidden="false" customHeight="false" outlineLevel="0" collapsed="false">
      <c r="A92" s="5" t="s">
        <v>110</v>
      </c>
      <c r="B92" s="5" t="n">
        <v>29</v>
      </c>
      <c r="C92" s="5" t="s">
        <v>19</v>
      </c>
      <c r="D92" s="5" t="n">
        <v>0</v>
      </c>
      <c r="E92" s="5" t="n">
        <v>1</v>
      </c>
      <c r="F92" s="5" t="n">
        <v>0</v>
      </c>
      <c r="G92" s="5" t="n">
        <f aca="false">F92-D92</f>
        <v>0</v>
      </c>
      <c r="H92" s="5" t="str">
        <f aca="false">IF(B92&gt;=الاتفاق!$C$3,"نعم","لا")</f>
        <v>لا</v>
      </c>
    </row>
    <row r="93" customFormat="false" ht="17.9" hidden="false" customHeight="false" outlineLevel="0" collapsed="false">
      <c r="A93" s="5" t="s">
        <v>111</v>
      </c>
      <c r="B93" s="5" t="n">
        <v>40</v>
      </c>
      <c r="C93" s="5" t="s">
        <v>19</v>
      </c>
      <c r="D93" s="5" t="n">
        <v>2</v>
      </c>
      <c r="E93" s="5" t="n">
        <v>3</v>
      </c>
      <c r="F93" s="5" t="n">
        <v>3</v>
      </c>
      <c r="G93" s="5" t="n">
        <f aca="false">F93-D93</f>
        <v>1</v>
      </c>
      <c r="H93" s="5" t="str">
        <f aca="false">IF(B93&gt;=الاتفاق!$C$3,"نعم","لا")</f>
        <v>نعم</v>
      </c>
    </row>
    <row r="94" customFormat="false" ht="17.9" hidden="false" customHeight="false" outlineLevel="0" collapsed="false">
      <c r="A94" s="5" t="s">
        <v>112</v>
      </c>
      <c r="B94" s="5" t="n">
        <v>12</v>
      </c>
      <c r="C94" s="5" t="s">
        <v>19</v>
      </c>
      <c r="D94" s="5" t="n">
        <v>1</v>
      </c>
      <c r="E94" s="5" t="n">
        <v>2</v>
      </c>
      <c r="F94" s="5" t="n">
        <v>1</v>
      </c>
      <c r="G94" s="5" t="n">
        <f aca="false">F94-D94</f>
        <v>0</v>
      </c>
      <c r="H94" s="5" t="str">
        <f aca="false">IF(B94&gt;=الاتفاق!$C$3,"نعم","لا")</f>
        <v>لا</v>
      </c>
    </row>
    <row r="95" customFormat="false" ht="17.9" hidden="false" customHeight="false" outlineLevel="0" collapsed="false">
      <c r="A95" s="5" t="s">
        <v>113</v>
      </c>
      <c r="B95" s="5" t="n">
        <v>34</v>
      </c>
      <c r="C95" s="5" t="s">
        <v>19</v>
      </c>
      <c r="D95" s="5" t="n">
        <v>3</v>
      </c>
      <c r="E95" s="5" t="n">
        <v>3</v>
      </c>
      <c r="F95" s="5" t="n">
        <v>3</v>
      </c>
      <c r="G95" s="5" t="n">
        <f aca="false">F95-D95</f>
        <v>0</v>
      </c>
      <c r="H95" s="5" t="str">
        <f aca="false">IF(B95&gt;=الاتفاق!$C$3,"نعم","لا")</f>
        <v>لا</v>
      </c>
    </row>
    <row r="96" customFormat="false" ht="17.9" hidden="false" customHeight="false" outlineLevel="0" collapsed="false">
      <c r="A96" s="5" t="s">
        <v>114</v>
      </c>
      <c r="B96" s="5" t="n">
        <v>11</v>
      </c>
      <c r="C96" s="5" t="s">
        <v>19</v>
      </c>
      <c r="D96" s="5" t="n">
        <v>0</v>
      </c>
      <c r="E96" s="5" t="n">
        <v>0</v>
      </c>
      <c r="F96" s="5" t="n">
        <v>0</v>
      </c>
      <c r="G96" s="5" t="n">
        <f aca="false">F96-D96</f>
        <v>0</v>
      </c>
      <c r="H96" s="5" t="str">
        <f aca="false">IF(B96&gt;=الاتفاق!$C$3,"نعم","لا")</f>
        <v>لا</v>
      </c>
    </row>
    <row r="97" customFormat="false" ht="17.9" hidden="false" customHeight="false" outlineLevel="0" collapsed="false">
      <c r="A97" s="5" t="s">
        <v>115</v>
      </c>
      <c r="B97" s="5" t="n">
        <v>46</v>
      </c>
      <c r="C97" s="5" t="s">
        <v>19</v>
      </c>
      <c r="D97" s="5" t="n">
        <v>3</v>
      </c>
      <c r="E97" s="5" t="n">
        <v>3</v>
      </c>
      <c r="F97" s="5" t="n">
        <v>3</v>
      </c>
      <c r="G97" s="5" t="n">
        <f aca="false">F97-D97</f>
        <v>0</v>
      </c>
      <c r="H97" s="5" t="str">
        <f aca="false">IF(B97&gt;=الاتفاق!$C$3,"نعم","لا")</f>
        <v>نعم</v>
      </c>
    </row>
    <row r="98" customFormat="false" ht="17.9" hidden="false" customHeight="false" outlineLevel="0" collapsed="false">
      <c r="A98" s="5" t="s">
        <v>116</v>
      </c>
      <c r="B98" s="5" t="n">
        <v>32</v>
      </c>
      <c r="C98" s="5" t="s">
        <v>19</v>
      </c>
      <c r="D98" s="5" t="n">
        <v>3</v>
      </c>
      <c r="E98" s="5" t="n">
        <v>3</v>
      </c>
      <c r="F98" s="5" t="n">
        <v>3</v>
      </c>
      <c r="G98" s="5" t="n">
        <f aca="false">F98-D98</f>
        <v>0</v>
      </c>
      <c r="H98" s="5" t="str">
        <f aca="false">IF(B98&gt;=الاتفاق!$C$3,"نعم","لا")</f>
        <v>لا</v>
      </c>
    </row>
    <row r="99" customFormat="false" ht="17.9" hidden="false" customHeight="false" outlineLevel="0" collapsed="false">
      <c r="A99" s="5" t="s">
        <v>117</v>
      </c>
      <c r="B99" s="5" t="n">
        <v>16</v>
      </c>
      <c r="C99" s="5" t="s">
        <v>19</v>
      </c>
      <c r="D99" s="5" t="n">
        <v>3</v>
      </c>
      <c r="E99" s="5" t="n">
        <v>3</v>
      </c>
      <c r="F99" s="5" t="n">
        <v>3</v>
      </c>
      <c r="G99" s="5" t="n">
        <f aca="false">F99-D99</f>
        <v>0</v>
      </c>
      <c r="H99" s="5" t="str">
        <f aca="false">IF(B99&gt;=الاتفاق!$C$3,"نعم","لا")</f>
        <v>لا</v>
      </c>
    </row>
    <row r="100" customFormat="false" ht="17.9" hidden="false" customHeight="false" outlineLevel="0" collapsed="false">
      <c r="A100" s="5" t="s">
        <v>118</v>
      </c>
      <c r="B100" s="5" t="n">
        <v>34</v>
      </c>
      <c r="C100" s="5" t="s">
        <v>19</v>
      </c>
      <c r="D100" s="5" t="n">
        <v>3</v>
      </c>
      <c r="E100" s="5" t="n">
        <v>3</v>
      </c>
      <c r="F100" s="5" t="n">
        <v>3</v>
      </c>
      <c r="G100" s="5" t="n">
        <f aca="false">F100-D100</f>
        <v>0</v>
      </c>
      <c r="H100" s="5" t="str">
        <f aca="false">IF(B100&gt;=الاتفاق!$C$3,"نعم","لا")</f>
        <v>لا</v>
      </c>
    </row>
    <row r="101" customFormat="false" ht="17.9" hidden="false" customHeight="false" outlineLevel="0" collapsed="false">
      <c r="A101" s="5" t="s">
        <v>119</v>
      </c>
      <c r="B101" s="5" t="n">
        <v>20</v>
      </c>
      <c r="C101" s="5" t="s">
        <v>21</v>
      </c>
      <c r="D101" s="5" t="n">
        <v>1</v>
      </c>
      <c r="E101" s="5" t="n">
        <v>1</v>
      </c>
      <c r="F101" s="5" t="n">
        <v>0</v>
      </c>
      <c r="G101" s="5" t="n">
        <f aca="false">F101-D101</f>
        <v>-1</v>
      </c>
      <c r="H101" s="5" t="str">
        <f aca="false">IF(B101&gt;=الاتفاق!$C$3,"نعم","لا")</f>
        <v>لا</v>
      </c>
    </row>
    <row r="102" customFormat="false" ht="17.9" hidden="false" customHeight="false" outlineLevel="0" collapsed="false">
      <c r="A102" s="5" t="s">
        <v>120</v>
      </c>
      <c r="B102" s="5" t="n">
        <v>4</v>
      </c>
      <c r="C102" s="5" t="s">
        <v>21</v>
      </c>
      <c r="D102" s="5" t="n">
        <v>0</v>
      </c>
      <c r="E102" s="5" t="n">
        <v>0</v>
      </c>
      <c r="F102" s="5" t="n">
        <v>0</v>
      </c>
      <c r="G102" s="5" t="n">
        <f aca="false">F102-D102</f>
        <v>0</v>
      </c>
      <c r="H102" s="5" t="str">
        <f aca="false">IF(B102&gt;=الاتفاق!$C$3,"نعم","لا")</f>
        <v>لا</v>
      </c>
    </row>
    <row r="103" customFormat="false" ht="17.9" hidden="false" customHeight="false" outlineLevel="0" collapsed="false">
      <c r="A103" s="5" t="s">
        <v>121</v>
      </c>
      <c r="B103" s="5" t="n">
        <v>31</v>
      </c>
      <c r="C103" s="5" t="s">
        <v>19</v>
      </c>
      <c r="D103" s="5" t="n">
        <v>2</v>
      </c>
      <c r="E103" s="5" t="n">
        <v>2</v>
      </c>
      <c r="F103" s="5" t="n">
        <v>2</v>
      </c>
      <c r="G103" s="5" t="n">
        <f aca="false">F103-D103</f>
        <v>0</v>
      </c>
      <c r="H103" s="5" t="str">
        <f aca="false">IF(B103&gt;=الاتفاق!$C$3,"نعم","لا")</f>
        <v>لا</v>
      </c>
    </row>
    <row r="104" customFormat="false" ht="17.9" hidden="false" customHeight="false" outlineLevel="0" collapsed="false">
      <c r="A104" s="5" t="s">
        <v>122</v>
      </c>
      <c r="B104" s="5" t="n">
        <v>43</v>
      </c>
      <c r="C104" s="5" t="s">
        <v>19</v>
      </c>
      <c r="D104" s="5" t="n">
        <v>1</v>
      </c>
      <c r="E104" s="5" t="n">
        <v>1</v>
      </c>
      <c r="F104" s="5" t="n">
        <v>1</v>
      </c>
      <c r="G104" s="5" t="n">
        <f aca="false">F104-D104</f>
        <v>0</v>
      </c>
      <c r="H104" s="5" t="str">
        <f aca="false">IF(B104&gt;=الاتفاق!$C$3,"نعم","لا")</f>
        <v>نعم</v>
      </c>
    </row>
    <row r="105" customFormat="false" ht="17.9" hidden="false" customHeight="false" outlineLevel="0" collapsed="false">
      <c r="A105" s="5" t="s">
        <v>123</v>
      </c>
      <c r="B105" s="5" t="n">
        <v>14</v>
      </c>
      <c r="C105" s="5" t="s">
        <v>19</v>
      </c>
      <c r="D105" s="5" t="n">
        <v>1</v>
      </c>
      <c r="E105" s="5" t="n">
        <v>2</v>
      </c>
      <c r="F105" s="5" t="n">
        <v>0</v>
      </c>
      <c r="G105" s="5" t="n">
        <f aca="false">F105-D105</f>
        <v>-1</v>
      </c>
      <c r="H105" s="5" t="str">
        <f aca="false">IF(B105&gt;=الاتفاق!$C$3,"نعم","لا")</f>
        <v>لا</v>
      </c>
    </row>
    <row r="106" customFormat="false" ht="17.9" hidden="false" customHeight="false" outlineLevel="0" collapsed="false">
      <c r="A106" s="5" t="s">
        <v>124</v>
      </c>
      <c r="B106" s="5" t="n">
        <v>26</v>
      </c>
      <c r="C106" s="5" t="s">
        <v>21</v>
      </c>
      <c r="D106" s="5" t="n">
        <v>1</v>
      </c>
      <c r="E106" s="5" t="n">
        <v>2</v>
      </c>
      <c r="F106" s="5" t="n">
        <v>1</v>
      </c>
      <c r="G106" s="5" t="n">
        <f aca="false">F106-D106</f>
        <v>0</v>
      </c>
      <c r="H106" s="5" t="str">
        <f aca="false">IF(B106&gt;=الاتفاق!$C$3,"نعم","لا")</f>
        <v>لا</v>
      </c>
    </row>
    <row r="107" customFormat="false" ht="17.9" hidden="false" customHeight="false" outlineLevel="0" collapsed="false">
      <c r="A107" s="5" t="s">
        <v>125</v>
      </c>
      <c r="B107" s="5" t="n">
        <v>40</v>
      </c>
      <c r="C107" s="5" t="s">
        <v>19</v>
      </c>
      <c r="D107" s="5" t="n">
        <v>3</v>
      </c>
      <c r="E107" s="5" t="n">
        <v>3</v>
      </c>
      <c r="F107" s="5" t="n">
        <v>3</v>
      </c>
      <c r="G107" s="5" t="n">
        <f aca="false">F107-D107</f>
        <v>0</v>
      </c>
      <c r="H107" s="5" t="str">
        <f aca="false">IF(B107&gt;=الاتفاق!$C$3,"نعم","لا")</f>
        <v>نعم</v>
      </c>
    </row>
    <row r="108" customFormat="false" ht="17.9" hidden="false" customHeight="false" outlineLevel="0" collapsed="false">
      <c r="A108" s="5" t="s">
        <v>126</v>
      </c>
      <c r="B108" s="5" t="n">
        <v>26</v>
      </c>
      <c r="C108" s="5" t="s">
        <v>19</v>
      </c>
      <c r="D108" s="5" t="n">
        <v>1</v>
      </c>
      <c r="E108" s="5" t="n">
        <v>1</v>
      </c>
      <c r="F108" s="5" t="n">
        <v>0</v>
      </c>
      <c r="G108" s="5" t="n">
        <f aca="false">F108-D108</f>
        <v>-1</v>
      </c>
      <c r="H108" s="5" t="str">
        <f aca="false">IF(B108&gt;=الاتفاق!$C$3,"نعم","لا")</f>
        <v>لا</v>
      </c>
    </row>
    <row r="109" customFormat="false" ht="17.9" hidden="false" customHeight="false" outlineLevel="0" collapsed="false">
      <c r="A109" s="5" t="s">
        <v>127</v>
      </c>
      <c r="B109" s="5" t="n">
        <v>44</v>
      </c>
      <c r="C109" s="5" t="s">
        <v>21</v>
      </c>
      <c r="D109" s="5" t="n">
        <v>3</v>
      </c>
      <c r="E109" s="5" t="n">
        <v>3</v>
      </c>
      <c r="F109" s="5" t="n">
        <v>3</v>
      </c>
      <c r="G109" s="5" t="n">
        <f aca="false">F109-D109</f>
        <v>0</v>
      </c>
      <c r="H109" s="5" t="str">
        <f aca="false">IF(B109&gt;=الاتفاق!$C$3,"نعم","لا")</f>
        <v>نعم</v>
      </c>
    </row>
    <row r="110" customFormat="false" ht="17.9" hidden="false" customHeight="false" outlineLevel="0" collapsed="false">
      <c r="A110" s="5" t="s">
        <v>128</v>
      </c>
      <c r="B110" s="5" t="n">
        <v>8</v>
      </c>
      <c r="C110" s="5" t="s">
        <v>19</v>
      </c>
      <c r="D110" s="5" t="n">
        <v>2</v>
      </c>
      <c r="E110" s="5" t="n">
        <v>1</v>
      </c>
      <c r="F110" s="5" t="n">
        <v>2</v>
      </c>
      <c r="G110" s="5" t="n">
        <f aca="false">F110-D110</f>
        <v>0</v>
      </c>
      <c r="H110" s="5" t="str">
        <f aca="false">IF(B110&gt;=الاتفاق!$C$3,"نعم","لا")</f>
        <v>لا</v>
      </c>
    </row>
    <row r="111" customFormat="false" ht="17.9" hidden="false" customHeight="false" outlineLevel="0" collapsed="false">
      <c r="A111" s="5" t="s">
        <v>129</v>
      </c>
      <c r="B111" s="5" t="n">
        <v>14</v>
      </c>
      <c r="C111" s="5" t="s">
        <v>19</v>
      </c>
      <c r="D111" s="5" t="n">
        <v>1</v>
      </c>
      <c r="E111" s="5" t="n">
        <v>1</v>
      </c>
      <c r="F111" s="5" t="n">
        <v>1</v>
      </c>
      <c r="G111" s="5" t="n">
        <f aca="false">F111-D111</f>
        <v>0</v>
      </c>
      <c r="H111" s="5" t="str">
        <f aca="false">IF(B111&gt;=الاتفاق!$C$3,"نعم","لا")</f>
        <v>لا</v>
      </c>
    </row>
    <row r="112" customFormat="false" ht="17.9" hidden="false" customHeight="false" outlineLevel="0" collapsed="false">
      <c r="A112" s="5" t="s">
        <v>130</v>
      </c>
      <c r="B112" s="5" t="n">
        <v>39</v>
      </c>
      <c r="C112" s="5" t="s">
        <v>19</v>
      </c>
      <c r="D112" s="5" t="n">
        <v>2</v>
      </c>
      <c r="E112" s="5" t="n">
        <v>2</v>
      </c>
      <c r="F112" s="5" t="n">
        <v>2</v>
      </c>
      <c r="G112" s="5" t="n">
        <f aca="false">F112-D112</f>
        <v>0</v>
      </c>
      <c r="H112" s="5" t="str">
        <f aca="false">IF(B112&gt;=الاتفاق!$C$3,"نعم","لا")</f>
        <v>نعم</v>
      </c>
    </row>
    <row r="113" customFormat="false" ht="17.9" hidden="false" customHeight="false" outlineLevel="0" collapsed="false">
      <c r="A113" s="5" t="s">
        <v>131</v>
      </c>
      <c r="B113" s="5" t="n">
        <v>48</v>
      </c>
      <c r="C113" s="5" t="s">
        <v>19</v>
      </c>
      <c r="D113" s="5" t="n">
        <v>3</v>
      </c>
      <c r="E113" s="5" t="n">
        <v>3</v>
      </c>
      <c r="F113" s="5" t="n">
        <v>3</v>
      </c>
      <c r="G113" s="5" t="n">
        <f aca="false">F113-D113</f>
        <v>0</v>
      </c>
      <c r="H113" s="5" t="str">
        <f aca="false">IF(B113&gt;=الاتفاق!$C$3,"نعم","لا")</f>
        <v>نعم</v>
      </c>
    </row>
    <row r="114" customFormat="false" ht="17.9" hidden="false" customHeight="false" outlineLevel="0" collapsed="false">
      <c r="A114" s="5" t="s">
        <v>132</v>
      </c>
      <c r="B114" s="5" t="n">
        <v>22</v>
      </c>
      <c r="C114" s="5" t="s">
        <v>19</v>
      </c>
      <c r="D114" s="5" t="n">
        <v>2</v>
      </c>
      <c r="E114" s="5" t="n">
        <v>1</v>
      </c>
      <c r="F114" s="5" t="n">
        <v>2</v>
      </c>
      <c r="G114" s="5" t="n">
        <f aca="false">F114-D114</f>
        <v>0</v>
      </c>
      <c r="H114" s="5" t="str">
        <f aca="false">IF(B114&gt;=الاتفاق!$C$3,"نعم","لا")</f>
        <v>لا</v>
      </c>
    </row>
    <row r="115" customFormat="false" ht="17.9" hidden="false" customHeight="false" outlineLevel="0" collapsed="false">
      <c r="A115" s="5" t="s">
        <v>133</v>
      </c>
      <c r="B115" s="5" t="n">
        <v>29</v>
      </c>
      <c r="C115" s="5" t="s">
        <v>21</v>
      </c>
      <c r="D115" s="5" t="n">
        <v>2</v>
      </c>
      <c r="E115" s="5" t="n">
        <v>2</v>
      </c>
      <c r="F115" s="5" t="n">
        <v>1</v>
      </c>
      <c r="G115" s="5" t="n">
        <f aca="false">F115-D115</f>
        <v>-1</v>
      </c>
      <c r="H115" s="5" t="str">
        <f aca="false">IF(B115&gt;=الاتفاق!$C$3,"نعم","لا")</f>
        <v>لا</v>
      </c>
    </row>
    <row r="116" customFormat="false" ht="17.9" hidden="false" customHeight="false" outlineLevel="0" collapsed="false">
      <c r="A116" s="5" t="s">
        <v>134</v>
      </c>
      <c r="B116" s="5" t="n">
        <v>19</v>
      </c>
      <c r="C116" s="5" t="s">
        <v>19</v>
      </c>
      <c r="D116" s="5" t="n">
        <v>2</v>
      </c>
      <c r="E116" s="5" t="n">
        <v>2</v>
      </c>
      <c r="F116" s="5" t="n">
        <v>2</v>
      </c>
      <c r="G116" s="5" t="n">
        <f aca="false">F116-D116</f>
        <v>0</v>
      </c>
      <c r="H116" s="5" t="str">
        <f aca="false">IF(B116&gt;=الاتفاق!$C$3,"نعم","لا")</f>
        <v>لا</v>
      </c>
    </row>
    <row r="117" customFormat="false" ht="17.9" hidden="false" customHeight="false" outlineLevel="0" collapsed="false">
      <c r="A117" s="5" t="s">
        <v>135</v>
      </c>
      <c r="B117" s="5" t="n">
        <v>17</v>
      </c>
      <c r="C117" s="5" t="s">
        <v>19</v>
      </c>
      <c r="D117" s="5" t="n">
        <v>1</v>
      </c>
      <c r="E117" s="5" t="n">
        <v>2</v>
      </c>
      <c r="F117" s="5" t="n">
        <v>1</v>
      </c>
      <c r="G117" s="5" t="n">
        <f aca="false">F117-D117</f>
        <v>0</v>
      </c>
      <c r="H117" s="5" t="str">
        <f aca="false">IF(B117&gt;=الاتفاق!$C$3,"نعم","لا")</f>
        <v>لا</v>
      </c>
    </row>
    <row r="118" customFormat="false" ht="17.9" hidden="false" customHeight="false" outlineLevel="0" collapsed="false">
      <c r="A118" s="5" t="s">
        <v>136</v>
      </c>
      <c r="B118" s="5" t="n">
        <v>35</v>
      </c>
      <c r="C118" s="5" t="s">
        <v>19</v>
      </c>
      <c r="D118" s="5" t="n">
        <v>2</v>
      </c>
      <c r="E118" s="5" t="n">
        <v>2</v>
      </c>
      <c r="F118" s="5" t="n">
        <v>3</v>
      </c>
      <c r="G118" s="5" t="n">
        <f aca="false">F118-D118</f>
        <v>1</v>
      </c>
      <c r="H118" s="5" t="str">
        <f aca="false">IF(B118&gt;=الاتفاق!$C$3,"نعم","لا")</f>
        <v>نعم</v>
      </c>
    </row>
    <row r="119" customFormat="false" ht="17.9" hidden="false" customHeight="false" outlineLevel="0" collapsed="false">
      <c r="A119" s="5" t="s">
        <v>137</v>
      </c>
      <c r="B119" s="5" t="n">
        <v>34</v>
      </c>
      <c r="C119" s="5" t="s">
        <v>19</v>
      </c>
      <c r="D119" s="5" t="n">
        <v>2</v>
      </c>
      <c r="E119" s="5" t="n">
        <v>2</v>
      </c>
      <c r="F119" s="5" t="n">
        <v>2</v>
      </c>
      <c r="G119" s="5" t="n">
        <f aca="false">F119-D119</f>
        <v>0</v>
      </c>
      <c r="H119" s="5" t="str">
        <f aca="false">IF(B119&gt;=الاتفاق!$C$3,"نعم","لا")</f>
        <v>لا</v>
      </c>
    </row>
    <row r="120" customFormat="false" ht="17.9" hidden="false" customHeight="false" outlineLevel="0" collapsed="false">
      <c r="A120" s="5" t="s">
        <v>138</v>
      </c>
      <c r="B120" s="5" t="n">
        <v>28</v>
      </c>
      <c r="C120" s="5" t="s">
        <v>19</v>
      </c>
      <c r="D120" s="5" t="n">
        <v>2</v>
      </c>
      <c r="E120" s="5" t="n">
        <v>2</v>
      </c>
      <c r="F120" s="5" t="n">
        <v>1</v>
      </c>
      <c r="G120" s="5" t="n">
        <f aca="false">F120-D120</f>
        <v>-1</v>
      </c>
      <c r="H120" s="5" t="str">
        <f aca="false">IF(B120&gt;=الاتفاق!$C$3,"نعم","لا")</f>
        <v>لا</v>
      </c>
    </row>
    <row r="121" customFormat="false" ht="17.9" hidden="false" customHeight="false" outlineLevel="0" collapsed="false">
      <c r="A121" s="5" t="s">
        <v>139</v>
      </c>
      <c r="B121" s="5" t="n">
        <v>36</v>
      </c>
      <c r="C121" s="5" t="s">
        <v>21</v>
      </c>
      <c r="D121" s="5" t="n">
        <v>1</v>
      </c>
      <c r="E121" s="5" t="n">
        <v>2</v>
      </c>
      <c r="F121" s="5" t="n">
        <v>2</v>
      </c>
      <c r="G121" s="5" t="n">
        <f aca="false">F121-D121</f>
        <v>1</v>
      </c>
      <c r="H121" s="5" t="str">
        <f aca="false">IF(B121&gt;=الاتفاق!$C$3,"نعم","لا")</f>
        <v>نعم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2"/>
    <col collapsed="false" customWidth="true" hidden="false" outlineLevel="0" max="5" min="5" style="0" width="30"/>
    <col collapsed="false" customWidth="true" hidden="false" outlineLevel="0" max="6" min="6" style="0" width="4"/>
    <col collapsed="false" customWidth="true" hidden="false" outlineLevel="0" max="7" min="7" style="0" width="10"/>
  </cols>
  <sheetData>
    <row r="1" customFormat="false" ht="16.15" hidden="false" customHeight="false" outlineLevel="0" collapsed="false">
      <c r="A1" s="1" t="s">
        <v>140</v>
      </c>
    </row>
    <row r="3" customFormat="false" ht="15" hidden="false" customHeight="false" outlineLevel="0" collapsed="false">
      <c r="A3" s="6" t="s">
        <v>141</v>
      </c>
      <c r="C3" s="7" t="n">
        <v>35</v>
      </c>
      <c r="E3" s="6" t="s">
        <v>142</v>
      </c>
      <c r="G3" s="7" t="n">
        <v>0.7</v>
      </c>
    </row>
    <row r="4" customFormat="false" ht="15" hidden="false" customHeight="false" outlineLevel="0" collapsed="false">
      <c r="E4" s="6" t="s">
        <v>143</v>
      </c>
      <c r="G4" s="7" t="n">
        <v>0.1</v>
      </c>
    </row>
    <row r="5" customFormat="false" ht="15" hidden="false" customHeight="false" outlineLevel="0" collapsed="false">
      <c r="E5" s="6" t="s">
        <v>144</v>
      </c>
      <c r="G5" s="7" t="n">
        <v>0.15</v>
      </c>
    </row>
    <row r="7" customFormat="false" ht="17.9" hidden="false" customHeight="false" outlineLevel="0" collapsed="false">
      <c r="A7" s="3" t="s">
        <v>145</v>
      </c>
    </row>
    <row r="8" customFormat="false" ht="17.9" hidden="false" customHeight="false" outlineLevel="0" collapsed="false">
      <c r="B8" s="4" t="n">
        <v>0</v>
      </c>
      <c r="C8" s="4" t="n">
        <v>1</v>
      </c>
      <c r="D8" s="4" t="n">
        <v>2</v>
      </c>
      <c r="E8" s="4" t="n">
        <v>3</v>
      </c>
    </row>
    <row r="9" customFormat="false" ht="17.9" hidden="false" customHeight="false" outlineLevel="0" collapsed="false">
      <c r="A9" s="5" t="n">
        <v>0</v>
      </c>
      <c r="B9" s="5" t="n">
        <f aca="false">COUNTIFS(البيانات!$D$2:$D$121,0,البيانات!$E$2:$E$121,0)</f>
        <v>14</v>
      </c>
      <c r="C9" s="5" t="n">
        <f aca="false">COUNTIFS(البيانات!$D$2:$D$121,0,البيانات!$E$2:$E$121,1)</f>
        <v>4</v>
      </c>
      <c r="D9" s="5" t="n">
        <f aca="false">COUNTIFS(البيانات!$D$2:$D$121,0,البيانات!$E$2:$E$121,2)</f>
        <v>0</v>
      </c>
      <c r="E9" s="5" t="n">
        <f aca="false">COUNTIFS(البيانات!$D$2:$D$121,0,البيانات!$E$2:$E$121,3)</f>
        <v>0</v>
      </c>
    </row>
    <row r="10" customFormat="false" ht="17.9" hidden="false" customHeight="false" outlineLevel="0" collapsed="false">
      <c r="A10" s="5" t="n">
        <v>1</v>
      </c>
      <c r="B10" s="5" t="n">
        <f aca="false">COUNTIFS(البيانات!$D$2:$D$121,1,البيانات!$E$2:$E$121,0)</f>
        <v>3</v>
      </c>
      <c r="C10" s="5" t="n">
        <f aca="false">COUNTIFS(البيانات!$D$2:$D$121,1,البيانات!$E$2:$E$121,1)</f>
        <v>21</v>
      </c>
      <c r="D10" s="5" t="n">
        <f aca="false">COUNTIFS(البيانات!$D$2:$D$121,1,البيانات!$E$2:$E$121,2)</f>
        <v>9</v>
      </c>
      <c r="E10" s="5" t="n">
        <f aca="false">COUNTIFS(البيانات!$D$2:$D$121,1,البيانات!$E$2:$E$121,3)</f>
        <v>0</v>
      </c>
    </row>
    <row r="11" customFormat="false" ht="17.9" hidden="false" customHeight="false" outlineLevel="0" collapsed="false">
      <c r="A11" s="5" t="n">
        <v>2</v>
      </c>
      <c r="B11" s="5" t="n">
        <f aca="false">COUNTIFS(البيانات!$D$2:$D$121,2,البيانات!$E$2:$E$121,0)</f>
        <v>0</v>
      </c>
      <c r="C11" s="5" t="n">
        <f aca="false">COUNTIFS(البيانات!$D$2:$D$121,2,البيانات!$E$2:$E$121,1)</f>
        <v>7</v>
      </c>
      <c r="D11" s="5" t="n">
        <f aca="false">COUNTIFS(البيانات!$D$2:$D$121,2,البيانات!$E$2:$E$121,2)</f>
        <v>24</v>
      </c>
      <c r="E11" s="5" t="n">
        <f aca="false">COUNTIFS(البيانات!$D$2:$D$121,2,البيانات!$E$2:$E$121,3)</f>
        <v>3</v>
      </c>
    </row>
    <row r="12" customFormat="false" ht="17.9" hidden="false" customHeight="false" outlineLevel="0" collapsed="false">
      <c r="A12" s="5" t="n">
        <v>3</v>
      </c>
      <c r="B12" s="5" t="n">
        <f aca="false">COUNTIFS(البيانات!$D$2:$D$121,3,البيانات!$E$2:$E$121,0)</f>
        <v>0</v>
      </c>
      <c r="C12" s="5" t="n">
        <f aca="false">COUNTIFS(البيانات!$D$2:$D$121,3,البيانات!$E$2:$E$121,1)</f>
        <v>1</v>
      </c>
      <c r="D12" s="5" t="n">
        <f aca="false">COUNTIFS(البيانات!$D$2:$D$121,3,البيانات!$E$2:$E$121,2)</f>
        <v>2</v>
      </c>
      <c r="E12" s="5" t="n">
        <f aca="false">COUNTIFS(البيانات!$D$2:$D$121,3,البيانات!$E$2:$E$121,3)</f>
        <v>32</v>
      </c>
    </row>
    <row r="14" customFormat="false" ht="17.9" hidden="false" customHeight="false" outlineLevel="0" collapsed="false">
      <c r="A14" s="3" t="s">
        <v>146</v>
      </c>
      <c r="C14" s="8" t="n">
        <f aca="false">SUM($B$9:$E$12)</f>
        <v>120</v>
      </c>
    </row>
    <row r="15" customFormat="false" ht="17.9" hidden="false" customHeight="false" outlineLevel="0" collapsed="false">
      <c r="A15" s="3" t="s">
        <v>147</v>
      </c>
      <c r="C15" s="9" t="n">
        <f aca="false">SUMPRODUCT((البيانات!$D$2:$D$121=البيانات!$E$2:$E$121)*1)/C14</f>
        <v>0.758333333333333</v>
      </c>
    </row>
    <row r="16" customFormat="false" ht="17.9" hidden="false" customHeight="false" outlineLevel="0" collapsed="false">
      <c r="A16" s="3" t="s">
        <v>148</v>
      </c>
      <c r="C16" s="9" t="n">
        <f aca="false">SUMPRODUCT((ABS(البيانات!$D$2:$D$121-البيانات!$E$2:$E$121)&lt;=1)*1)/C14</f>
        <v>0.991666666666667</v>
      </c>
    </row>
    <row r="17" customFormat="false" ht="17.9" hidden="false" customHeight="false" outlineLevel="0" collapsed="false">
      <c r="A17" s="3" t="s">
        <v>149</v>
      </c>
      <c r="C17" s="10" t="n">
        <f aca="false">((SUMPRODUCT((البيانات!$D$2:$D$121=البيانات!$E$2:$E$121)*1)/C14)-(COUNTIF(البيانات!$D$2:$D$121,0)*COUNTIF(البيانات!$E$2:$E$121,0)+COUNTIF(البيانات!$D$2:$D$121,1)*COUNTIF(البيانات!$E$2:$E$121,1)+COUNTIF(البيانات!$D$2:$D$121,2)*COUNTIF(البيانات!$E$2:$E$121,2)+COUNTIF(البيانات!$D$2:$D$121,3)*COUNTIF(البيانات!$E$2:$E$121,3))/C14^2)/(1-(COUNTIF(البيانات!$D$2:$D$121,0)*COUNTIF(البيانات!$E$2:$E$121,0)+COUNTIF(البيانات!$D$2:$D$121,1)*COUNTIF(البيانات!$E$2:$E$121,1)+COUNTIF(البيانات!$D$2:$D$121,2)*COUNTIF(البيانات!$E$2:$E$121,2)+COUNTIF(البيانات!$D$2:$D$121,3)*COUNTIF(البيانات!$E$2:$E$121,3))/C14^2)</f>
        <v>0.671388101983003</v>
      </c>
    </row>
    <row r="18" customFormat="false" ht="17.9" hidden="false" customHeight="false" outlineLevel="0" collapsed="false">
      <c r="A18" s="3" t="s">
        <v>150</v>
      </c>
      <c r="C18" s="10" t="n">
        <f aca="false">1-SUMPRODUCT((البيانات!$D$2:$D$121-البيانات!$E$2:$E$121)^2)/((COUNTIF(البيانات!$D$2:$D$121,0)*COUNTIF(البيانات!$E$2:$E$121,1)*1+COUNTIF(البيانات!$D$2:$D$121,0)*COUNTIF(البيانات!$E$2:$E$121,2)*4+COUNTIF(البيانات!$D$2:$D$121,0)*COUNTIF(البيانات!$E$2:$E$121,3)*9+COUNTIF(البيانات!$D$2:$D$121,1)*COUNTIF(البيانات!$E$2:$E$121,0)*1+COUNTIF(البيانات!$D$2:$D$121,1)*COUNTIF(البيانات!$E$2:$E$121,2)*1+COUNTIF(البيانات!$D$2:$D$121,1)*COUNTIF(البيانات!$E$2:$E$121,3)*4+COUNTIF(البيانات!$D$2:$D$121,2)*COUNTIF(البيانات!$E$2:$E$121,0)*4+COUNTIF(البيانات!$D$2:$D$121,2)*COUNTIF(البيانات!$E$2:$E$121,1)*1+COUNTIF(البيانات!$D$2:$D$121,2)*COUNTIF(البيانات!$E$2:$E$121,3)*1+COUNTIF(البيانات!$D$2:$D$121,3)*COUNTIF(البيانات!$E$2:$E$121,0)*9+COUNTIF(البيانات!$D$2:$D$121,3)*COUNTIF(البيانات!$E$2:$E$121,1)*4+COUNTIF(البيانات!$D$2:$D$121,3)*COUNTIF(البيانات!$E$2:$E$121,2)*1)/C14)</f>
        <v>0.875904860392968</v>
      </c>
    </row>
    <row r="19" customFormat="false" ht="17.9" hidden="false" customHeight="false" outlineLevel="0" collapsed="false">
      <c r="A19" s="3" t="s">
        <v>151</v>
      </c>
      <c r="C19" s="10" t="n">
        <f aca="false">AVERAGE(البيانات!$D$2:$D$121)</f>
        <v>1.71666666666667</v>
      </c>
    </row>
    <row r="20" customFormat="false" ht="17.9" hidden="false" customHeight="false" outlineLevel="0" collapsed="false">
      <c r="A20" s="3" t="s">
        <v>152</v>
      </c>
      <c r="C20" s="10" t="n">
        <f aca="false">AVERAGE(البيانات!$E$2:$E$121)</f>
        <v>1.73333333333333</v>
      </c>
    </row>
    <row r="21" customFormat="false" ht="17.9" hidden="false" customHeight="false" outlineLevel="0" collapsed="false">
      <c r="A21" s="3" t="s">
        <v>153</v>
      </c>
      <c r="C21" s="10" t="n">
        <f aca="false">(C19-C20)/SQRT((VAR(البيانات!$D$2:$D$121)+VAR(البيانات!$E$2:$E$121))/2)</f>
        <v>-0.0160128153805089</v>
      </c>
    </row>
    <row r="24" customFormat="false" ht="17.9" hidden="false" customHeight="false" outlineLevel="0" collapsed="false">
      <c r="A24" s="3" t="s">
        <v>154</v>
      </c>
    </row>
    <row r="25" customFormat="false" ht="17.9" hidden="false" customHeight="false" outlineLevel="0" collapsed="false">
      <c r="B25" s="4" t="n">
        <v>0</v>
      </c>
      <c r="C25" s="4" t="n">
        <v>1</v>
      </c>
      <c r="D25" s="4" t="n">
        <v>2</v>
      </c>
      <c r="E25" s="4" t="n">
        <v>3</v>
      </c>
    </row>
    <row r="26" customFormat="false" ht="17.9" hidden="false" customHeight="false" outlineLevel="0" collapsed="false">
      <c r="A26" s="5" t="n">
        <v>0</v>
      </c>
      <c r="B26" s="5" t="n">
        <f aca="false">COUNTIFS(البيانات!$F$2:$F$121,0,البيانات!$D$2:$D$121,0)</f>
        <v>17</v>
      </c>
      <c r="C26" s="5" t="n">
        <f aca="false">COUNTIFS(البيانات!$F$2:$F$121,0,البيانات!$D$2:$D$121,1)</f>
        <v>8</v>
      </c>
      <c r="D26" s="5" t="n">
        <f aca="false">COUNTIFS(البيانات!$F$2:$F$121,0,البيانات!$D$2:$D$121,2)</f>
        <v>0</v>
      </c>
      <c r="E26" s="5" t="n">
        <f aca="false">COUNTIFS(البيانات!$F$2:$F$121,0,البيانات!$D$2:$D$121,3)</f>
        <v>0</v>
      </c>
    </row>
    <row r="27" customFormat="false" ht="17.9" hidden="false" customHeight="false" outlineLevel="0" collapsed="false">
      <c r="A27" s="5" t="n">
        <v>1</v>
      </c>
      <c r="B27" s="5" t="n">
        <f aca="false">COUNTIFS(البيانات!$F$2:$F$121,1,البيانات!$D$2:$D$121,0)</f>
        <v>1</v>
      </c>
      <c r="C27" s="5" t="n">
        <f aca="false">COUNTIFS(البيانات!$F$2:$F$121,1,البيانات!$D$2:$D$121,1)</f>
        <v>20</v>
      </c>
      <c r="D27" s="5" t="n">
        <f aca="false">COUNTIFS(البيانات!$F$2:$F$121,1,البيانات!$D$2:$D$121,2)</f>
        <v>7</v>
      </c>
      <c r="E27" s="5" t="n">
        <f aca="false">COUNTIFS(البيانات!$F$2:$F$121,1,البيانات!$D$2:$D$121,3)</f>
        <v>0</v>
      </c>
    </row>
    <row r="28" customFormat="false" ht="17.9" hidden="false" customHeight="false" outlineLevel="0" collapsed="false">
      <c r="A28" s="5" t="n">
        <v>2</v>
      </c>
      <c r="B28" s="5" t="n">
        <f aca="false">COUNTIFS(البيانات!$F$2:$F$121,2,البيانات!$D$2:$D$121,0)</f>
        <v>0</v>
      </c>
      <c r="C28" s="5" t="n">
        <f aca="false">COUNTIFS(البيانات!$F$2:$F$121,2,البيانات!$D$2:$D$121,1)</f>
        <v>5</v>
      </c>
      <c r="D28" s="5" t="n">
        <f aca="false">COUNTIFS(البيانات!$F$2:$F$121,2,البيانات!$D$2:$D$121,2)</f>
        <v>18</v>
      </c>
      <c r="E28" s="5" t="n">
        <f aca="false">COUNTIFS(البيانات!$F$2:$F$121,2,البيانات!$D$2:$D$121,3)</f>
        <v>3</v>
      </c>
    </row>
    <row r="29" customFormat="false" ht="17.9" hidden="false" customHeight="false" outlineLevel="0" collapsed="false">
      <c r="A29" s="5" t="n">
        <v>3</v>
      </c>
      <c r="B29" s="5" t="n">
        <f aca="false">COUNTIFS(البيانات!$F$2:$F$121,3,البيانات!$D$2:$D$121,0)</f>
        <v>0</v>
      </c>
      <c r="C29" s="5" t="n">
        <f aca="false">COUNTIFS(البيانات!$F$2:$F$121,3,البيانات!$D$2:$D$121,1)</f>
        <v>0</v>
      </c>
      <c r="D29" s="5" t="n">
        <f aca="false">COUNTIFS(البيانات!$F$2:$F$121,3,البيانات!$D$2:$D$121,2)</f>
        <v>9</v>
      </c>
      <c r="E29" s="5" t="n">
        <f aca="false">COUNTIFS(البيانات!$F$2:$F$121,3,البيانات!$D$2:$D$121,3)</f>
        <v>32</v>
      </c>
    </row>
    <row r="31" customFormat="false" ht="17.9" hidden="false" customHeight="false" outlineLevel="0" collapsed="false">
      <c r="A31" s="3" t="s">
        <v>146</v>
      </c>
      <c r="C31" s="8" t="n">
        <f aca="false">SUM($B$26:$E$29)</f>
        <v>120</v>
      </c>
    </row>
    <row r="32" customFormat="false" ht="17.9" hidden="false" customHeight="false" outlineLevel="0" collapsed="false">
      <c r="A32" s="3" t="s">
        <v>147</v>
      </c>
      <c r="C32" s="9" t="n">
        <f aca="false">SUMPRODUCT((البيانات!$F$2:$F$121=البيانات!$D$2:$D$121)*1)/C31</f>
        <v>0.725</v>
      </c>
    </row>
    <row r="33" customFormat="false" ht="17.9" hidden="false" customHeight="false" outlineLevel="0" collapsed="false">
      <c r="A33" s="3" t="s">
        <v>148</v>
      </c>
      <c r="C33" s="9" t="n">
        <f aca="false">SUMPRODUCT((ABS(البيانات!$F$2:$F$121-البيانات!$D$2:$D$121)&lt;=1)*1)/C31</f>
        <v>1</v>
      </c>
    </row>
    <row r="34" customFormat="false" ht="17.9" hidden="false" customHeight="false" outlineLevel="0" collapsed="false">
      <c r="A34" s="3" t="s">
        <v>149</v>
      </c>
      <c r="C34" s="10" t="n">
        <f aca="false">((SUMPRODUCT((البيانات!$F$2:$F$121=البيانات!$D$2:$D$121)*1)/C31)-(COUNTIF(البيانات!$F$2:$F$121,0)*COUNTIF(البيانات!$D$2:$D$121,0)+COUNTIF(البيانات!$F$2:$F$121,1)*COUNTIF(البيانات!$D$2:$D$121,1)+COUNTIF(البيانات!$F$2:$F$121,2)*COUNTIF(البيانات!$D$2:$D$121,2)+COUNTIF(البيانات!$F$2:$F$121,3)*COUNTIF(البيانات!$D$2:$D$121,3))/C31^2)/(1-(COUNTIF(البيانات!$F$2:$F$121,0)*COUNTIF(البيانات!$D$2:$D$121,0)+COUNTIF(البيانات!$F$2:$F$121,1)*COUNTIF(البيانات!$D$2:$D$121,1)+COUNTIF(البيانات!$F$2:$F$121,2)*COUNTIF(البيانات!$D$2:$D$121,2)+COUNTIF(البيانات!$F$2:$F$121,3)*COUNTIF(البيانات!$D$2:$D$121,3))/C31^2)</f>
        <v>0.630148500980667</v>
      </c>
    </row>
    <row r="35" customFormat="false" ht="17.9" hidden="false" customHeight="false" outlineLevel="0" collapsed="false">
      <c r="A35" s="3" t="s">
        <v>150</v>
      </c>
      <c r="C35" s="10" t="n">
        <f aca="false">1-SUMPRODUCT((البيانات!$F$2:$F$121-البيانات!$D$2:$D$121)^2)/((COUNTIF(البيانات!$F$2:$F$121,0)*COUNTIF(البيانات!$D$2:$D$121,1)*1+COUNTIF(البيانات!$F$2:$F$121,0)*COUNTIF(البيانات!$D$2:$D$121,2)*4+COUNTIF(البيانات!$F$2:$F$121,0)*COUNTIF(البيانات!$D$2:$D$121,3)*9+COUNTIF(البيانات!$F$2:$F$121,1)*COUNTIF(البيانات!$D$2:$D$121,0)*1+COUNTIF(البيانات!$F$2:$F$121,1)*COUNTIF(البيانات!$D$2:$D$121,2)*1+COUNTIF(البيانات!$F$2:$F$121,1)*COUNTIF(البيانات!$D$2:$D$121,3)*4+COUNTIF(البيانات!$F$2:$F$121,2)*COUNTIF(البيانات!$D$2:$D$121,0)*4+COUNTIF(البيانات!$F$2:$F$121,2)*COUNTIF(البيانات!$D$2:$D$121,1)*1+COUNTIF(البيانات!$F$2:$F$121,2)*COUNTIF(البيانات!$D$2:$D$121,3)*1+COUNTIF(البيانات!$F$2:$F$121,3)*COUNTIF(البيانات!$D$2:$D$121,0)*9+COUNTIF(البيانات!$F$2:$F$121,3)*COUNTIF(البيانات!$D$2:$D$121,1)*4+COUNTIF(البيانات!$F$2:$F$121,3)*COUNTIF(البيانات!$D$2:$D$121,2)*1)/C31)</f>
        <v>0.885429927091772</v>
      </c>
    </row>
    <row r="36" customFormat="false" ht="17.9" hidden="false" customHeight="false" outlineLevel="0" collapsed="false">
      <c r="A36" s="3" t="s">
        <v>151</v>
      </c>
      <c r="C36" s="10" t="n">
        <f aca="false">AVERAGE(البيانات!$F$2:$F$121)</f>
        <v>1.69166666666667</v>
      </c>
    </row>
    <row r="37" customFormat="false" ht="17.9" hidden="false" customHeight="false" outlineLevel="0" collapsed="false">
      <c r="A37" s="3" t="s">
        <v>152</v>
      </c>
      <c r="C37" s="10" t="n">
        <f aca="false">AVERAGE(البيانات!$D$2:$D$121)</f>
        <v>1.71666666666667</v>
      </c>
    </row>
    <row r="38" customFormat="false" ht="17.9" hidden="false" customHeight="false" outlineLevel="0" collapsed="false">
      <c r="A38" s="3" t="s">
        <v>153</v>
      </c>
      <c r="C38" s="10" t="n">
        <f aca="false">(C36-C37)/SQRT((VAR(البيانات!$F$2:$F$121)+VAR(البيانات!$D$2:$D$121))/2)</f>
        <v>-0.0227281277380901</v>
      </c>
    </row>
    <row r="42" customFormat="false" ht="15" hidden="false" customHeight="false" outlineLevel="0" collapsed="false">
      <c r="A42" s="11" t="s">
        <v>155</v>
      </c>
    </row>
    <row r="43" customFormat="false" ht="17.9" hidden="false" customHeight="false" outlineLevel="0" collapsed="false">
      <c r="A43" s="6" t="s">
        <v>156</v>
      </c>
      <c r="C43" s="12" t="str">
        <f aca="false">IF(C35&gt;=$G$3,"يتحقق","لا يتحقق")</f>
        <v>يتحقق</v>
      </c>
    </row>
    <row r="44" customFormat="false" ht="17.9" hidden="false" customHeight="false" outlineLevel="0" collapsed="false">
      <c r="A44" s="6" t="s">
        <v>157</v>
      </c>
      <c r="C44" s="12" t="str">
        <f aca="false">IF(C18-C35&lt;=$G$4,"يتحقق","لا يتحقق")</f>
        <v>يتحقق</v>
      </c>
    </row>
    <row r="45" customFormat="false" ht="17.9" hidden="false" customHeight="false" outlineLevel="0" collapsed="false">
      <c r="A45" s="6" t="s">
        <v>158</v>
      </c>
      <c r="C45" s="12" t="str">
        <f aca="false">IF(ABS(C38)&lt;=$G$5,"يتحقق","لا يتحقق")</f>
        <v>يتحقق</v>
      </c>
    </row>
    <row r="46" customFormat="false" ht="15" hidden="false" customHeight="false" outlineLevel="0" collapsed="false">
      <c r="A46" s="6" t="s">
        <v>159</v>
      </c>
      <c r="C46" s="13" t="n">
        <f aca="false">C18-C35</f>
        <v>-0.00952506669880382</v>
      </c>
    </row>
  </sheetData>
  <conditionalFormatting sqref="C43:C45">
    <cfRule type="expression" priority="2" aboveAverage="0" equalAverage="0" bottom="0" percent="0" rank="0" text="" dxfId="0">
      <formula>C43="يتحقق"</formula>
    </cfRule>
    <cfRule type="expression" priority="3" aboveAverage="0" equalAverage="0" bottom="0" percent="0" rank="0" text="" dxfId="1">
      <formula>C43="لا يتحقق"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7"/>
    <col collapsed="false" customWidth="true" hidden="false" outlineLevel="0" max="5" min="5" style="0" width="24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9" min="9" style="0" width="30"/>
  </cols>
  <sheetData>
    <row r="1" customFormat="false" ht="34.3" hidden="false" customHeight="false" outlineLevel="0" collapsed="false">
      <c r="A1" s="4" t="s">
        <v>160</v>
      </c>
      <c r="B1" s="4" t="s">
        <v>146</v>
      </c>
      <c r="C1" s="4" t="s">
        <v>161</v>
      </c>
      <c r="D1" s="4" t="s">
        <v>162</v>
      </c>
      <c r="E1" s="4" t="s">
        <v>163</v>
      </c>
      <c r="F1" s="4" t="s">
        <v>153</v>
      </c>
      <c r="G1" s="4" t="s">
        <v>164</v>
      </c>
      <c r="I1" s="6" t="s">
        <v>165</v>
      </c>
      <c r="K1" s="7" t="n">
        <v>0.1</v>
      </c>
    </row>
    <row r="2" customFormat="false" ht="17.9" hidden="false" customHeight="false" outlineLevel="0" collapsed="false">
      <c r="A2" s="5" t="s">
        <v>166</v>
      </c>
      <c r="B2" s="5" t="n">
        <f aca="false">COUNTIF(البيانات!$H$2:$H$121,"نعم")</f>
        <v>41</v>
      </c>
      <c r="C2" s="14" t="n">
        <f aca="false">AVERAGEIF(البيانات!$H$2:$H$121,"نعم",البيانات!$D$2:$D$121)</f>
        <v>2.46341463414634</v>
      </c>
      <c r="D2" s="14" t="n">
        <f aca="false">AVERAGEIF(البيانات!$H$2:$H$121,"نعم",البيانات!$F$2:$F$121)</f>
        <v>2.65853658536585</v>
      </c>
      <c r="E2" s="15" t="n">
        <f aca="false">D2-C2</f>
        <v>0.195121951219512</v>
      </c>
      <c r="F2" s="15" t="n">
        <f aca="false">(D2-C2)/SQRT((SQRT((SUMPRODUCT((البيانات!$H$2:$H$121="نعم")*(البيانات!$F$2:$F$121)^2)-B2*AVERAGEIF(البيانات!$H$2:$H$121,"نعم",البيانات!$F$2:$F$121)^2)/(B2-1))^2+SQRT((SUMPRODUCT((البيانات!$H$2:$H$121="نعم")*(البيانات!$D$2:$D$121)^2)-B2*AVERAGEIF(البيانات!$H$2:$H$121,"نعم",البيانات!$D$2:$D$121)^2)/(B2-1))^2)/2)</f>
        <v>0.264870170423265</v>
      </c>
      <c r="G2" s="5" t="str">
        <f aca="false">IF(ABS(F2)&lt;=$K$1,"مقبول",IF(F2&gt;0,"الأداة متساهلة","الأداة متشددة"))</f>
        <v>الأداة متساهلة</v>
      </c>
    </row>
    <row r="3" customFormat="false" ht="17.9" hidden="false" customHeight="false" outlineLevel="0" collapsed="false">
      <c r="A3" s="5" t="s">
        <v>167</v>
      </c>
      <c r="B3" s="5" t="n">
        <f aca="false">COUNTIF(البيانات!$H$2:$H$121,"لا")</f>
        <v>79</v>
      </c>
      <c r="C3" s="14" t="n">
        <f aca="false">AVERAGEIF(البيانات!$H$2:$H$121,"لا",البيانات!$D$2:$D$121)</f>
        <v>1.32911392405063</v>
      </c>
      <c r="D3" s="14" t="n">
        <f aca="false">AVERAGEIF(البيانات!$H$2:$H$121,"لا",البيانات!$F$2:$F$121)</f>
        <v>1.18987341772152</v>
      </c>
      <c r="E3" s="15" t="n">
        <f aca="false">D3-C3</f>
        <v>-0.139240506329114</v>
      </c>
      <c r="F3" s="15" t="n">
        <f aca="false">(D3-C3)/SQRT((SQRT((SUMPRODUCT((البيانات!$H$2:$H$121="لا")*(البيانات!$F$2:$F$121)^2)-B3*AVERAGEIF(البيانات!$H$2:$H$121,"لا",البيانات!$F$2:$F$121)^2)/(B3-1))^2+SQRT((SUMPRODUCT((البيانات!$H$2:$H$121="لا")*(البيانات!$D$2:$D$121)^2)-B3*AVERAGEIF(البيانات!$H$2:$H$121,"لا",البيانات!$D$2:$D$121)^2)/(B3-1))^2)/2)</f>
        <v>-0.141249053076661</v>
      </c>
      <c r="G3" s="5" t="str">
        <f aca="false">IF(ABS(F3)&lt;=$K$1,"مقبول",IF(F3&gt;0,"الأداة متساهلة","الأداة متشددة"))</f>
        <v>الأداة متشددة</v>
      </c>
    </row>
    <row r="4" customFormat="false" ht="17.9" hidden="false" customHeight="false" outlineLevel="0" collapsed="false">
      <c r="A4" s="5" t="s">
        <v>12</v>
      </c>
      <c r="B4" s="5" t="n">
        <f aca="false">COUNTIF(البيانات!$C$2:$C$121,"نعم")</f>
        <v>27</v>
      </c>
      <c r="C4" s="14" t="n">
        <f aca="false">AVERAGEIF(البيانات!$C$2:$C$121,"نعم",البيانات!$D$2:$D$121)</f>
        <v>1.55555555555556</v>
      </c>
      <c r="D4" s="14" t="n">
        <f aca="false">AVERAGEIF(البيانات!$C$2:$C$121,"نعم",البيانات!$F$2:$F$121)</f>
        <v>1.33333333333333</v>
      </c>
      <c r="E4" s="15" t="n">
        <f aca="false">D4-C4</f>
        <v>-0.222222222222222</v>
      </c>
      <c r="F4" s="15" t="n">
        <f aca="false">(D4-C4)/SQRT((SQRT((SUMPRODUCT((البيانات!$C$2:$C$121="نعم")*(البيانات!$F$2:$F$121)^2)-B4*AVERAGEIF(البيانات!$C$2:$C$121,"نعم",البيانات!$F$2:$F$121)^2)/(B4-1))^2+SQRT((SUMPRODUCT((البيانات!$C$2:$C$121="نعم")*(البيانات!$D$2:$D$121)^2)-B4*AVERAGEIF(البيانات!$C$2:$C$121,"نعم",البيانات!$D$2:$D$121)^2)/(B4-1))^2)/2)</f>
        <v>-0.190625877092986</v>
      </c>
      <c r="G4" s="5" t="str">
        <f aca="false">IF(ABS(F4)&lt;=$K$1,"مقبول",IF(F4&gt;0,"الأداة متساهلة","الأداة متشددة"))</f>
        <v>الأداة متشددة</v>
      </c>
    </row>
    <row r="5" customFormat="false" ht="17.9" hidden="false" customHeight="false" outlineLevel="0" collapsed="false">
      <c r="A5" s="5" t="s">
        <v>168</v>
      </c>
      <c r="B5" s="5" t="n">
        <f aca="false">COUNTIF(البيانات!$C$2:$C$121,"لا")</f>
        <v>93</v>
      </c>
      <c r="C5" s="14" t="n">
        <f aca="false">AVERAGEIF(البيانات!$C$2:$C$121,"لا",البيانات!$D$2:$D$121)</f>
        <v>1.76344086021505</v>
      </c>
      <c r="D5" s="14" t="n">
        <f aca="false">AVERAGEIF(البيانات!$C$2:$C$121,"لا",البيانات!$F$2:$F$121)</f>
        <v>1.79569892473118</v>
      </c>
      <c r="E5" s="15" t="n">
        <f aca="false">D5-C5</f>
        <v>0.032258064516129</v>
      </c>
      <c r="F5" s="15" t="n">
        <f aca="false">(D5-C5)/SQRT((SQRT((SUMPRODUCT((البيانات!$C$2:$C$121="لا")*(البيانات!$F$2:$F$121)^2)-B5*AVERAGEIF(البيانات!$C$2:$C$121,"لا",البيانات!$F$2:$F$121)^2)/(B5-1))^2+SQRT((SUMPRODUCT((البيانات!$C$2:$C$121="لا")*(البيانات!$D$2:$D$121)^2)-B5*AVERAGEIF(البيانات!$C$2:$C$121,"لا",البيانات!$D$2:$D$121)^2)/(B5-1))^2)/2)</f>
        <v>0.0300585076699086</v>
      </c>
      <c r="G5" s="5" t="str">
        <f aca="false">IF(ABS(F5)&lt;=$K$1,"مقبول",IF(F5&gt;0,"الأداة متساهلة","الأداة متشددة"))</f>
        <v>مقبول</v>
      </c>
    </row>
    <row r="7" customFormat="false" ht="17.9" hidden="false" customHeight="false" outlineLevel="0" collapsed="false">
      <c r="A7" s="3" t="s">
        <v>169</v>
      </c>
      <c r="E7" s="16" t="n">
        <f aca="false">CORREL(البيانات!$B$2:$B$121,البيانات!$G$2:$G$121)</f>
        <v>0.268730563528967</v>
      </c>
    </row>
  </sheetData>
  <conditionalFormatting sqref="G2:G5">
    <cfRule type="expression" priority="2" aboveAverage="0" equalAverage="0" bottom="0" percent="0" rank="0" text="" dxfId="0">
      <formula>G2="مقبول"</formula>
    </cfRule>
    <cfRule type="expression" priority="3" aboveAverage="0" equalAverage="0" bottom="0" percent="0" rank="0" text="" dxfId="1">
      <formula>G2&lt;&gt;"مقبول"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2026-10-05T17:03:17Z</dcterms:created>
  <dc:creator>openpyxl</dc:creator>
  <dc:description/>
  <dc:language>en-US</dc:language>
  <cp:lastModifiedBy/>
  <dcterms:modified xsi:type="dcterms:W3CDTF">2026-10-05T17:03:17Z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