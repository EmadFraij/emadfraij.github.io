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اقرأني" sheetId="1" state="visible" r:id="rId3"/>
    <sheet name="الإطار" sheetId="2" state="visible" r:id="rId4"/>
    <sheet name="مثال محلول" sheetId="3" state="visible" r:id="rId5"/>
    <sheet name="قالبك" sheetId="4" state="visible" r:id="rId6"/>
    <sheet name="تصنيف الفقرات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" authorId="0">
      <text>
        <r>
          <rPr>
            <sz val="10"/>
            <rFont val="FreeSans"/>
            <family val="2"/>
          </rPr>
          <t xml:space="preserve">أوزان مجالات المحتوى للصف الثامن في إطار تيمس </t>
        </r>
        <r>
          <rPr>
            <sz val="10"/>
            <rFont val="Arial"/>
            <family val="2"/>
          </rPr>
          <t xml:space="preserve">2023: الأحياء 35%، الكيمياء 20%، الفيزياء 25%، علوم الأرض 20%. والمجالات المعرفية: معرفة 35%، تطبيق 35%، استدلال 30%.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9" authorId="0">
      <text>
        <r>
          <rPr>
            <sz val="10"/>
            <rFont val="FreeSans"/>
            <family val="2"/>
          </rPr>
          <t xml:space="preserve">التغطية الموزونة تقرّب نسبة درجات الاختبار التي دُرّس محتواها. «جزئياً» تُحسب نصف موضوع، وهذا تبسيط</t>
        </r>
        <r>
          <rPr>
            <sz val="10"/>
            <rFont val="Arial"/>
            <family val="2"/>
          </rPr>
          <t xml:space="preserve">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9" authorId="0">
      <text>
        <r>
          <rPr>
            <sz val="10"/>
            <rFont val="FreeSans"/>
            <family val="2"/>
          </rPr>
          <t xml:space="preserve">التغطية الموزونة تقرّب نسبة درجات الاختبار التي دُرّس محتواها. «جزئياً» تُحسب نصف موضوع، وهذا تبسيط</t>
        </r>
        <r>
          <rPr>
            <sz val="10"/>
            <rFont val="Arial"/>
            <family val="2"/>
          </rPr>
          <t xml:space="preserve">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1" authorId="0">
      <text>
        <r>
          <rPr>
            <sz val="10"/>
            <rFont val="FreeSans"/>
            <family val="2"/>
          </rPr>
          <t xml:space="preserve">صنّف بحسب ما تطلبه الفقرة من طالب الصف الثامن فعلاً، لا بحسب الفعل في نصها. الفقرة نفسها قد تكون «معرفة» لطالب درس المثال و«تطبيقاً» لطالب يراه أول مرة</t>
        </r>
        <r>
          <rPr>
            <sz val="10"/>
            <rFont val="Arial"/>
            <family val="2"/>
          </rPr>
          <t xml:space="preserve">.</t>
        </r>
      </text>
    </comment>
  </commentList>
</comments>
</file>

<file path=xl/sharedStrings.xml><?xml version="1.0" encoding="utf-8"?>
<sst xmlns="http://schemas.openxmlformats.org/spreadsheetml/2006/main" count="216" uniqueCount="77">
  <si>
    <t xml:space="preserve">مشغل الأسبوع 12 — أطر الدراسات الدولية ومواءمة المنهج</t>
  </si>
  <si>
    <t xml:space="preserve">مساق القياس والتقويم التربوي — دبلوم الدراسات العليا المهني في التدريس</t>
  </si>
  <si>
    <t xml:space="preserve">المصدر: إطار تيمس 2023 للعلوم، الصف الثامن (Mullis, Martin &amp; von Davier, 2021). الموضوعات مترجمة إلى العربية بتصرف يسير.</t>
  </si>
  <si>
    <t xml:space="preserve">تنبيه: «المنهج الافتراضي» في المثال المحلول ليس منهج أي دولة، وحالة تغطيته مفترضة للتدريب. والفقرات العشر كُتبت للمساق بأسلوب تيمس، وليست فقرات منشورة من الدراسة.</t>
  </si>
  <si>
    <t xml:space="preserve">أوراق المصنف:</t>
  </si>
  <si>
    <t xml:space="preserve">الإطار: المجالات الأربعة وأوزانها، وموضوعاتها الثمانية عشر، والمجالات المعرفية الثلاثة وأوزانها.</t>
  </si>
  <si>
    <t xml:space="preserve">مثال محلول: حالة تغطية منهج افتراضي لكل موضوع، ونسبة التغطية لكل مجال، والتغطية الموزونة بأوزان الإطار.</t>
  </si>
  <si>
    <t xml:space="preserve">قالبك: الجدول نفسه فارغاً لمنهجك الفعلي في الصف الثامن. ارجع إلى وثيقة المنهج، لا إلى ذاكرتك ولا إلى كلود وحده.</t>
  </si>
  <si>
    <t xml:space="preserve">تصنيف الفقرات: صنّف كل فقرة بالمجال والموضوع والمجال المعرفي، ثم قارن توزيع تصنيفك بأوزان الإطار.</t>
  </si>
  <si>
    <t xml:space="preserve">الفكرة الأساسية: أداء الطلبة في دراسة دولية يُقرأ مع فرصة التعلم: هل دُرّس الموضوع أصلاً قبل الاختبار؟</t>
  </si>
  <si>
    <t xml:space="preserve">المجال</t>
  </si>
  <si>
    <t xml:space="preserve">الوزن</t>
  </si>
  <si>
    <t xml:space="preserve">الموضوع</t>
  </si>
  <si>
    <t xml:space="preserve">الأحياء</t>
  </si>
  <si>
    <t xml:space="preserve">خصائص الكائنات الحية وعملياتها الحيوية</t>
  </si>
  <si>
    <t xml:space="preserve">الخلايا ووظائفها</t>
  </si>
  <si>
    <t xml:space="preserve">دورات الحياة والتكاثر والوراثة</t>
  </si>
  <si>
    <t xml:space="preserve">التنوع والتكيّف والانتقاء الطبيعي</t>
  </si>
  <si>
    <t xml:space="preserve">الأنظمة البيئية</t>
  </si>
  <si>
    <t xml:space="preserve">صحة الإنسان</t>
  </si>
  <si>
    <t xml:space="preserve">الكيمياء</t>
  </si>
  <si>
    <t xml:space="preserve">تركيب المادة</t>
  </si>
  <si>
    <t xml:space="preserve">خصائص المادة</t>
  </si>
  <si>
    <t xml:space="preserve">التغيّر الكيميائي</t>
  </si>
  <si>
    <t xml:space="preserve">الفيزياء</t>
  </si>
  <si>
    <t xml:space="preserve">الحالات الفيزيائية للمادة وتغيّراتها</t>
  </si>
  <si>
    <t xml:space="preserve">تحوّلات الطاقة وانتقالها</t>
  </si>
  <si>
    <t xml:space="preserve">الضوء والصوت</t>
  </si>
  <si>
    <t xml:space="preserve">الكهرباء والمغناطيسية</t>
  </si>
  <si>
    <t xml:space="preserve">الحركة والقوى</t>
  </si>
  <si>
    <t xml:space="preserve">علوم الأرض</t>
  </si>
  <si>
    <t xml:space="preserve">بنية الأرض ومعالمها</t>
  </si>
  <si>
    <t xml:space="preserve">عمليات الأرض ودوراتها وتاريخها</t>
  </si>
  <si>
    <t xml:space="preserve">موارد الأرض واستخدامها والمحافظة عليها</t>
  </si>
  <si>
    <t xml:space="preserve">الأرض في المجموعة الشمسية والكون</t>
  </si>
  <si>
    <t xml:space="preserve">المجالات المعرفية</t>
  </si>
  <si>
    <t xml:space="preserve">معرفة</t>
  </si>
  <si>
    <t xml:space="preserve">تطبيق</t>
  </si>
  <si>
    <t xml:space="preserve">استدلال</t>
  </si>
  <si>
    <t xml:space="preserve">مثال محلول: منهج افتراضي</t>
  </si>
  <si>
    <t xml:space="preserve">الحالة بنهاية الصف الثامن</t>
  </si>
  <si>
    <t xml:space="preserve">القيمة</t>
  </si>
  <si>
    <t xml:space="preserve">ملاحظة أو دليل من وثيقة المنهج</t>
  </si>
  <si>
    <t xml:space="preserve">يُدرّس كاملاً</t>
  </si>
  <si>
    <t xml:space="preserve">يُدرّس جزئياً</t>
  </si>
  <si>
    <t xml:space="preserve">لا يُدرّس</t>
  </si>
  <si>
    <t xml:space="preserve">وزنه في الإطار</t>
  </si>
  <si>
    <t xml:space="preserve">عدد الموضوعات</t>
  </si>
  <si>
    <t xml:space="preserve">الموضوعات المصنّفة</t>
  </si>
  <si>
    <t xml:space="preserve">نسبة التغطية</t>
  </si>
  <si>
    <t xml:space="preserve">التغطية الموزونة بأوزان الإطار</t>
  </si>
  <si>
    <t xml:space="preserve">التغطية غير الموزونة (كل الموضوعات بالوزن نفسه)</t>
  </si>
  <si>
    <t xml:space="preserve">قالبك: منهج الصف الثامن الذي تدرّسه</t>
  </si>
  <si>
    <t xml:space="preserve">الفقرة</t>
  </si>
  <si>
    <t xml:space="preserve">النص</t>
  </si>
  <si>
    <t xml:space="preserve">الصيغة</t>
  </si>
  <si>
    <t xml:space="preserve">المجال المعرفي</t>
  </si>
  <si>
    <t xml:space="preserve">مبررك في جملة</t>
  </si>
  <si>
    <t xml:space="preserve">أيّ تركيب يوجد في الخلية النباتية ولا يوجد في الخلية الحيوانية؟ (أ) الغشاء الخلوي (ب) الجدار الخلوي (ج) النواة (د) السيتوبلازم</t>
  </si>
  <si>
    <t xml:space="preserve">اختيار من متعدد</t>
  </si>
  <si>
    <t xml:space="preserve">في حديقة مدرسة: نباتات ← جراد ← ضفادع ← ثعابين. إذا اختفت الثعابين، صف ما قد يحدث لأعداد الجراد بعد مدة، وفسّر إجابتك.</t>
  </si>
  <si>
    <t xml:space="preserve">إجابة مبنية</t>
  </si>
  <si>
    <t xml:space="preserve">يعرض الشكل أربعة صناديق فيها رسوم جسيمات. أيّ صندوق يمثّل مخلوطاً من عنصرين؟</t>
  </si>
  <si>
    <t xml:space="preserve">أراد طالب أن يعرف هل يحتاج صدأ الحديد إلى الماء والهواء معاً. أيّ مجموعة من الأنابيب الثلاثة تختبر ذلك؟ وما الذي يجب أن يبقى ثابتاً؟</t>
  </si>
  <si>
    <t xml:space="preserve">يبيّن الجدول المسافة التي قطعتها دراجة كل 5 ثوانٍ. احسب متوسط سرعتها في أول 20 ثانية.</t>
  </si>
  <si>
    <t xml:space="preserve">لماذا نرى البرق قبل أن نسمع الرعد مع أنهما يحدثان معاً؟</t>
  </si>
  <si>
    <t xml:space="preserve">على الشاشة دائرة فيها مصباحان على التوالي وبطارية. اسحب مفتاحاً إلى المكان الذي يطفئ المصباح الثاني فقط، أو اشرح لماذا لا يمكن ذلك.</t>
  </si>
  <si>
    <t xml:space="preserve">تفاعلية رقمية</t>
  </si>
  <si>
    <t xml:space="preserve">تجف برك الماء في الشارع في يوم عاصف أسرع منها في يوم هادئ بالحرارة نفسها. فسّر ذلك.</t>
  </si>
  <si>
    <t xml:space="preserve">ما سبب ظهور القمر بأطوار مختلفة خلال الشهر؟</t>
  </si>
  <si>
    <t xml:space="preserve">مهمة من عدة شاشات: تختار مدرسة تربة لحديقتها. يجري الطالب تجربة افتراضية على ثلاث ترب، ويسجّل كمية الماء التي تحتفظ بها كل تربة، ثم يوصي بتربة ويبرر توصيته بالبيانات.</t>
  </si>
  <si>
    <t xml:space="preserve">مهمة حل مشكلات واستقصاء</t>
  </si>
  <si>
    <t xml:space="preserve">توزيع تصنيفك مقابل الإطار</t>
  </si>
  <si>
    <t xml:space="preserve">الفئة</t>
  </si>
  <si>
    <t xml:space="preserve">عدد فقراتك</t>
  </si>
  <si>
    <t xml:space="preserve">نسبتها</t>
  </si>
  <si>
    <t xml:space="preserve">وزنها في الإطار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</si>
</sst>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4E79"/>
      <name val="IBM Plex Sans Arabic"/>
      <family val="0"/>
      <charset val="1"/>
    </font>
    <font>
      <sz val="11"/>
      <name val="IBM Plex Sans Arabic"/>
      <family val="0"/>
      <charset val="1"/>
    </font>
    <font>
      <b val="true"/>
      <sz val="11"/>
      <name val="IBM Plex Sans Arabic"/>
      <family val="0"/>
      <charset val="1"/>
    </font>
    <font>
      <b val="true"/>
      <sz val="11"/>
      <color rgb="FFFFFFFF"/>
      <name val="IBM Plex Sans Arabic"/>
      <family val="0"/>
      <charset val="1"/>
    </font>
    <font>
      <sz val="10"/>
      <name val="FreeSans"/>
      <family val="2"/>
    </font>
    <font>
      <sz val="10"/>
      <name val="Arial"/>
      <family val="2"/>
    </font>
    <font>
      <b val="true"/>
      <sz val="12"/>
      <color rgb="FF1F4E79"/>
      <name val="IBM Plex Sans Arabic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FFE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8CBAD"/>
        </patternFill>
      </fill>
    </dxf>
    <dxf>
      <fill>
        <patternFill>
          <bgColor rgb="FFFFE69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4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5"/>
  </cols>
  <sheetData>
    <row r="1" customFormat="false" ht="20.1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7.9" hidden="false" customHeight="false" outlineLevel="0" collapsed="false">
      <c r="A4" s="3" t="s">
        <v>2</v>
      </c>
    </row>
    <row r="5" customFormat="false" ht="17.9" hidden="false" customHeight="false" outlineLevel="0" collapsed="false">
      <c r="A5" s="3" t="s">
        <v>3</v>
      </c>
    </row>
    <row r="6" customFormat="false" ht="15" hidden="false" customHeight="false" outlineLevel="0" collapsed="false">
      <c r="A6" s="2"/>
    </row>
    <row r="7" customFormat="false" ht="17.9" hidden="false" customHeight="false" outlineLevel="0" collapsed="false">
      <c r="A7" s="3" t="s">
        <v>4</v>
      </c>
    </row>
    <row r="8" customFormat="false" ht="17.9" hidden="false" customHeight="false" outlineLevel="0" collapsed="false">
      <c r="A8" s="2" t="s">
        <v>5</v>
      </c>
    </row>
    <row r="9" customFormat="false" ht="17.9" hidden="false" customHeight="false" outlineLevel="0" collapsed="false">
      <c r="A9" s="2" t="s">
        <v>6</v>
      </c>
    </row>
    <row r="10" customFormat="false" ht="17.9" hidden="false" customHeight="false" outlineLevel="0" collapsed="false">
      <c r="A10" s="2" t="s">
        <v>7</v>
      </c>
    </row>
    <row r="11" customFormat="false" ht="17.9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/>
    </row>
    <row r="13" customFormat="false" ht="17.9" hidden="false" customHeight="false" outlineLevel="0" collapsed="false">
      <c r="A13" s="3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52"/>
  </cols>
  <sheetData>
    <row r="1" customFormat="false" ht="17.9" hidden="false" customHeight="false" outlineLevel="0" collapsed="false">
      <c r="A1" s="4" t="s">
        <v>10</v>
      </c>
      <c r="B1" s="4" t="s">
        <v>11</v>
      </c>
      <c r="C1" s="4" t="s">
        <v>12</v>
      </c>
    </row>
    <row r="2" customFormat="false" ht="17.9" hidden="false" customHeight="false" outlineLevel="0" collapsed="false">
      <c r="A2" s="5" t="s">
        <v>13</v>
      </c>
      <c r="B2" s="6" t="n">
        <v>0.35</v>
      </c>
      <c r="C2" s="7" t="s">
        <v>14</v>
      </c>
    </row>
    <row r="3" customFormat="false" ht="17.9" hidden="false" customHeight="false" outlineLevel="0" collapsed="false">
      <c r="A3" s="5" t="s">
        <v>13</v>
      </c>
      <c r="B3" s="6" t="n">
        <v>0.35</v>
      </c>
      <c r="C3" s="7" t="s">
        <v>15</v>
      </c>
    </row>
    <row r="4" customFormat="false" ht="17.9" hidden="false" customHeight="false" outlineLevel="0" collapsed="false">
      <c r="A4" s="5" t="s">
        <v>13</v>
      </c>
      <c r="B4" s="6" t="n">
        <v>0.35</v>
      </c>
      <c r="C4" s="7" t="s">
        <v>16</v>
      </c>
    </row>
    <row r="5" customFormat="false" ht="17.9" hidden="false" customHeight="false" outlineLevel="0" collapsed="false">
      <c r="A5" s="5" t="s">
        <v>13</v>
      </c>
      <c r="B5" s="6" t="n">
        <v>0.35</v>
      </c>
      <c r="C5" s="7" t="s">
        <v>17</v>
      </c>
    </row>
    <row r="6" customFormat="false" ht="17.9" hidden="false" customHeight="false" outlineLevel="0" collapsed="false">
      <c r="A6" s="5" t="s">
        <v>13</v>
      </c>
      <c r="B6" s="6" t="n">
        <v>0.35</v>
      </c>
      <c r="C6" s="7" t="s">
        <v>18</v>
      </c>
    </row>
    <row r="7" customFormat="false" ht="17.9" hidden="false" customHeight="false" outlineLevel="0" collapsed="false">
      <c r="A7" s="5" t="s">
        <v>13</v>
      </c>
      <c r="B7" s="6" t="n">
        <v>0.35</v>
      </c>
      <c r="C7" s="7" t="s">
        <v>19</v>
      </c>
    </row>
    <row r="8" customFormat="false" ht="17.9" hidden="false" customHeight="false" outlineLevel="0" collapsed="false">
      <c r="A8" s="5" t="s">
        <v>20</v>
      </c>
      <c r="B8" s="6" t="n">
        <v>0.2</v>
      </c>
      <c r="C8" s="7" t="s">
        <v>21</v>
      </c>
    </row>
    <row r="9" customFormat="false" ht="17.9" hidden="false" customHeight="false" outlineLevel="0" collapsed="false">
      <c r="A9" s="5" t="s">
        <v>20</v>
      </c>
      <c r="B9" s="6" t="n">
        <v>0.2</v>
      </c>
      <c r="C9" s="7" t="s">
        <v>22</v>
      </c>
    </row>
    <row r="10" customFormat="false" ht="17.9" hidden="false" customHeight="false" outlineLevel="0" collapsed="false">
      <c r="A10" s="5" t="s">
        <v>20</v>
      </c>
      <c r="B10" s="6" t="n">
        <v>0.2</v>
      </c>
      <c r="C10" s="7" t="s">
        <v>23</v>
      </c>
    </row>
    <row r="11" customFormat="false" ht="17.9" hidden="false" customHeight="false" outlineLevel="0" collapsed="false">
      <c r="A11" s="5" t="s">
        <v>24</v>
      </c>
      <c r="B11" s="6" t="n">
        <v>0.25</v>
      </c>
      <c r="C11" s="7" t="s">
        <v>25</v>
      </c>
    </row>
    <row r="12" customFormat="false" ht="17.9" hidden="false" customHeight="false" outlineLevel="0" collapsed="false">
      <c r="A12" s="5" t="s">
        <v>24</v>
      </c>
      <c r="B12" s="6" t="n">
        <v>0.25</v>
      </c>
      <c r="C12" s="7" t="s">
        <v>26</v>
      </c>
    </row>
    <row r="13" customFormat="false" ht="17.9" hidden="false" customHeight="false" outlineLevel="0" collapsed="false">
      <c r="A13" s="5" t="s">
        <v>24</v>
      </c>
      <c r="B13" s="6" t="n">
        <v>0.25</v>
      </c>
      <c r="C13" s="7" t="s">
        <v>27</v>
      </c>
    </row>
    <row r="14" customFormat="false" ht="17.9" hidden="false" customHeight="false" outlineLevel="0" collapsed="false">
      <c r="A14" s="5" t="s">
        <v>24</v>
      </c>
      <c r="B14" s="6" t="n">
        <v>0.25</v>
      </c>
      <c r="C14" s="7" t="s">
        <v>28</v>
      </c>
    </row>
    <row r="15" customFormat="false" ht="17.9" hidden="false" customHeight="false" outlineLevel="0" collapsed="false">
      <c r="A15" s="5" t="s">
        <v>24</v>
      </c>
      <c r="B15" s="6" t="n">
        <v>0.25</v>
      </c>
      <c r="C15" s="7" t="s">
        <v>29</v>
      </c>
    </row>
    <row r="16" customFormat="false" ht="17.9" hidden="false" customHeight="false" outlineLevel="0" collapsed="false">
      <c r="A16" s="5" t="s">
        <v>30</v>
      </c>
      <c r="B16" s="6" t="n">
        <v>0.2</v>
      </c>
      <c r="C16" s="7" t="s">
        <v>31</v>
      </c>
    </row>
    <row r="17" customFormat="false" ht="17.9" hidden="false" customHeight="false" outlineLevel="0" collapsed="false">
      <c r="A17" s="5" t="s">
        <v>30</v>
      </c>
      <c r="B17" s="6" t="n">
        <v>0.2</v>
      </c>
      <c r="C17" s="7" t="s">
        <v>32</v>
      </c>
    </row>
    <row r="18" customFormat="false" ht="17.9" hidden="false" customHeight="false" outlineLevel="0" collapsed="false">
      <c r="A18" s="5" t="s">
        <v>30</v>
      </c>
      <c r="B18" s="6" t="n">
        <v>0.2</v>
      </c>
      <c r="C18" s="7" t="s">
        <v>33</v>
      </c>
    </row>
    <row r="19" customFormat="false" ht="17.9" hidden="false" customHeight="false" outlineLevel="0" collapsed="false">
      <c r="A19" s="5" t="s">
        <v>30</v>
      </c>
      <c r="B19" s="6" t="n">
        <v>0.2</v>
      </c>
      <c r="C19" s="7" t="s">
        <v>34</v>
      </c>
    </row>
    <row r="21" customFormat="false" ht="15" hidden="false" customHeight="false" outlineLevel="0" collapsed="false">
      <c r="A21" s="3" t="s">
        <v>35</v>
      </c>
    </row>
    <row r="22" customFormat="false" ht="17.9" hidden="false" customHeight="false" outlineLevel="0" collapsed="false">
      <c r="A22" s="5" t="s">
        <v>36</v>
      </c>
      <c r="B22" s="6" t="n">
        <v>0.35</v>
      </c>
    </row>
    <row r="23" customFormat="false" ht="17.9" hidden="false" customHeight="false" outlineLevel="0" collapsed="false">
      <c r="A23" s="5" t="s">
        <v>37</v>
      </c>
      <c r="B23" s="6" t="n">
        <v>0.35</v>
      </c>
    </row>
    <row r="24" customFormat="false" ht="17.9" hidden="false" customHeight="false" outlineLevel="0" collapsed="false">
      <c r="A24" s="5" t="s">
        <v>38</v>
      </c>
      <c r="B24" s="6" t="n">
        <v>0.3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6"/>
    <col collapsed="false" customWidth="true" hidden="false" outlineLevel="0" max="3" min="3" style="0" width="24"/>
    <col collapsed="false" customWidth="true" hidden="false" outlineLevel="0" max="4" min="4" style="0" width="14"/>
    <col collapsed="false" customWidth="true" hidden="false" outlineLevel="0" max="5" min="5" style="0" width="40"/>
  </cols>
  <sheetData>
    <row r="1" customFormat="false" ht="19.4" hidden="false" customHeight="false" outlineLevel="0" collapsed="false">
      <c r="A1" s="8" t="s">
        <v>39</v>
      </c>
    </row>
    <row r="3" customFormat="false" ht="17.9" hidden="false" customHeight="false" outlineLevel="0" collapsed="false">
      <c r="A3" s="4" t="s">
        <v>10</v>
      </c>
      <c r="B3" s="4" t="s">
        <v>12</v>
      </c>
      <c r="C3" s="4" t="s">
        <v>40</v>
      </c>
      <c r="D3" s="4" t="s">
        <v>41</v>
      </c>
      <c r="E3" s="4" t="s">
        <v>42</v>
      </c>
    </row>
    <row r="4" customFormat="false" ht="17.9" hidden="false" customHeight="false" outlineLevel="0" collapsed="false">
      <c r="A4" s="5" t="s">
        <v>13</v>
      </c>
      <c r="B4" s="7" t="s">
        <v>14</v>
      </c>
      <c r="C4" s="9" t="s">
        <v>43</v>
      </c>
      <c r="D4" s="5" t="n">
        <f aca="false">IF(C4="يُدرّس كاملاً",1,IF(C4="يُدرّس جزئياً",0.5,IF(C4="لا يُدرّس",0,"")))</f>
        <v>1</v>
      </c>
      <c r="E4" s="10"/>
    </row>
    <row r="5" customFormat="false" ht="17.9" hidden="false" customHeight="false" outlineLevel="0" collapsed="false">
      <c r="A5" s="5" t="s">
        <v>13</v>
      </c>
      <c r="B5" s="7" t="s">
        <v>15</v>
      </c>
      <c r="C5" s="9" t="s">
        <v>43</v>
      </c>
      <c r="D5" s="5" t="n">
        <f aca="false">IF(C5="يُدرّس كاملاً",1,IF(C5="يُدرّس جزئياً",0.5,IF(C5="لا يُدرّس",0,"")))</f>
        <v>1</v>
      </c>
      <c r="E5" s="10"/>
    </row>
    <row r="6" customFormat="false" ht="17.9" hidden="false" customHeight="false" outlineLevel="0" collapsed="false">
      <c r="A6" s="5" t="s">
        <v>13</v>
      </c>
      <c r="B6" s="7" t="s">
        <v>16</v>
      </c>
      <c r="C6" s="9" t="s">
        <v>44</v>
      </c>
      <c r="D6" s="5" t="n">
        <f aca="false">IF(C6="يُدرّس كاملاً",1,IF(C6="يُدرّس جزئياً",0.5,IF(C6="لا يُدرّس",0,"")))</f>
        <v>0.5</v>
      </c>
      <c r="E6" s="10"/>
    </row>
    <row r="7" customFormat="false" ht="17.9" hidden="false" customHeight="false" outlineLevel="0" collapsed="false">
      <c r="A7" s="5" t="s">
        <v>13</v>
      </c>
      <c r="B7" s="7" t="s">
        <v>17</v>
      </c>
      <c r="C7" s="9" t="s">
        <v>44</v>
      </c>
      <c r="D7" s="5" t="n">
        <f aca="false">IF(C7="يُدرّس كاملاً",1,IF(C7="يُدرّس جزئياً",0.5,IF(C7="لا يُدرّس",0,"")))</f>
        <v>0.5</v>
      </c>
      <c r="E7" s="10"/>
    </row>
    <row r="8" customFormat="false" ht="17.9" hidden="false" customHeight="false" outlineLevel="0" collapsed="false">
      <c r="A8" s="5" t="s">
        <v>13</v>
      </c>
      <c r="B8" s="7" t="s">
        <v>18</v>
      </c>
      <c r="C8" s="9" t="s">
        <v>43</v>
      </c>
      <c r="D8" s="5" t="n">
        <f aca="false">IF(C8="يُدرّس كاملاً",1,IF(C8="يُدرّس جزئياً",0.5,IF(C8="لا يُدرّس",0,"")))</f>
        <v>1</v>
      </c>
      <c r="E8" s="10"/>
    </row>
    <row r="9" customFormat="false" ht="17.9" hidden="false" customHeight="false" outlineLevel="0" collapsed="false">
      <c r="A9" s="5" t="s">
        <v>13</v>
      </c>
      <c r="B9" s="7" t="s">
        <v>19</v>
      </c>
      <c r="C9" s="9" t="s">
        <v>43</v>
      </c>
      <c r="D9" s="5" t="n">
        <f aca="false">IF(C9="يُدرّس كاملاً",1,IF(C9="يُدرّس جزئياً",0.5,IF(C9="لا يُدرّس",0,"")))</f>
        <v>1</v>
      </c>
      <c r="E9" s="10"/>
    </row>
    <row r="10" customFormat="false" ht="17.9" hidden="false" customHeight="false" outlineLevel="0" collapsed="false">
      <c r="A10" s="5" t="s">
        <v>20</v>
      </c>
      <c r="B10" s="7" t="s">
        <v>21</v>
      </c>
      <c r="C10" s="9" t="s">
        <v>43</v>
      </c>
      <c r="D10" s="5" t="n">
        <f aca="false">IF(C10="يُدرّس كاملاً",1,IF(C10="يُدرّس جزئياً",0.5,IF(C10="لا يُدرّس",0,"")))</f>
        <v>1</v>
      </c>
      <c r="E10" s="10"/>
    </row>
    <row r="11" customFormat="false" ht="17.9" hidden="false" customHeight="false" outlineLevel="0" collapsed="false">
      <c r="A11" s="5" t="s">
        <v>20</v>
      </c>
      <c r="B11" s="7" t="s">
        <v>22</v>
      </c>
      <c r="C11" s="9" t="s">
        <v>43</v>
      </c>
      <c r="D11" s="5" t="n">
        <f aca="false">IF(C11="يُدرّس كاملاً",1,IF(C11="يُدرّس جزئياً",0.5,IF(C11="لا يُدرّس",0,"")))</f>
        <v>1</v>
      </c>
      <c r="E11" s="10"/>
    </row>
    <row r="12" customFormat="false" ht="17.9" hidden="false" customHeight="false" outlineLevel="0" collapsed="false">
      <c r="A12" s="5" t="s">
        <v>20</v>
      </c>
      <c r="B12" s="7" t="s">
        <v>23</v>
      </c>
      <c r="C12" s="9" t="s">
        <v>43</v>
      </c>
      <c r="D12" s="5" t="n">
        <f aca="false">IF(C12="يُدرّس كاملاً",1,IF(C12="يُدرّس جزئياً",0.5,IF(C12="لا يُدرّس",0,"")))</f>
        <v>1</v>
      </c>
      <c r="E12" s="10"/>
    </row>
    <row r="13" customFormat="false" ht="17.9" hidden="false" customHeight="false" outlineLevel="0" collapsed="false">
      <c r="A13" s="5" t="s">
        <v>24</v>
      </c>
      <c r="B13" s="7" t="s">
        <v>25</v>
      </c>
      <c r="C13" s="9" t="s">
        <v>43</v>
      </c>
      <c r="D13" s="5" t="n">
        <f aca="false">IF(C13="يُدرّس كاملاً",1,IF(C13="يُدرّس جزئياً",0.5,IF(C13="لا يُدرّس",0,"")))</f>
        <v>1</v>
      </c>
      <c r="E13" s="10"/>
    </row>
    <row r="14" customFormat="false" ht="17.9" hidden="false" customHeight="false" outlineLevel="0" collapsed="false">
      <c r="A14" s="5" t="s">
        <v>24</v>
      </c>
      <c r="B14" s="7" t="s">
        <v>26</v>
      </c>
      <c r="C14" s="9" t="s">
        <v>44</v>
      </c>
      <c r="D14" s="5" t="n">
        <f aca="false">IF(C14="يُدرّس كاملاً",1,IF(C14="يُدرّس جزئياً",0.5,IF(C14="لا يُدرّس",0,"")))</f>
        <v>0.5</v>
      </c>
      <c r="E14" s="10"/>
    </row>
    <row r="15" customFormat="false" ht="17.9" hidden="false" customHeight="false" outlineLevel="0" collapsed="false">
      <c r="A15" s="5" t="s">
        <v>24</v>
      </c>
      <c r="B15" s="7" t="s">
        <v>27</v>
      </c>
      <c r="C15" s="9" t="s">
        <v>43</v>
      </c>
      <c r="D15" s="5" t="n">
        <f aca="false">IF(C15="يُدرّس كاملاً",1,IF(C15="يُدرّس جزئياً",0.5,IF(C15="لا يُدرّس",0,"")))</f>
        <v>1</v>
      </c>
      <c r="E15" s="10"/>
    </row>
    <row r="16" customFormat="false" ht="17.9" hidden="false" customHeight="false" outlineLevel="0" collapsed="false">
      <c r="A16" s="5" t="s">
        <v>24</v>
      </c>
      <c r="B16" s="7" t="s">
        <v>28</v>
      </c>
      <c r="C16" s="9" t="s">
        <v>45</v>
      </c>
      <c r="D16" s="5" t="n">
        <f aca="false">IF(C16="يُدرّس كاملاً",1,IF(C16="يُدرّس جزئياً",0.5,IF(C16="لا يُدرّس",0,"")))</f>
        <v>0</v>
      </c>
      <c r="E16" s="10"/>
    </row>
    <row r="17" customFormat="false" ht="17.9" hidden="false" customHeight="false" outlineLevel="0" collapsed="false">
      <c r="A17" s="5" t="s">
        <v>24</v>
      </c>
      <c r="B17" s="7" t="s">
        <v>29</v>
      </c>
      <c r="C17" s="9" t="s">
        <v>43</v>
      </c>
      <c r="D17" s="5" t="n">
        <f aca="false">IF(C17="يُدرّس كاملاً",1,IF(C17="يُدرّس جزئياً",0.5,IF(C17="لا يُدرّس",0,"")))</f>
        <v>1</v>
      </c>
      <c r="E17" s="10"/>
    </row>
    <row r="18" customFormat="false" ht="17.9" hidden="false" customHeight="false" outlineLevel="0" collapsed="false">
      <c r="A18" s="5" t="s">
        <v>30</v>
      </c>
      <c r="B18" s="7" t="s">
        <v>31</v>
      </c>
      <c r="C18" s="9" t="s">
        <v>43</v>
      </c>
      <c r="D18" s="5" t="n">
        <f aca="false">IF(C18="يُدرّس كاملاً",1,IF(C18="يُدرّس جزئياً",0.5,IF(C18="لا يُدرّس",0,"")))</f>
        <v>1</v>
      </c>
      <c r="E18" s="10"/>
    </row>
    <row r="19" customFormat="false" ht="17.9" hidden="false" customHeight="false" outlineLevel="0" collapsed="false">
      <c r="A19" s="5" t="s">
        <v>30</v>
      </c>
      <c r="B19" s="7" t="s">
        <v>32</v>
      </c>
      <c r="C19" s="9" t="s">
        <v>45</v>
      </c>
      <c r="D19" s="5" t="n">
        <f aca="false">IF(C19="يُدرّس كاملاً",1,IF(C19="يُدرّس جزئياً",0.5,IF(C19="لا يُدرّس",0,"")))</f>
        <v>0</v>
      </c>
      <c r="E19" s="10"/>
    </row>
    <row r="20" customFormat="false" ht="17.9" hidden="false" customHeight="false" outlineLevel="0" collapsed="false">
      <c r="A20" s="5" t="s">
        <v>30</v>
      </c>
      <c r="B20" s="7" t="s">
        <v>33</v>
      </c>
      <c r="C20" s="9" t="s">
        <v>44</v>
      </c>
      <c r="D20" s="5" t="n">
        <f aca="false">IF(C20="يُدرّس كاملاً",1,IF(C20="يُدرّس جزئياً",0.5,IF(C20="لا يُدرّس",0,"")))</f>
        <v>0.5</v>
      </c>
      <c r="E20" s="10"/>
    </row>
    <row r="21" customFormat="false" ht="17.9" hidden="false" customHeight="false" outlineLevel="0" collapsed="false">
      <c r="A21" s="5" t="s">
        <v>30</v>
      </c>
      <c r="B21" s="7" t="s">
        <v>34</v>
      </c>
      <c r="C21" s="9" t="s">
        <v>43</v>
      </c>
      <c r="D21" s="5" t="n">
        <f aca="false">IF(C21="يُدرّس كاملاً",1,IF(C21="يُدرّس جزئياً",0.5,IF(C21="لا يُدرّس",0,"")))</f>
        <v>1</v>
      </c>
      <c r="E21" s="10"/>
    </row>
    <row r="23" customFormat="false" ht="34.3" hidden="false" customHeight="false" outlineLevel="0" collapsed="false">
      <c r="A23" s="4" t="s">
        <v>10</v>
      </c>
      <c r="B23" s="4" t="s">
        <v>46</v>
      </c>
      <c r="C23" s="4" t="s">
        <v>47</v>
      </c>
      <c r="D23" s="4" t="s">
        <v>48</v>
      </c>
      <c r="E23" s="4" t="s">
        <v>49</v>
      </c>
    </row>
    <row r="24" customFormat="false" ht="17.9" hidden="false" customHeight="false" outlineLevel="0" collapsed="false">
      <c r="A24" s="5" t="s">
        <v>13</v>
      </c>
      <c r="B24" s="6" t="n">
        <v>0.35</v>
      </c>
      <c r="C24" s="5" t="n">
        <f aca="false">COUNTIF($A$4:$A$21,A24)</f>
        <v>6</v>
      </c>
      <c r="D24" s="5" t="n">
        <f aca="false">COUNTIFS($A$4:$A$21,A24,$C$4:$C$21,"?*")</f>
        <v>6</v>
      </c>
      <c r="E24" s="6" t="n">
        <f aca="false">IF(D24&lt;C24,"",SUMIF($A$4:$A$21,A24,$D$4:$D$21)/C24)</f>
        <v>0.833333333333333</v>
      </c>
    </row>
    <row r="25" customFormat="false" ht="17.9" hidden="false" customHeight="false" outlineLevel="0" collapsed="false">
      <c r="A25" s="5" t="s">
        <v>20</v>
      </c>
      <c r="B25" s="6" t="n">
        <v>0.2</v>
      </c>
      <c r="C25" s="5" t="n">
        <f aca="false">COUNTIF($A$4:$A$21,A25)</f>
        <v>3</v>
      </c>
      <c r="D25" s="5" t="n">
        <f aca="false">COUNTIFS($A$4:$A$21,A25,$C$4:$C$21,"?*")</f>
        <v>3</v>
      </c>
      <c r="E25" s="6" t="n">
        <f aca="false">IF(D25&lt;C25,"",SUMIF($A$4:$A$21,A25,$D$4:$D$21)/C25)</f>
        <v>1</v>
      </c>
    </row>
    <row r="26" customFormat="false" ht="17.9" hidden="false" customHeight="false" outlineLevel="0" collapsed="false">
      <c r="A26" s="5" t="s">
        <v>24</v>
      </c>
      <c r="B26" s="6" t="n">
        <v>0.25</v>
      </c>
      <c r="C26" s="5" t="n">
        <f aca="false">COUNTIF($A$4:$A$21,A26)</f>
        <v>5</v>
      </c>
      <c r="D26" s="5" t="n">
        <f aca="false">COUNTIFS($A$4:$A$21,A26,$C$4:$C$21,"?*")</f>
        <v>5</v>
      </c>
      <c r="E26" s="6" t="n">
        <f aca="false">IF(D26&lt;C26,"",SUMIF($A$4:$A$21,A26,$D$4:$D$21)/C26)</f>
        <v>0.7</v>
      </c>
    </row>
    <row r="27" customFormat="false" ht="17.9" hidden="false" customHeight="false" outlineLevel="0" collapsed="false">
      <c r="A27" s="5" t="s">
        <v>30</v>
      </c>
      <c r="B27" s="6" t="n">
        <v>0.2</v>
      </c>
      <c r="C27" s="5" t="n">
        <f aca="false">COUNTIF($A$4:$A$21,A27)</f>
        <v>4</v>
      </c>
      <c r="D27" s="5" t="n">
        <f aca="false">COUNTIFS($A$4:$A$21,A27,$C$4:$C$21,"?*")</f>
        <v>4</v>
      </c>
      <c r="E27" s="6" t="n">
        <f aca="false">IF(D27&lt;C27,"",SUMIF($A$4:$A$21,A27,$D$4:$D$21)/C27)</f>
        <v>0.625</v>
      </c>
    </row>
    <row r="29" customFormat="false" ht="17.9" hidden="false" customHeight="false" outlineLevel="0" collapsed="false">
      <c r="A29" s="3" t="s">
        <v>50</v>
      </c>
      <c r="E29" s="11" t="n">
        <f aca="false">IF(COUNTBLANK(E24:E27)&gt;0,"أكمل التصنيف",SUMPRODUCT(B24:B27,E24:E27))</f>
        <v>0.791666666666667</v>
      </c>
    </row>
    <row r="30" customFormat="false" ht="17.9" hidden="false" customHeight="false" outlineLevel="0" collapsed="false">
      <c r="A30" s="3" t="s">
        <v>51</v>
      </c>
      <c r="E30" s="11" t="n">
        <f aca="false">IF(COUNTBLANK(E24:E27)&gt;0,"أكمل التصنيف",SUM(D4:D21)/18)</f>
        <v>0.777777777777778</v>
      </c>
    </row>
  </sheetData>
  <conditionalFormatting sqref="C4:C21">
    <cfRule type="expression" priority="2" aboveAverage="0" equalAverage="0" bottom="0" percent="0" rank="0" text="" dxfId="0">
      <formula>C4="لا يُدرّس"</formula>
    </cfRule>
    <cfRule type="expression" priority="3" aboveAverage="0" equalAverage="0" bottom="0" percent="0" rank="0" text="" dxfId="1">
      <formula>C4="يُدرّس جزئياً"</formula>
    </cfRule>
  </conditionalFormatting>
  <dataValidations count="1">
    <dataValidation allowBlank="true" errorStyle="stop" operator="between" showDropDown="false" showErrorMessage="false" showInputMessage="false" sqref="C4:C21" type="list">
      <formula1>"يُدرّس كاملاً,يُدرّس جزئياً,لا يُدرّس"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6"/>
    <col collapsed="false" customWidth="true" hidden="false" outlineLevel="0" max="3" min="3" style="0" width="24"/>
    <col collapsed="false" customWidth="true" hidden="false" outlineLevel="0" max="4" min="4" style="0" width="14"/>
    <col collapsed="false" customWidth="true" hidden="false" outlineLevel="0" max="5" min="5" style="0" width="40"/>
  </cols>
  <sheetData>
    <row r="1" customFormat="false" ht="19.4" hidden="false" customHeight="false" outlineLevel="0" collapsed="false">
      <c r="A1" s="8" t="s">
        <v>52</v>
      </c>
    </row>
    <row r="3" customFormat="false" ht="17.9" hidden="false" customHeight="false" outlineLevel="0" collapsed="false">
      <c r="A3" s="4" t="s">
        <v>10</v>
      </c>
      <c r="B3" s="4" t="s">
        <v>12</v>
      </c>
      <c r="C3" s="4" t="s">
        <v>40</v>
      </c>
      <c r="D3" s="4" t="s">
        <v>41</v>
      </c>
      <c r="E3" s="4" t="s">
        <v>42</v>
      </c>
    </row>
    <row r="4" customFormat="false" ht="17.9" hidden="false" customHeight="false" outlineLevel="0" collapsed="false">
      <c r="A4" s="5" t="s">
        <v>13</v>
      </c>
      <c r="B4" s="7" t="s">
        <v>14</v>
      </c>
      <c r="C4" s="9"/>
      <c r="D4" s="5" t="str">
        <f aca="false">IF(C4="يُدرّس كاملاً",1,IF(C4="يُدرّس جزئياً",0.5,IF(C4="لا يُدرّس",0,"")))</f>
        <v/>
      </c>
      <c r="E4" s="10"/>
    </row>
    <row r="5" customFormat="false" ht="17.9" hidden="false" customHeight="false" outlineLevel="0" collapsed="false">
      <c r="A5" s="5" t="s">
        <v>13</v>
      </c>
      <c r="B5" s="7" t="s">
        <v>15</v>
      </c>
      <c r="C5" s="9"/>
      <c r="D5" s="5" t="str">
        <f aca="false">IF(C5="يُدرّس كاملاً",1,IF(C5="يُدرّس جزئياً",0.5,IF(C5="لا يُدرّس",0,"")))</f>
        <v/>
      </c>
      <c r="E5" s="10"/>
    </row>
    <row r="6" customFormat="false" ht="17.9" hidden="false" customHeight="false" outlineLevel="0" collapsed="false">
      <c r="A6" s="5" t="s">
        <v>13</v>
      </c>
      <c r="B6" s="7" t="s">
        <v>16</v>
      </c>
      <c r="C6" s="9"/>
      <c r="D6" s="5" t="str">
        <f aca="false">IF(C6="يُدرّس كاملاً",1,IF(C6="يُدرّس جزئياً",0.5,IF(C6="لا يُدرّس",0,"")))</f>
        <v/>
      </c>
      <c r="E6" s="10"/>
    </row>
    <row r="7" customFormat="false" ht="17.9" hidden="false" customHeight="false" outlineLevel="0" collapsed="false">
      <c r="A7" s="5" t="s">
        <v>13</v>
      </c>
      <c r="B7" s="7" t="s">
        <v>17</v>
      </c>
      <c r="C7" s="9"/>
      <c r="D7" s="5" t="str">
        <f aca="false">IF(C7="يُدرّس كاملاً",1,IF(C7="يُدرّس جزئياً",0.5,IF(C7="لا يُدرّس",0,"")))</f>
        <v/>
      </c>
      <c r="E7" s="10"/>
    </row>
    <row r="8" customFormat="false" ht="17.9" hidden="false" customHeight="false" outlineLevel="0" collapsed="false">
      <c r="A8" s="5" t="s">
        <v>13</v>
      </c>
      <c r="B8" s="7" t="s">
        <v>18</v>
      </c>
      <c r="C8" s="9"/>
      <c r="D8" s="5" t="str">
        <f aca="false">IF(C8="يُدرّس كاملاً",1,IF(C8="يُدرّس جزئياً",0.5,IF(C8="لا يُدرّس",0,"")))</f>
        <v/>
      </c>
      <c r="E8" s="10"/>
    </row>
    <row r="9" customFormat="false" ht="17.9" hidden="false" customHeight="false" outlineLevel="0" collapsed="false">
      <c r="A9" s="5" t="s">
        <v>13</v>
      </c>
      <c r="B9" s="7" t="s">
        <v>19</v>
      </c>
      <c r="C9" s="9"/>
      <c r="D9" s="5" t="str">
        <f aca="false">IF(C9="يُدرّس كاملاً",1,IF(C9="يُدرّس جزئياً",0.5,IF(C9="لا يُدرّس",0,"")))</f>
        <v/>
      </c>
      <c r="E9" s="10"/>
    </row>
    <row r="10" customFormat="false" ht="17.9" hidden="false" customHeight="false" outlineLevel="0" collapsed="false">
      <c r="A10" s="5" t="s">
        <v>20</v>
      </c>
      <c r="B10" s="7" t="s">
        <v>21</v>
      </c>
      <c r="C10" s="9"/>
      <c r="D10" s="5" t="str">
        <f aca="false">IF(C10="يُدرّس كاملاً",1,IF(C10="يُدرّس جزئياً",0.5,IF(C10="لا يُدرّس",0,"")))</f>
        <v/>
      </c>
      <c r="E10" s="10"/>
    </row>
    <row r="11" customFormat="false" ht="17.9" hidden="false" customHeight="false" outlineLevel="0" collapsed="false">
      <c r="A11" s="5" t="s">
        <v>20</v>
      </c>
      <c r="B11" s="7" t="s">
        <v>22</v>
      </c>
      <c r="C11" s="9"/>
      <c r="D11" s="5" t="str">
        <f aca="false">IF(C11="يُدرّس كاملاً",1,IF(C11="يُدرّس جزئياً",0.5,IF(C11="لا يُدرّس",0,"")))</f>
        <v/>
      </c>
      <c r="E11" s="10"/>
    </row>
    <row r="12" customFormat="false" ht="17.9" hidden="false" customHeight="false" outlineLevel="0" collapsed="false">
      <c r="A12" s="5" t="s">
        <v>20</v>
      </c>
      <c r="B12" s="7" t="s">
        <v>23</v>
      </c>
      <c r="C12" s="9"/>
      <c r="D12" s="5" t="str">
        <f aca="false">IF(C12="يُدرّس كاملاً",1,IF(C12="يُدرّس جزئياً",0.5,IF(C12="لا يُدرّس",0,"")))</f>
        <v/>
      </c>
      <c r="E12" s="10"/>
    </row>
    <row r="13" customFormat="false" ht="17.9" hidden="false" customHeight="false" outlineLevel="0" collapsed="false">
      <c r="A13" s="5" t="s">
        <v>24</v>
      </c>
      <c r="B13" s="7" t="s">
        <v>25</v>
      </c>
      <c r="C13" s="9"/>
      <c r="D13" s="5" t="str">
        <f aca="false">IF(C13="يُدرّس كاملاً",1,IF(C13="يُدرّس جزئياً",0.5,IF(C13="لا يُدرّس",0,"")))</f>
        <v/>
      </c>
      <c r="E13" s="10"/>
    </row>
    <row r="14" customFormat="false" ht="17.9" hidden="false" customHeight="false" outlineLevel="0" collapsed="false">
      <c r="A14" s="5" t="s">
        <v>24</v>
      </c>
      <c r="B14" s="7" t="s">
        <v>26</v>
      </c>
      <c r="C14" s="9"/>
      <c r="D14" s="5" t="str">
        <f aca="false">IF(C14="يُدرّس كاملاً",1,IF(C14="يُدرّس جزئياً",0.5,IF(C14="لا يُدرّس",0,"")))</f>
        <v/>
      </c>
      <c r="E14" s="10"/>
    </row>
    <row r="15" customFormat="false" ht="17.9" hidden="false" customHeight="false" outlineLevel="0" collapsed="false">
      <c r="A15" s="5" t="s">
        <v>24</v>
      </c>
      <c r="B15" s="7" t="s">
        <v>27</v>
      </c>
      <c r="C15" s="9"/>
      <c r="D15" s="5" t="str">
        <f aca="false">IF(C15="يُدرّس كاملاً",1,IF(C15="يُدرّس جزئياً",0.5,IF(C15="لا يُدرّس",0,"")))</f>
        <v/>
      </c>
      <c r="E15" s="10"/>
    </row>
    <row r="16" customFormat="false" ht="17.9" hidden="false" customHeight="false" outlineLevel="0" collapsed="false">
      <c r="A16" s="5" t="s">
        <v>24</v>
      </c>
      <c r="B16" s="7" t="s">
        <v>28</v>
      </c>
      <c r="C16" s="9"/>
      <c r="D16" s="5" t="str">
        <f aca="false">IF(C16="يُدرّس كاملاً",1,IF(C16="يُدرّس جزئياً",0.5,IF(C16="لا يُدرّس",0,"")))</f>
        <v/>
      </c>
      <c r="E16" s="10"/>
    </row>
    <row r="17" customFormat="false" ht="17.9" hidden="false" customHeight="false" outlineLevel="0" collapsed="false">
      <c r="A17" s="5" t="s">
        <v>24</v>
      </c>
      <c r="B17" s="7" t="s">
        <v>29</v>
      </c>
      <c r="C17" s="9"/>
      <c r="D17" s="5" t="str">
        <f aca="false">IF(C17="يُدرّس كاملاً",1,IF(C17="يُدرّس جزئياً",0.5,IF(C17="لا يُدرّس",0,"")))</f>
        <v/>
      </c>
      <c r="E17" s="10"/>
    </row>
    <row r="18" customFormat="false" ht="17.9" hidden="false" customHeight="false" outlineLevel="0" collapsed="false">
      <c r="A18" s="5" t="s">
        <v>30</v>
      </c>
      <c r="B18" s="7" t="s">
        <v>31</v>
      </c>
      <c r="C18" s="9"/>
      <c r="D18" s="5" t="str">
        <f aca="false">IF(C18="يُدرّس كاملاً",1,IF(C18="يُدرّس جزئياً",0.5,IF(C18="لا يُدرّس",0,"")))</f>
        <v/>
      </c>
      <c r="E18" s="10"/>
    </row>
    <row r="19" customFormat="false" ht="17.9" hidden="false" customHeight="false" outlineLevel="0" collapsed="false">
      <c r="A19" s="5" t="s">
        <v>30</v>
      </c>
      <c r="B19" s="7" t="s">
        <v>32</v>
      </c>
      <c r="C19" s="9"/>
      <c r="D19" s="5" t="str">
        <f aca="false">IF(C19="يُدرّس كاملاً",1,IF(C19="يُدرّس جزئياً",0.5,IF(C19="لا يُدرّس",0,"")))</f>
        <v/>
      </c>
      <c r="E19" s="10"/>
    </row>
    <row r="20" customFormat="false" ht="17.9" hidden="false" customHeight="false" outlineLevel="0" collapsed="false">
      <c r="A20" s="5" t="s">
        <v>30</v>
      </c>
      <c r="B20" s="7" t="s">
        <v>33</v>
      </c>
      <c r="C20" s="9"/>
      <c r="D20" s="5" t="str">
        <f aca="false">IF(C20="يُدرّس كاملاً",1,IF(C20="يُدرّس جزئياً",0.5,IF(C20="لا يُدرّس",0,"")))</f>
        <v/>
      </c>
      <c r="E20" s="10"/>
    </row>
    <row r="21" customFormat="false" ht="17.9" hidden="false" customHeight="false" outlineLevel="0" collapsed="false">
      <c r="A21" s="5" t="s">
        <v>30</v>
      </c>
      <c r="B21" s="7" t="s">
        <v>34</v>
      </c>
      <c r="C21" s="9"/>
      <c r="D21" s="5" t="str">
        <f aca="false">IF(C21="يُدرّس كاملاً",1,IF(C21="يُدرّس جزئياً",0.5,IF(C21="لا يُدرّس",0,"")))</f>
        <v/>
      </c>
      <c r="E21" s="10"/>
    </row>
    <row r="23" customFormat="false" ht="34.3" hidden="false" customHeight="false" outlineLevel="0" collapsed="false">
      <c r="A23" s="4" t="s">
        <v>10</v>
      </c>
      <c r="B23" s="4" t="s">
        <v>46</v>
      </c>
      <c r="C23" s="4" t="s">
        <v>47</v>
      </c>
      <c r="D23" s="4" t="s">
        <v>48</v>
      </c>
      <c r="E23" s="4" t="s">
        <v>49</v>
      </c>
    </row>
    <row r="24" customFormat="false" ht="17.9" hidden="false" customHeight="false" outlineLevel="0" collapsed="false">
      <c r="A24" s="5" t="s">
        <v>13</v>
      </c>
      <c r="B24" s="6" t="n">
        <v>0.35</v>
      </c>
      <c r="C24" s="5" t="n">
        <f aca="false">COUNTIF($A$4:$A$21,A24)</f>
        <v>6</v>
      </c>
      <c r="D24" s="5" t="n">
        <f aca="false">COUNTIFS($A$4:$A$21,A24,$C$4:$C$21,"?*")</f>
        <v>0</v>
      </c>
      <c r="E24" s="6" t="str">
        <f aca="false">IF(D24&lt;C24,"",SUMIF($A$4:$A$21,A24,$D$4:$D$21)/C24)</f>
        <v/>
      </c>
    </row>
    <row r="25" customFormat="false" ht="17.9" hidden="false" customHeight="false" outlineLevel="0" collapsed="false">
      <c r="A25" s="5" t="s">
        <v>20</v>
      </c>
      <c r="B25" s="6" t="n">
        <v>0.2</v>
      </c>
      <c r="C25" s="5" t="n">
        <f aca="false">COUNTIF($A$4:$A$21,A25)</f>
        <v>3</v>
      </c>
      <c r="D25" s="5" t="n">
        <f aca="false">COUNTIFS($A$4:$A$21,A25,$C$4:$C$21,"?*")</f>
        <v>0</v>
      </c>
      <c r="E25" s="6" t="str">
        <f aca="false">IF(D25&lt;C25,"",SUMIF($A$4:$A$21,A25,$D$4:$D$21)/C25)</f>
        <v/>
      </c>
    </row>
    <row r="26" customFormat="false" ht="17.9" hidden="false" customHeight="false" outlineLevel="0" collapsed="false">
      <c r="A26" s="5" t="s">
        <v>24</v>
      </c>
      <c r="B26" s="6" t="n">
        <v>0.25</v>
      </c>
      <c r="C26" s="5" t="n">
        <f aca="false">COUNTIF($A$4:$A$21,A26)</f>
        <v>5</v>
      </c>
      <c r="D26" s="5" t="n">
        <f aca="false">COUNTIFS($A$4:$A$21,A26,$C$4:$C$21,"?*")</f>
        <v>0</v>
      </c>
      <c r="E26" s="6" t="str">
        <f aca="false">IF(D26&lt;C26,"",SUMIF($A$4:$A$21,A26,$D$4:$D$21)/C26)</f>
        <v/>
      </c>
    </row>
    <row r="27" customFormat="false" ht="17.9" hidden="false" customHeight="false" outlineLevel="0" collapsed="false">
      <c r="A27" s="5" t="s">
        <v>30</v>
      </c>
      <c r="B27" s="6" t="n">
        <v>0.2</v>
      </c>
      <c r="C27" s="5" t="n">
        <f aca="false">COUNTIF($A$4:$A$21,A27)</f>
        <v>4</v>
      </c>
      <c r="D27" s="5" t="n">
        <f aca="false">COUNTIFS($A$4:$A$21,A27,$C$4:$C$21,"?*")</f>
        <v>0</v>
      </c>
      <c r="E27" s="6" t="str">
        <f aca="false">IF(D27&lt;C27,"",SUMIF($A$4:$A$21,A27,$D$4:$D$21)/C27)</f>
        <v/>
      </c>
    </row>
    <row r="29" customFormat="false" ht="17.9" hidden="false" customHeight="false" outlineLevel="0" collapsed="false">
      <c r="A29" s="3" t="s">
        <v>50</v>
      </c>
      <c r="E29" s="11" t="str">
        <f aca="false">IF(COUNTBLANK(E24:E27)&gt;0,"أكمل التصنيف",SUMPRODUCT(B24:B27,E24:E27))</f>
        <v>أكمل التصنيف</v>
      </c>
    </row>
    <row r="30" customFormat="false" ht="17.9" hidden="false" customHeight="false" outlineLevel="0" collapsed="false">
      <c r="A30" s="3" t="s">
        <v>51</v>
      </c>
      <c r="E30" s="11" t="str">
        <f aca="false">IF(COUNTBLANK(E24:E27)&gt;0,"أكمل التصنيف",SUM(D4:D21)/18)</f>
        <v>أكمل التصنيف</v>
      </c>
    </row>
  </sheetData>
  <conditionalFormatting sqref="C4:C21">
    <cfRule type="expression" priority="2" aboveAverage="0" equalAverage="0" bottom="0" percent="0" rank="0" text="" dxfId="0">
      <formula>C4="لا يُدرّس"</formula>
    </cfRule>
    <cfRule type="expression" priority="3" aboveAverage="0" equalAverage="0" bottom="0" percent="0" rank="0" text="" dxfId="1">
      <formula>C4="يُدرّس جزئياً"</formula>
    </cfRule>
  </conditionalFormatting>
  <dataValidations count="1">
    <dataValidation allowBlank="true" errorStyle="stop" operator="between" showDropDown="false" showErrorMessage="false" showInputMessage="false" sqref="C4:C21" type="list">
      <formula1>"يُدرّس كاملاً,يُدرّس جزئياً,لا يُدرّس"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0"/>
    <col collapsed="false" customWidth="true" hidden="false" outlineLevel="0" max="3" min="3" style="0" width="18"/>
    <col collapsed="false" customWidth="true" hidden="false" outlineLevel="0" max="4" min="4" style="0" width="13"/>
    <col collapsed="false" customWidth="true" hidden="false" outlineLevel="0" max="5" min="5" style="0" width="36"/>
    <col collapsed="false" customWidth="true" hidden="false" outlineLevel="0" max="6" min="6" style="0" width="14"/>
    <col collapsed="false" customWidth="true" hidden="false" outlineLevel="0" max="7" min="7" style="0" width="34"/>
  </cols>
  <sheetData>
    <row r="1" customFormat="false" ht="17.9" hidden="false" customHeight="false" outlineLevel="0" collapsed="false">
      <c r="A1" s="4" t="s">
        <v>53</v>
      </c>
      <c r="B1" s="4" t="s">
        <v>54</v>
      </c>
      <c r="C1" s="4" t="s">
        <v>55</v>
      </c>
      <c r="D1" s="4" t="s">
        <v>10</v>
      </c>
      <c r="E1" s="4" t="s">
        <v>12</v>
      </c>
      <c r="F1" s="4" t="s">
        <v>56</v>
      </c>
      <c r="G1" s="4" t="s">
        <v>57</v>
      </c>
    </row>
    <row r="2" customFormat="false" ht="61.5" hidden="false" customHeight="true" outlineLevel="0" collapsed="false">
      <c r="A2" s="5" t="n">
        <v>1</v>
      </c>
      <c r="B2" s="7" t="s">
        <v>58</v>
      </c>
      <c r="C2" s="7" t="s">
        <v>59</v>
      </c>
      <c r="D2" s="10"/>
      <c r="E2" s="10"/>
      <c r="F2" s="10"/>
      <c r="G2" s="10"/>
    </row>
    <row r="3" customFormat="false" ht="61.5" hidden="false" customHeight="true" outlineLevel="0" collapsed="false">
      <c r="A3" s="5" t="n">
        <v>2</v>
      </c>
      <c r="B3" s="7" t="s">
        <v>60</v>
      </c>
      <c r="C3" s="7" t="s">
        <v>61</v>
      </c>
      <c r="D3" s="10"/>
      <c r="E3" s="10"/>
      <c r="F3" s="10"/>
      <c r="G3" s="10"/>
    </row>
    <row r="4" customFormat="false" ht="61.5" hidden="false" customHeight="true" outlineLevel="0" collapsed="false">
      <c r="A4" s="5" t="n">
        <v>3</v>
      </c>
      <c r="B4" s="7" t="s">
        <v>62</v>
      </c>
      <c r="C4" s="7" t="s">
        <v>59</v>
      </c>
      <c r="D4" s="10"/>
      <c r="E4" s="10"/>
      <c r="F4" s="10"/>
      <c r="G4" s="10"/>
    </row>
    <row r="5" customFormat="false" ht="61.5" hidden="false" customHeight="true" outlineLevel="0" collapsed="false">
      <c r="A5" s="5" t="n">
        <v>4</v>
      </c>
      <c r="B5" s="7" t="s">
        <v>63</v>
      </c>
      <c r="C5" s="7" t="s">
        <v>61</v>
      </c>
      <c r="D5" s="10"/>
      <c r="E5" s="10"/>
      <c r="F5" s="10"/>
      <c r="G5" s="10"/>
    </row>
    <row r="6" customFormat="false" ht="61.5" hidden="false" customHeight="true" outlineLevel="0" collapsed="false">
      <c r="A6" s="5" t="n">
        <v>5</v>
      </c>
      <c r="B6" s="7" t="s">
        <v>64</v>
      </c>
      <c r="C6" s="7" t="s">
        <v>61</v>
      </c>
      <c r="D6" s="10"/>
      <c r="E6" s="10"/>
      <c r="F6" s="10"/>
      <c r="G6" s="10"/>
    </row>
    <row r="7" customFormat="false" ht="61.5" hidden="false" customHeight="true" outlineLevel="0" collapsed="false">
      <c r="A7" s="5" t="n">
        <v>6</v>
      </c>
      <c r="B7" s="7" t="s">
        <v>65</v>
      </c>
      <c r="C7" s="7" t="s">
        <v>61</v>
      </c>
      <c r="D7" s="10"/>
      <c r="E7" s="10"/>
      <c r="F7" s="10"/>
      <c r="G7" s="10"/>
    </row>
    <row r="8" customFormat="false" ht="61.5" hidden="false" customHeight="true" outlineLevel="0" collapsed="false">
      <c r="A8" s="5" t="n">
        <v>7</v>
      </c>
      <c r="B8" s="7" t="s">
        <v>66</v>
      </c>
      <c r="C8" s="7" t="s">
        <v>67</v>
      </c>
      <c r="D8" s="10"/>
      <c r="E8" s="10"/>
      <c r="F8" s="10"/>
      <c r="G8" s="10"/>
    </row>
    <row r="9" customFormat="false" ht="61.5" hidden="false" customHeight="true" outlineLevel="0" collapsed="false">
      <c r="A9" s="5" t="n">
        <v>8</v>
      </c>
      <c r="B9" s="7" t="s">
        <v>68</v>
      </c>
      <c r="C9" s="7" t="s">
        <v>61</v>
      </c>
      <c r="D9" s="10"/>
      <c r="E9" s="10"/>
      <c r="F9" s="10"/>
      <c r="G9" s="10"/>
    </row>
    <row r="10" customFormat="false" ht="61.5" hidden="false" customHeight="true" outlineLevel="0" collapsed="false">
      <c r="A10" s="5" t="n">
        <v>9</v>
      </c>
      <c r="B10" s="7" t="s">
        <v>69</v>
      </c>
      <c r="C10" s="7" t="s">
        <v>59</v>
      </c>
      <c r="D10" s="10"/>
      <c r="E10" s="10"/>
      <c r="F10" s="10"/>
      <c r="G10" s="10"/>
    </row>
    <row r="11" customFormat="false" ht="61.5" hidden="false" customHeight="true" outlineLevel="0" collapsed="false">
      <c r="A11" s="5" t="n">
        <v>10</v>
      </c>
      <c r="B11" s="7" t="s">
        <v>70</v>
      </c>
      <c r="C11" s="7" t="s">
        <v>71</v>
      </c>
      <c r="D11" s="10"/>
      <c r="E11" s="10"/>
      <c r="F11" s="10"/>
      <c r="G11" s="10"/>
    </row>
    <row r="13" customFormat="false" ht="15" hidden="false" customHeight="false" outlineLevel="0" collapsed="false">
      <c r="A13" s="3" t="s">
        <v>72</v>
      </c>
    </row>
    <row r="14" customFormat="false" ht="17.9" hidden="false" customHeight="false" outlineLevel="0" collapsed="false">
      <c r="B14" s="4" t="s">
        <v>73</v>
      </c>
      <c r="C14" s="4" t="s">
        <v>74</v>
      </c>
      <c r="D14" s="4" t="s">
        <v>75</v>
      </c>
      <c r="E14" s="4" t="s">
        <v>76</v>
      </c>
    </row>
    <row r="15" customFormat="false" ht="17.9" hidden="false" customHeight="false" outlineLevel="0" collapsed="false">
      <c r="B15" s="5" t="s">
        <v>13</v>
      </c>
      <c r="C15" s="5" t="n">
        <f aca="false">COUNTIF($D$2:$D$11,B15)</f>
        <v>0</v>
      </c>
      <c r="D15" s="6" t="str">
        <f aca="false">IF(COUNTA($D$2:$D$11)=0,"",C15/COUNTA($D$2:$D$11))</f>
        <v/>
      </c>
      <c r="E15" s="6" t="n">
        <v>0.35</v>
      </c>
    </row>
    <row r="16" customFormat="false" ht="17.9" hidden="false" customHeight="false" outlineLevel="0" collapsed="false">
      <c r="B16" s="5" t="s">
        <v>20</v>
      </c>
      <c r="C16" s="5" t="n">
        <f aca="false">COUNTIF($D$2:$D$11,B16)</f>
        <v>0</v>
      </c>
      <c r="D16" s="6" t="str">
        <f aca="false">IF(COUNTA($D$2:$D$11)=0,"",C16/COUNTA($D$2:$D$11))</f>
        <v/>
      </c>
      <c r="E16" s="6" t="n">
        <v>0.2</v>
      </c>
    </row>
    <row r="17" customFormat="false" ht="17.9" hidden="false" customHeight="false" outlineLevel="0" collapsed="false">
      <c r="B17" s="5" t="s">
        <v>24</v>
      </c>
      <c r="C17" s="5" t="n">
        <f aca="false">COUNTIF($D$2:$D$11,B17)</f>
        <v>0</v>
      </c>
      <c r="D17" s="6" t="str">
        <f aca="false">IF(COUNTA($D$2:$D$11)=0,"",C17/COUNTA($D$2:$D$11))</f>
        <v/>
      </c>
      <c r="E17" s="6" t="n">
        <v>0.25</v>
      </c>
    </row>
    <row r="18" customFormat="false" ht="17.9" hidden="false" customHeight="false" outlineLevel="0" collapsed="false">
      <c r="B18" s="5" t="s">
        <v>30</v>
      </c>
      <c r="C18" s="5" t="n">
        <f aca="false">COUNTIF($D$2:$D$11,B18)</f>
        <v>0</v>
      </c>
      <c r="D18" s="6" t="str">
        <f aca="false">IF(COUNTA($D$2:$D$11)=0,"",C18/COUNTA($D$2:$D$11))</f>
        <v/>
      </c>
      <c r="E18" s="6" t="n">
        <v>0.2</v>
      </c>
    </row>
    <row r="19" customFormat="false" ht="17.9" hidden="false" customHeight="false" outlineLevel="0" collapsed="false">
      <c r="B19" s="5" t="s">
        <v>36</v>
      </c>
      <c r="C19" s="5" t="n">
        <f aca="false">COUNTIF($F$2:$F$11,B19)</f>
        <v>0</v>
      </c>
      <c r="D19" s="6" t="str">
        <f aca="false">IF(COUNTA($F$2:$F$11)=0,"",C19/COUNTA($F$2:$F$11))</f>
        <v/>
      </c>
      <c r="E19" s="6" t="n">
        <v>0.35</v>
      </c>
    </row>
    <row r="20" customFormat="false" ht="17.9" hidden="false" customHeight="false" outlineLevel="0" collapsed="false">
      <c r="B20" s="5" t="s">
        <v>37</v>
      </c>
      <c r="C20" s="5" t="n">
        <f aca="false">COUNTIF($F$2:$F$11,B20)</f>
        <v>0</v>
      </c>
      <c r="D20" s="6" t="str">
        <f aca="false">IF(COUNTA($F$2:$F$11)=0,"",C20/COUNTA($F$2:$F$11))</f>
        <v/>
      </c>
      <c r="E20" s="6" t="n">
        <v>0.35</v>
      </c>
    </row>
    <row r="21" customFormat="false" ht="17.9" hidden="false" customHeight="false" outlineLevel="0" collapsed="false">
      <c r="B21" s="5" t="s">
        <v>38</v>
      </c>
      <c r="C21" s="5" t="n">
        <f aca="false">COUNTIF($F$2:$F$11,B21)</f>
        <v>0</v>
      </c>
      <c r="D21" s="6" t="str">
        <f aca="false">IF(COUNTA($F$2:$F$11)=0,"",C21/COUNTA($F$2:$F$11))</f>
        <v/>
      </c>
      <c r="E21" s="6" t="n">
        <v>0.3</v>
      </c>
    </row>
  </sheetData>
  <dataValidations count="3">
    <dataValidation allowBlank="true" errorStyle="stop" operator="between" showDropDown="false" showErrorMessage="false" showInputMessage="false" sqref="D2:D11" type="list">
      <formula1>"الأحياء,الكيمياء,الفيزياء,علوم الأرض"</formula1>
      <formula2>0</formula2>
    </dataValidation>
    <dataValidation allowBlank="true" errorStyle="stop" operator="between" showDropDown="false" showErrorMessage="false" showInputMessage="false" sqref="F2:F11" type="list">
      <formula1>"معرفة,تطبيق,استدلال"</formula1>
      <formula2>0</formula2>
    </dataValidation>
    <dataValidation allowBlank="true" errorStyle="stop" operator="between" showDropDown="false" showErrorMessage="false" showInputMessage="false" sqref="E2:E11" type="list">
      <formula1>الإطار!$C$2:$C$19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2026-10-05T17:07:53Z</dcterms:created>
  <dc:creator>openpyxl</dc:creator>
  <dc:description/>
  <dc:language>en-US</dc:language>
  <cp:lastModifiedBy/>
  <dcterms:modified xsi:type="dcterms:W3CDTF">2026-10-05T17:07:53Z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