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Framework" sheetId="2" state="visible" r:id="rId4"/>
    <sheet name="Worked Example" sheetId="3" state="visible" r:id="rId5"/>
    <sheet name="Your Template" sheetId="4" state="visible" r:id="rId6"/>
    <sheet name="Item Classification"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Content domain weights for Grade 8 in the TIMSS 2023 framework: Biology 35%, Chemistry 20%, Physics 25%, Earth Science 20%. And the cognitive domains: Knowing 35%, Applying 35%, Reasoning 30%.</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29" authorId="0">
      <text>
        <r>
          <rPr>
            <sz val="10"/>
            <rFont val="Arial"/>
            <family val="2"/>
          </rPr>
          <t xml:space="preserve">Weighted coverage approximates the proportion of test score points whose content was taught. "Partly" counts as half a topic, which is a simplification.</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29" authorId="0">
      <text>
        <r>
          <rPr>
            <sz val="10"/>
            <rFont val="Arial"/>
            <family val="2"/>
          </rPr>
          <t xml:space="preserve">Weighted coverage approximates the proportion of test score points whose content was taught. "Partly" counts as half a topic, which is a simplification.</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Classify according to what the item actually requires of a Grade 8 student, not according to the verb in its text. The same item may be "Knowing" for a student who studied the example and "Applying" for a student seeing it for the first time.</t>
        </r>
      </text>
    </comment>
  </commentList>
</comments>
</file>

<file path=xl/sharedStrings.xml><?xml version="1.0" encoding="utf-8"?>
<sst xmlns="http://schemas.openxmlformats.org/spreadsheetml/2006/main" count="216" uniqueCount="76">
  <si>
    <t xml:space="preserve">Week 12 workshop — International Study Frameworks and Curriculum Alignment</t>
  </si>
  <si>
    <t xml:space="preserve">Educational Measurement and Evaluation — Postgraduate Professional Diploma in Teaching</t>
  </si>
  <si>
    <t xml:space="preserve">Source: TIMSS 2023 Science Framework, Grade 8 (Mullis, Martin &amp; von Davier, 2021). Topic names follow the framework's wording.</t>
  </si>
  <si>
    <t xml:space="preserve">Note: the "hypothetical curriculum" in the worked example is not the curriculum of any country, and its coverage status is assumed for training. The ten items were written for the course in the TIMSS style, and are not released items from the study.</t>
  </si>
  <si>
    <t xml:space="preserve">Sheets in the workbook:</t>
  </si>
  <si>
    <t xml:space="preserve">Framework: the four domains and their weights, their eighteen topics, and the three cognitive domains and their weights.</t>
  </si>
  <si>
    <t xml:space="preserve">Worked Example: the coverage status of a hypothetical curriculum for each topic, the coverage percentage for each domain, and the coverage weighted by the framework weights.</t>
  </si>
  <si>
    <t xml:space="preserve">Your Template: the same table, blank, for your actual Grade 8 curriculum. Refer to the curriculum document, not to your memory or to Claude alone.</t>
  </si>
  <si>
    <t xml:space="preserve">Item Classification: classify each item by domain, topic and cognitive domain, then compare the distribution of your classification with the framework weights.</t>
  </si>
  <si>
    <t xml:space="preserve">The key idea: student performance in an international study is read together with opportunity to learn: was the topic taught at all before the test?</t>
  </si>
  <si>
    <t xml:space="preserve">Domain</t>
  </si>
  <si>
    <t xml:space="preserve">Weight</t>
  </si>
  <si>
    <t xml:space="preserve">Topic</t>
  </si>
  <si>
    <t xml:space="preserve">Biology</t>
  </si>
  <si>
    <t xml:space="preserve">Characteristics and Life Processes of Organisms</t>
  </si>
  <si>
    <t xml:space="preserve">Cells and Their Functions</t>
  </si>
  <si>
    <t xml:space="preserve">Life Cycles, Reproduction, and Heredity</t>
  </si>
  <si>
    <t xml:space="preserve">Diversity, Adaptation, and Natural Selection</t>
  </si>
  <si>
    <t xml:space="preserve">Ecosystems</t>
  </si>
  <si>
    <t xml:space="preserve">Human Health</t>
  </si>
  <si>
    <t xml:space="preserve">Chemistry</t>
  </si>
  <si>
    <t xml:space="preserve">Composition of Matter</t>
  </si>
  <si>
    <t xml:space="preserve">Properties of Matter</t>
  </si>
  <si>
    <t xml:space="preserve">Chemical Change</t>
  </si>
  <si>
    <t xml:space="preserve">Physics</t>
  </si>
  <si>
    <t xml:space="preserve">Physical States and Changes in Matter</t>
  </si>
  <si>
    <t xml:space="preserve">Energy Transformation and Transfer</t>
  </si>
  <si>
    <t xml:space="preserve">Light and Sound</t>
  </si>
  <si>
    <t xml:space="preserve">Electricity and Magnetism</t>
  </si>
  <si>
    <t xml:space="preserve">Motion and Forces</t>
  </si>
  <si>
    <t xml:space="preserve">Earth Science</t>
  </si>
  <si>
    <t xml:space="preserve">Earth's Structure and Physical Features</t>
  </si>
  <si>
    <t xml:space="preserve">Earth's Processes, Cycles, and History</t>
  </si>
  <si>
    <t xml:space="preserve">Earth's Resources, Their Use, and Conservation</t>
  </si>
  <si>
    <t xml:space="preserve">Earth in the Solar System and the Universe</t>
  </si>
  <si>
    <t xml:space="preserve">Cognitive domains</t>
  </si>
  <si>
    <t xml:space="preserve">Knowing</t>
  </si>
  <si>
    <t xml:space="preserve">Applying</t>
  </si>
  <si>
    <t xml:space="preserve">Reasoning</t>
  </si>
  <si>
    <t xml:space="preserve">Worked example: a hypothetical curriculum</t>
  </si>
  <si>
    <t xml:space="preserve">Status by the end of Grade 8</t>
  </si>
  <si>
    <t xml:space="preserve">Value</t>
  </si>
  <si>
    <t xml:space="preserve">Note or evidence from the curriculum document</t>
  </si>
  <si>
    <t xml:space="preserve">Fully taught</t>
  </si>
  <si>
    <t xml:space="preserve">Partly taught</t>
  </si>
  <si>
    <t xml:space="preserve">Not taught</t>
  </si>
  <si>
    <t xml:space="preserve">Its weight in the framework</t>
  </si>
  <si>
    <t xml:space="preserve">Number of topics</t>
  </si>
  <si>
    <t xml:space="preserve">Topics classified</t>
  </si>
  <si>
    <t xml:space="preserve">Coverage percentage</t>
  </si>
  <si>
    <t xml:space="preserve">Coverage weighted by the framework weights</t>
  </si>
  <si>
    <t xml:space="preserve">Unweighted coverage (all topics with the same weight)</t>
  </si>
  <si>
    <t xml:space="preserve">Your template: the Grade 8 curriculum you teach</t>
  </si>
  <si>
    <t xml:space="preserve">Item</t>
  </si>
  <si>
    <t xml:space="preserve">Text</t>
  </si>
  <si>
    <t xml:space="preserve">Format</t>
  </si>
  <si>
    <t xml:space="preserve">Cognitive domain</t>
  </si>
  <si>
    <t xml:space="preserve">Your justification in one sentence</t>
  </si>
  <si>
    <t xml:space="preserve">Which structure is found in a plant cell but not in an animal cell? (A) the cell membrane (B) the cell wall (C) the nucleus (D) the cytoplasm</t>
  </si>
  <si>
    <t xml:space="preserve">Multiple choice</t>
  </si>
  <si>
    <t xml:space="preserve">In a school garden: plants → grasshoppers → frogs → snakes. If the snakes disappeared, describe what might happen to the number of grasshoppers after a while, and explain your answer.</t>
  </si>
  <si>
    <t xml:space="preserve">Constructed response</t>
  </si>
  <si>
    <t xml:space="preserve">The figure shows four boxes containing drawings of particles. Which box represents a mixture of two elements?</t>
  </si>
  <si>
    <t xml:space="preserve">A student wanted to find out whether the rusting of iron needs both water and air. Which set of the three tubes tests this? And what must be kept constant?</t>
  </si>
  <si>
    <t xml:space="preserve">The table shows the distance a bicycle travelled every 5 seconds. Calculate its average speed in the first 20 seconds.</t>
  </si>
  <si>
    <t xml:space="preserve">Why do we see lightning before we hear thunder, even though they happen at the same time?</t>
  </si>
  <si>
    <t xml:space="preserve">On the screen is a circuit with two bulbs in series and a battery. Drag a switch to the place that turns off the second bulb only, or explain why this is not possible.</t>
  </si>
  <si>
    <t xml:space="preserve">Digital interactive</t>
  </si>
  <si>
    <t xml:space="preserve">Puddles of water in the street dry faster on a windy day than on a calm day at the same temperature. Explain this.</t>
  </si>
  <si>
    <t xml:space="preserve">What causes the Moon to appear in different phases during the month?</t>
  </si>
  <si>
    <t xml:space="preserve">A multi-screen task: a school is choosing soil for its garden. The student runs a virtual experiment on three soils, records the amount of water each soil retains, then recommends a soil and justifies the recommendation with the data.</t>
  </si>
  <si>
    <t xml:space="preserve">Problem solving and inquiry task</t>
  </si>
  <si>
    <t xml:space="preserve">Distribution of your classification against the framework</t>
  </si>
  <si>
    <t xml:space="preserve">Category</t>
  </si>
  <si>
    <t xml:space="preserve">Number of your items</t>
  </si>
  <si>
    <t xml:space="preserve">Its percentage</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</si>
</sst>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3"/>
      <color rgb="FF1F4E79"/>
      <name val="Calibri"/>
      <family val="0"/>
      <charset val="1"/>
    </font>
    <font>
      <sz val="11"/>
      <name val="Calibri"/>
      <family val="0"/>
      <charset val="1"/>
    </font>
    <font>
      <b val="true"/>
      <sz val="11"/>
      <name val="Calibri"/>
      <family val="0"/>
      <charset val="1"/>
    </font>
    <font>
      <b val="true"/>
      <sz val="11"/>
      <color rgb="FFFFFFFF"/>
      <name val="Calibri"/>
      <family val="0"/>
      <charset val="1"/>
    </font>
    <font>
      <sz val="10"/>
      <name val="Arial"/>
      <family val="2"/>
    </font>
    <font>
      <b val="true"/>
      <sz val="12"/>
      <color rgb="FF1F4E79"/>
      <name val="Calibri"/>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52"/>
  </cols>
  <sheetData>
    <row r="1" customFormat="false" ht="15" hidden="false" customHeight="false" outlineLevel="0" collapsed="false">
      <c r="A1" s="4" t="s">
        <v>10</v>
      </c>
      <c r="B1" s="4" t="s">
        <v>11</v>
      </c>
      <c r="C1" s="4" t="s">
        <v>12</v>
      </c>
    </row>
    <row r="2" customFormat="false" ht="15" hidden="false" customHeight="false" outlineLevel="0" collapsed="false">
      <c r="A2" s="5" t="s">
        <v>13</v>
      </c>
      <c r="B2" s="6" t="n">
        <v>0.35</v>
      </c>
      <c r="C2" s="7" t="s">
        <v>14</v>
      </c>
    </row>
    <row r="3" customFormat="false" ht="15" hidden="false" customHeight="false" outlineLevel="0" collapsed="false">
      <c r="A3" s="5" t="s">
        <v>13</v>
      </c>
      <c r="B3" s="6" t="n">
        <v>0.35</v>
      </c>
      <c r="C3" s="7" t="s">
        <v>15</v>
      </c>
    </row>
    <row r="4" customFormat="false" ht="15" hidden="false" customHeight="false" outlineLevel="0" collapsed="false">
      <c r="A4" s="5" t="s">
        <v>13</v>
      </c>
      <c r="B4" s="6" t="n">
        <v>0.35</v>
      </c>
      <c r="C4" s="7" t="s">
        <v>16</v>
      </c>
    </row>
    <row r="5" customFormat="false" ht="15" hidden="false" customHeight="false" outlineLevel="0" collapsed="false">
      <c r="A5" s="5" t="s">
        <v>13</v>
      </c>
      <c r="B5" s="6" t="n">
        <v>0.35</v>
      </c>
      <c r="C5" s="7" t="s">
        <v>17</v>
      </c>
    </row>
    <row r="6" customFormat="false" ht="15" hidden="false" customHeight="false" outlineLevel="0" collapsed="false">
      <c r="A6" s="5" t="s">
        <v>13</v>
      </c>
      <c r="B6" s="6" t="n">
        <v>0.35</v>
      </c>
      <c r="C6" s="7" t="s">
        <v>18</v>
      </c>
    </row>
    <row r="7" customFormat="false" ht="15" hidden="false" customHeight="false" outlineLevel="0" collapsed="false">
      <c r="A7" s="5" t="s">
        <v>13</v>
      </c>
      <c r="B7" s="6" t="n">
        <v>0.35</v>
      </c>
      <c r="C7" s="7" t="s">
        <v>19</v>
      </c>
    </row>
    <row r="8" customFormat="false" ht="15" hidden="false" customHeight="false" outlineLevel="0" collapsed="false">
      <c r="A8" s="5" t="s">
        <v>20</v>
      </c>
      <c r="B8" s="6" t="n">
        <v>0.2</v>
      </c>
      <c r="C8" s="7" t="s">
        <v>21</v>
      </c>
    </row>
    <row r="9" customFormat="false" ht="15" hidden="false" customHeight="false" outlineLevel="0" collapsed="false">
      <c r="A9" s="5" t="s">
        <v>20</v>
      </c>
      <c r="B9" s="6" t="n">
        <v>0.2</v>
      </c>
      <c r="C9" s="7" t="s">
        <v>22</v>
      </c>
    </row>
    <row r="10" customFormat="false" ht="15" hidden="false" customHeight="false" outlineLevel="0" collapsed="false">
      <c r="A10" s="5" t="s">
        <v>20</v>
      </c>
      <c r="B10" s="6" t="n">
        <v>0.2</v>
      </c>
      <c r="C10" s="7" t="s">
        <v>23</v>
      </c>
    </row>
    <row r="11" customFormat="false" ht="15" hidden="false" customHeight="false" outlineLevel="0" collapsed="false">
      <c r="A11" s="5" t="s">
        <v>24</v>
      </c>
      <c r="B11" s="6" t="n">
        <v>0.25</v>
      </c>
      <c r="C11" s="7" t="s">
        <v>25</v>
      </c>
    </row>
    <row r="12" customFormat="false" ht="15" hidden="false" customHeight="false" outlineLevel="0" collapsed="false">
      <c r="A12" s="5" t="s">
        <v>24</v>
      </c>
      <c r="B12" s="6" t="n">
        <v>0.25</v>
      </c>
      <c r="C12" s="7" t="s">
        <v>26</v>
      </c>
    </row>
    <row r="13" customFormat="false" ht="15" hidden="false" customHeight="false" outlineLevel="0" collapsed="false">
      <c r="A13" s="5" t="s">
        <v>24</v>
      </c>
      <c r="B13" s="6" t="n">
        <v>0.25</v>
      </c>
      <c r="C13" s="7" t="s">
        <v>27</v>
      </c>
    </row>
    <row r="14" customFormat="false" ht="15" hidden="false" customHeight="false" outlineLevel="0" collapsed="false">
      <c r="A14" s="5" t="s">
        <v>24</v>
      </c>
      <c r="B14" s="6" t="n">
        <v>0.25</v>
      </c>
      <c r="C14" s="7" t="s">
        <v>28</v>
      </c>
    </row>
    <row r="15" customFormat="false" ht="15" hidden="false" customHeight="false" outlineLevel="0" collapsed="false">
      <c r="A15" s="5" t="s">
        <v>24</v>
      </c>
      <c r="B15" s="6" t="n">
        <v>0.25</v>
      </c>
      <c r="C15" s="7" t="s">
        <v>29</v>
      </c>
    </row>
    <row r="16" customFormat="false" ht="15" hidden="false" customHeight="false" outlineLevel="0" collapsed="false">
      <c r="A16" s="5" t="s">
        <v>30</v>
      </c>
      <c r="B16" s="6" t="n">
        <v>0.2</v>
      </c>
      <c r="C16" s="7" t="s">
        <v>31</v>
      </c>
    </row>
    <row r="17" customFormat="false" ht="15" hidden="false" customHeight="false" outlineLevel="0" collapsed="false">
      <c r="A17" s="5" t="s">
        <v>30</v>
      </c>
      <c r="B17" s="6" t="n">
        <v>0.2</v>
      </c>
      <c r="C17" s="7" t="s">
        <v>32</v>
      </c>
    </row>
    <row r="18" customFormat="false" ht="15" hidden="false" customHeight="false" outlineLevel="0" collapsed="false">
      <c r="A18" s="5" t="s">
        <v>30</v>
      </c>
      <c r="B18" s="6" t="n">
        <v>0.2</v>
      </c>
      <c r="C18" s="7" t="s">
        <v>33</v>
      </c>
    </row>
    <row r="19" customFormat="false" ht="15" hidden="false" customHeight="false" outlineLevel="0" collapsed="false">
      <c r="A19" s="5" t="s">
        <v>30</v>
      </c>
      <c r="B19" s="6" t="n">
        <v>0.2</v>
      </c>
      <c r="C19" s="7" t="s">
        <v>34</v>
      </c>
    </row>
    <row r="21" customFormat="false" ht="15" hidden="false" customHeight="false" outlineLevel="0" collapsed="false">
      <c r="A21" s="3" t="s">
        <v>35</v>
      </c>
    </row>
    <row r="22" customFormat="false" ht="15" hidden="false" customHeight="false" outlineLevel="0" collapsed="false">
      <c r="A22" s="5" t="s">
        <v>36</v>
      </c>
      <c r="B22" s="6" t="n">
        <v>0.35</v>
      </c>
    </row>
    <row r="23" customFormat="false" ht="15" hidden="false" customHeight="false" outlineLevel="0" collapsed="false">
      <c r="A23" s="5" t="s">
        <v>37</v>
      </c>
      <c r="B23" s="6" t="n">
        <v>0.35</v>
      </c>
    </row>
    <row r="24" customFormat="false" ht="15" hidden="false" customHeight="false" outlineLevel="0" collapsed="false">
      <c r="A24" s="5" t="s">
        <v>38</v>
      </c>
      <c r="B24" s="6"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6"/>
    <col collapsed="false" customWidth="true" hidden="false" outlineLevel="0" max="3" min="3" style="0" width="24"/>
    <col collapsed="false" customWidth="true" hidden="false" outlineLevel="0" max="4" min="4" style="0" width="14"/>
    <col collapsed="false" customWidth="true" hidden="false" outlineLevel="0" max="5" min="5" style="0" width="40"/>
  </cols>
  <sheetData>
    <row r="1" customFormat="false" ht="15" hidden="false" customHeight="false" outlineLevel="0" collapsed="false">
      <c r="A1" s="8" t="s">
        <v>39</v>
      </c>
    </row>
    <row r="3" customFormat="false" ht="28.35" hidden="false" customHeight="false" outlineLevel="0" collapsed="false">
      <c r="A3" s="4" t="s">
        <v>10</v>
      </c>
      <c r="B3" s="4" t="s">
        <v>12</v>
      </c>
      <c r="C3" s="4" t="s">
        <v>40</v>
      </c>
      <c r="D3" s="4" t="s">
        <v>41</v>
      </c>
      <c r="E3" s="4" t="s">
        <v>42</v>
      </c>
    </row>
    <row r="4" customFormat="false" ht="15" hidden="false" customHeight="false" outlineLevel="0" collapsed="false">
      <c r="A4" s="5" t="s">
        <v>13</v>
      </c>
      <c r="B4" s="7" t="s">
        <v>14</v>
      </c>
      <c r="C4" s="9" t="s">
        <v>43</v>
      </c>
      <c r="D4" s="5" t="n">
        <f aca="false">IF(C4="Fully taught",1,IF(C4="Partly taught",0.5,IF(C4="Not taught",0,"")))</f>
        <v>1</v>
      </c>
      <c r="E4" s="10"/>
    </row>
    <row r="5" customFormat="false" ht="15" hidden="false" customHeight="false" outlineLevel="0" collapsed="false">
      <c r="A5" s="5" t="s">
        <v>13</v>
      </c>
      <c r="B5" s="7" t="s">
        <v>15</v>
      </c>
      <c r="C5" s="9" t="s">
        <v>43</v>
      </c>
      <c r="D5" s="5" t="n">
        <f aca="false">IF(C5="Fully taught",1,IF(C5="Partly taught",0.5,IF(C5="Not taught",0,"")))</f>
        <v>1</v>
      </c>
      <c r="E5" s="10"/>
    </row>
    <row r="6" customFormat="false" ht="15" hidden="false" customHeight="false" outlineLevel="0" collapsed="false">
      <c r="A6" s="5" t="s">
        <v>13</v>
      </c>
      <c r="B6" s="7" t="s">
        <v>16</v>
      </c>
      <c r="C6" s="9" t="s">
        <v>44</v>
      </c>
      <c r="D6" s="5" t="n">
        <f aca="false">IF(C6="Fully taught",1,IF(C6="Partly taught",0.5,IF(C6="Not taught",0,"")))</f>
        <v>0.5</v>
      </c>
      <c r="E6" s="10"/>
    </row>
    <row r="7" customFormat="false" ht="15" hidden="false" customHeight="false" outlineLevel="0" collapsed="false">
      <c r="A7" s="5" t="s">
        <v>13</v>
      </c>
      <c r="B7" s="7" t="s">
        <v>17</v>
      </c>
      <c r="C7" s="9" t="s">
        <v>44</v>
      </c>
      <c r="D7" s="5" t="n">
        <f aca="false">IF(C7="Fully taught",1,IF(C7="Partly taught",0.5,IF(C7="Not taught",0,"")))</f>
        <v>0.5</v>
      </c>
      <c r="E7" s="10"/>
    </row>
    <row r="8" customFormat="false" ht="15" hidden="false" customHeight="false" outlineLevel="0" collapsed="false">
      <c r="A8" s="5" t="s">
        <v>13</v>
      </c>
      <c r="B8" s="7" t="s">
        <v>18</v>
      </c>
      <c r="C8" s="9" t="s">
        <v>43</v>
      </c>
      <c r="D8" s="5" t="n">
        <f aca="false">IF(C8="Fully taught",1,IF(C8="Partly taught",0.5,IF(C8="Not taught",0,"")))</f>
        <v>1</v>
      </c>
      <c r="E8" s="10"/>
    </row>
    <row r="9" customFormat="false" ht="15" hidden="false" customHeight="false" outlineLevel="0" collapsed="false">
      <c r="A9" s="5" t="s">
        <v>13</v>
      </c>
      <c r="B9" s="7" t="s">
        <v>19</v>
      </c>
      <c r="C9" s="9" t="s">
        <v>43</v>
      </c>
      <c r="D9" s="5" t="n">
        <f aca="false">IF(C9="Fully taught",1,IF(C9="Partly taught",0.5,IF(C9="Not taught",0,"")))</f>
        <v>1</v>
      </c>
      <c r="E9" s="10"/>
    </row>
    <row r="10" customFormat="false" ht="15" hidden="false" customHeight="false" outlineLevel="0" collapsed="false">
      <c r="A10" s="5" t="s">
        <v>20</v>
      </c>
      <c r="B10" s="7" t="s">
        <v>21</v>
      </c>
      <c r="C10" s="9" t="s">
        <v>43</v>
      </c>
      <c r="D10" s="5" t="n">
        <f aca="false">IF(C10="Fully taught",1,IF(C10="Partly taught",0.5,IF(C10="Not taught",0,"")))</f>
        <v>1</v>
      </c>
      <c r="E10" s="10"/>
    </row>
    <row r="11" customFormat="false" ht="15" hidden="false" customHeight="false" outlineLevel="0" collapsed="false">
      <c r="A11" s="5" t="s">
        <v>20</v>
      </c>
      <c r="B11" s="7" t="s">
        <v>22</v>
      </c>
      <c r="C11" s="9" t="s">
        <v>43</v>
      </c>
      <c r="D11" s="5" t="n">
        <f aca="false">IF(C11="Fully taught",1,IF(C11="Partly taught",0.5,IF(C11="Not taught",0,"")))</f>
        <v>1</v>
      </c>
      <c r="E11" s="10"/>
    </row>
    <row r="12" customFormat="false" ht="15" hidden="false" customHeight="false" outlineLevel="0" collapsed="false">
      <c r="A12" s="5" t="s">
        <v>20</v>
      </c>
      <c r="B12" s="7" t="s">
        <v>23</v>
      </c>
      <c r="C12" s="9" t="s">
        <v>43</v>
      </c>
      <c r="D12" s="5" t="n">
        <f aca="false">IF(C12="Fully taught",1,IF(C12="Partly taught",0.5,IF(C12="Not taught",0,"")))</f>
        <v>1</v>
      </c>
      <c r="E12" s="10"/>
    </row>
    <row r="13" customFormat="false" ht="15" hidden="false" customHeight="false" outlineLevel="0" collapsed="false">
      <c r="A13" s="5" t="s">
        <v>24</v>
      </c>
      <c r="B13" s="7" t="s">
        <v>25</v>
      </c>
      <c r="C13" s="9" t="s">
        <v>43</v>
      </c>
      <c r="D13" s="5" t="n">
        <f aca="false">IF(C13="Fully taught",1,IF(C13="Partly taught",0.5,IF(C13="Not taught",0,"")))</f>
        <v>1</v>
      </c>
      <c r="E13" s="10"/>
    </row>
    <row r="14" customFormat="false" ht="15" hidden="false" customHeight="false" outlineLevel="0" collapsed="false">
      <c r="A14" s="5" t="s">
        <v>24</v>
      </c>
      <c r="B14" s="7" t="s">
        <v>26</v>
      </c>
      <c r="C14" s="9" t="s">
        <v>44</v>
      </c>
      <c r="D14" s="5" t="n">
        <f aca="false">IF(C14="Fully taught",1,IF(C14="Partly taught",0.5,IF(C14="Not taught",0,"")))</f>
        <v>0.5</v>
      </c>
      <c r="E14" s="10"/>
    </row>
    <row r="15" customFormat="false" ht="15" hidden="false" customHeight="false" outlineLevel="0" collapsed="false">
      <c r="A15" s="5" t="s">
        <v>24</v>
      </c>
      <c r="B15" s="7" t="s">
        <v>27</v>
      </c>
      <c r="C15" s="9" t="s">
        <v>43</v>
      </c>
      <c r="D15" s="5" t="n">
        <f aca="false">IF(C15="Fully taught",1,IF(C15="Partly taught",0.5,IF(C15="Not taught",0,"")))</f>
        <v>1</v>
      </c>
      <c r="E15" s="10"/>
    </row>
    <row r="16" customFormat="false" ht="15" hidden="false" customHeight="false" outlineLevel="0" collapsed="false">
      <c r="A16" s="5" t="s">
        <v>24</v>
      </c>
      <c r="B16" s="7" t="s">
        <v>28</v>
      </c>
      <c r="C16" s="9" t="s">
        <v>45</v>
      </c>
      <c r="D16" s="5" t="n">
        <f aca="false">IF(C16="Fully taught",1,IF(C16="Partly taught",0.5,IF(C16="Not taught",0,"")))</f>
        <v>0</v>
      </c>
      <c r="E16" s="10"/>
    </row>
    <row r="17" customFormat="false" ht="15" hidden="false" customHeight="false" outlineLevel="0" collapsed="false">
      <c r="A17" s="5" t="s">
        <v>24</v>
      </c>
      <c r="B17" s="7" t="s">
        <v>29</v>
      </c>
      <c r="C17" s="9" t="s">
        <v>43</v>
      </c>
      <c r="D17" s="5" t="n">
        <f aca="false">IF(C17="Fully taught",1,IF(C17="Partly taught",0.5,IF(C17="Not taught",0,"")))</f>
        <v>1</v>
      </c>
      <c r="E17" s="10"/>
    </row>
    <row r="18" customFormat="false" ht="15" hidden="false" customHeight="false" outlineLevel="0" collapsed="false">
      <c r="A18" s="5" t="s">
        <v>30</v>
      </c>
      <c r="B18" s="7" t="s">
        <v>31</v>
      </c>
      <c r="C18" s="9" t="s">
        <v>43</v>
      </c>
      <c r="D18" s="5" t="n">
        <f aca="false">IF(C18="Fully taught",1,IF(C18="Partly taught",0.5,IF(C18="Not taught",0,"")))</f>
        <v>1</v>
      </c>
      <c r="E18" s="10"/>
    </row>
    <row r="19" customFormat="false" ht="15" hidden="false" customHeight="false" outlineLevel="0" collapsed="false">
      <c r="A19" s="5" t="s">
        <v>30</v>
      </c>
      <c r="B19" s="7" t="s">
        <v>32</v>
      </c>
      <c r="C19" s="9" t="s">
        <v>45</v>
      </c>
      <c r="D19" s="5" t="n">
        <f aca="false">IF(C19="Fully taught",1,IF(C19="Partly taught",0.5,IF(C19="Not taught",0,"")))</f>
        <v>0</v>
      </c>
      <c r="E19" s="10"/>
    </row>
    <row r="20" customFormat="false" ht="15" hidden="false" customHeight="false" outlineLevel="0" collapsed="false">
      <c r="A20" s="5" t="s">
        <v>30</v>
      </c>
      <c r="B20" s="7" t="s">
        <v>33</v>
      </c>
      <c r="C20" s="9" t="s">
        <v>44</v>
      </c>
      <c r="D20" s="5" t="n">
        <f aca="false">IF(C20="Fully taught",1,IF(C20="Partly taught",0.5,IF(C20="Not taught",0,"")))</f>
        <v>0.5</v>
      </c>
      <c r="E20" s="10"/>
    </row>
    <row r="21" customFormat="false" ht="15" hidden="false" customHeight="false" outlineLevel="0" collapsed="false">
      <c r="A21" s="5" t="s">
        <v>30</v>
      </c>
      <c r="B21" s="7" t="s">
        <v>34</v>
      </c>
      <c r="C21" s="9" t="s">
        <v>43</v>
      </c>
      <c r="D21" s="5" t="n">
        <f aca="false">IF(C21="Fully taught",1,IF(C21="Partly taught",0.5,IF(C21="Not taught",0,"")))</f>
        <v>1</v>
      </c>
      <c r="E21" s="10"/>
    </row>
    <row r="23" customFormat="false" ht="28.35" hidden="false" customHeight="false" outlineLevel="0" collapsed="false">
      <c r="A23" s="4" t="s">
        <v>10</v>
      </c>
      <c r="B23" s="4" t="s">
        <v>46</v>
      </c>
      <c r="C23" s="4" t="s">
        <v>47</v>
      </c>
      <c r="D23" s="4" t="s">
        <v>48</v>
      </c>
      <c r="E23" s="4" t="s">
        <v>49</v>
      </c>
    </row>
    <row r="24" customFormat="false" ht="15" hidden="false" customHeight="false" outlineLevel="0" collapsed="false">
      <c r="A24" s="5" t="s">
        <v>13</v>
      </c>
      <c r="B24" s="6" t="n">
        <v>0.35</v>
      </c>
      <c r="C24" s="5" t="n">
        <f aca="false">COUNTIF($A$4:$A$21,A24)</f>
        <v>6</v>
      </c>
      <c r="D24" s="5" t="n">
        <f aca="false">COUNTIFS($A$4:$A$21,A24,$C$4:$C$21,"?*")</f>
        <v>6</v>
      </c>
      <c r="E24" s="6" t="n">
        <f aca="false">IF(D24&lt;C24,"",SUMIF($A$4:$A$21,A24,$D$4:$D$21)/C24)</f>
        <v>0.833333333333333</v>
      </c>
    </row>
    <row r="25" customFormat="false" ht="15" hidden="false" customHeight="false" outlineLevel="0" collapsed="false">
      <c r="A25" s="5" t="s">
        <v>20</v>
      </c>
      <c r="B25" s="6" t="n">
        <v>0.2</v>
      </c>
      <c r="C25" s="5" t="n">
        <f aca="false">COUNTIF($A$4:$A$21,A25)</f>
        <v>3</v>
      </c>
      <c r="D25" s="5" t="n">
        <f aca="false">COUNTIFS($A$4:$A$21,A25,$C$4:$C$21,"?*")</f>
        <v>3</v>
      </c>
      <c r="E25" s="6" t="n">
        <f aca="false">IF(D25&lt;C25,"",SUMIF($A$4:$A$21,A25,$D$4:$D$21)/C25)</f>
        <v>1</v>
      </c>
    </row>
    <row r="26" customFormat="false" ht="15" hidden="false" customHeight="false" outlineLevel="0" collapsed="false">
      <c r="A26" s="5" t="s">
        <v>24</v>
      </c>
      <c r="B26" s="6" t="n">
        <v>0.25</v>
      </c>
      <c r="C26" s="5" t="n">
        <f aca="false">COUNTIF($A$4:$A$21,A26)</f>
        <v>5</v>
      </c>
      <c r="D26" s="5" t="n">
        <f aca="false">COUNTIFS($A$4:$A$21,A26,$C$4:$C$21,"?*")</f>
        <v>5</v>
      </c>
      <c r="E26" s="6" t="n">
        <f aca="false">IF(D26&lt;C26,"",SUMIF($A$4:$A$21,A26,$D$4:$D$21)/C26)</f>
        <v>0.7</v>
      </c>
    </row>
    <row r="27" customFormat="false" ht="15" hidden="false" customHeight="false" outlineLevel="0" collapsed="false">
      <c r="A27" s="5" t="s">
        <v>30</v>
      </c>
      <c r="B27" s="6" t="n">
        <v>0.2</v>
      </c>
      <c r="C27" s="5" t="n">
        <f aca="false">COUNTIF($A$4:$A$21,A27)</f>
        <v>4</v>
      </c>
      <c r="D27" s="5" t="n">
        <f aca="false">COUNTIFS($A$4:$A$21,A27,$C$4:$C$21,"?*")</f>
        <v>4</v>
      </c>
      <c r="E27" s="6" t="n">
        <f aca="false">IF(D27&lt;C27,"",SUMIF($A$4:$A$21,A27,$D$4:$D$21)/C27)</f>
        <v>0.625</v>
      </c>
    </row>
    <row r="29" customFormat="false" ht="15" hidden="false" customHeight="false" outlineLevel="0" collapsed="false">
      <c r="A29" s="3" t="s">
        <v>50</v>
      </c>
      <c r="E29" s="11" t="n">
        <f aca="false">IF(COUNTBLANK(E24:E27)&gt;0,"Complete the classification",SUMPRODUCT(B24:B27,E24:E27))</f>
        <v>0.791666666666667</v>
      </c>
    </row>
    <row r="30" customFormat="false" ht="15" hidden="false" customHeight="false" outlineLevel="0" collapsed="false">
      <c r="A30" s="3" t="s">
        <v>51</v>
      </c>
      <c r="E30" s="11" t="n">
        <f aca="false">IF(COUNTBLANK(E24:E27)&gt;0,"Complete the classification",SUM(D4:D21)/18)</f>
        <v>0.777777777777778</v>
      </c>
    </row>
  </sheetData>
  <conditionalFormatting sqref="C4:C21">
    <cfRule type="expression" priority="2" aboveAverage="0" equalAverage="0" bottom="0" percent="0" rank="0" text="" dxfId="0">
      <formula>C4="Not taught"</formula>
    </cfRule>
    <cfRule type="expression" priority="3" aboveAverage="0" equalAverage="0" bottom="0" percent="0" rank="0" text="" dxfId="1">
      <formula>C4="Partly taught"</formula>
    </cfRule>
  </conditionalFormatting>
  <dataValidations count="1">
    <dataValidation allowBlank="true" errorStyle="stop" operator="between" showDropDown="false" showErrorMessage="false" showInputMessage="false" sqref="C4:C21" type="list">
      <formula1>"Fully taught,Partly taught,Not taught"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6"/>
    <col collapsed="false" customWidth="true" hidden="false" outlineLevel="0" max="3" min="3" style="0" width="24"/>
    <col collapsed="false" customWidth="true" hidden="false" outlineLevel="0" max="4" min="4" style="0" width="14"/>
    <col collapsed="false" customWidth="true" hidden="false" outlineLevel="0" max="5" min="5" style="0" width="40"/>
  </cols>
  <sheetData>
    <row r="1" customFormat="false" ht="15" hidden="false" customHeight="false" outlineLevel="0" collapsed="false">
      <c r="A1" s="8" t="s">
        <v>52</v>
      </c>
    </row>
    <row r="3" customFormat="false" ht="28.35" hidden="false" customHeight="false" outlineLevel="0" collapsed="false">
      <c r="A3" s="4" t="s">
        <v>10</v>
      </c>
      <c r="B3" s="4" t="s">
        <v>12</v>
      </c>
      <c r="C3" s="4" t="s">
        <v>40</v>
      </c>
      <c r="D3" s="4" t="s">
        <v>41</v>
      </c>
      <c r="E3" s="4" t="s">
        <v>42</v>
      </c>
    </row>
    <row r="4" customFormat="false" ht="15" hidden="false" customHeight="false" outlineLevel="0" collapsed="false">
      <c r="A4" s="5" t="s">
        <v>13</v>
      </c>
      <c r="B4" s="7" t="s">
        <v>14</v>
      </c>
      <c r="C4" s="9"/>
      <c r="D4" s="5" t="str">
        <f aca="false">IF(C4="Fully taught",1,IF(C4="Partly taught",0.5,IF(C4="Not taught",0,"")))</f>
        <v/>
      </c>
      <c r="E4" s="10"/>
    </row>
    <row r="5" customFormat="false" ht="15" hidden="false" customHeight="false" outlineLevel="0" collapsed="false">
      <c r="A5" s="5" t="s">
        <v>13</v>
      </c>
      <c r="B5" s="7" t="s">
        <v>15</v>
      </c>
      <c r="C5" s="9"/>
      <c r="D5" s="5" t="str">
        <f aca="false">IF(C5="Fully taught",1,IF(C5="Partly taught",0.5,IF(C5="Not taught",0,"")))</f>
        <v/>
      </c>
      <c r="E5" s="10"/>
    </row>
    <row r="6" customFormat="false" ht="15" hidden="false" customHeight="false" outlineLevel="0" collapsed="false">
      <c r="A6" s="5" t="s">
        <v>13</v>
      </c>
      <c r="B6" s="7" t="s">
        <v>16</v>
      </c>
      <c r="C6" s="9"/>
      <c r="D6" s="5" t="str">
        <f aca="false">IF(C6="Fully taught",1,IF(C6="Partly taught",0.5,IF(C6="Not taught",0,"")))</f>
        <v/>
      </c>
      <c r="E6" s="10"/>
    </row>
    <row r="7" customFormat="false" ht="15" hidden="false" customHeight="false" outlineLevel="0" collapsed="false">
      <c r="A7" s="5" t="s">
        <v>13</v>
      </c>
      <c r="B7" s="7" t="s">
        <v>17</v>
      </c>
      <c r="C7" s="9"/>
      <c r="D7" s="5" t="str">
        <f aca="false">IF(C7="Fully taught",1,IF(C7="Partly taught",0.5,IF(C7="Not taught",0,"")))</f>
        <v/>
      </c>
      <c r="E7" s="10"/>
    </row>
    <row r="8" customFormat="false" ht="15" hidden="false" customHeight="false" outlineLevel="0" collapsed="false">
      <c r="A8" s="5" t="s">
        <v>13</v>
      </c>
      <c r="B8" s="7" t="s">
        <v>18</v>
      </c>
      <c r="C8" s="9"/>
      <c r="D8" s="5" t="str">
        <f aca="false">IF(C8="Fully taught",1,IF(C8="Partly taught",0.5,IF(C8="Not taught",0,"")))</f>
        <v/>
      </c>
      <c r="E8" s="10"/>
    </row>
    <row r="9" customFormat="false" ht="15" hidden="false" customHeight="false" outlineLevel="0" collapsed="false">
      <c r="A9" s="5" t="s">
        <v>13</v>
      </c>
      <c r="B9" s="7" t="s">
        <v>19</v>
      </c>
      <c r="C9" s="9"/>
      <c r="D9" s="5" t="str">
        <f aca="false">IF(C9="Fully taught",1,IF(C9="Partly taught",0.5,IF(C9="Not taught",0,"")))</f>
        <v/>
      </c>
      <c r="E9" s="10"/>
    </row>
    <row r="10" customFormat="false" ht="15" hidden="false" customHeight="false" outlineLevel="0" collapsed="false">
      <c r="A10" s="5" t="s">
        <v>20</v>
      </c>
      <c r="B10" s="7" t="s">
        <v>21</v>
      </c>
      <c r="C10" s="9"/>
      <c r="D10" s="5" t="str">
        <f aca="false">IF(C10="Fully taught",1,IF(C10="Partly taught",0.5,IF(C10="Not taught",0,"")))</f>
        <v/>
      </c>
      <c r="E10" s="10"/>
    </row>
    <row r="11" customFormat="false" ht="15" hidden="false" customHeight="false" outlineLevel="0" collapsed="false">
      <c r="A11" s="5" t="s">
        <v>20</v>
      </c>
      <c r="B11" s="7" t="s">
        <v>22</v>
      </c>
      <c r="C11" s="9"/>
      <c r="D11" s="5" t="str">
        <f aca="false">IF(C11="Fully taught",1,IF(C11="Partly taught",0.5,IF(C11="Not taught",0,"")))</f>
        <v/>
      </c>
      <c r="E11" s="10"/>
    </row>
    <row r="12" customFormat="false" ht="15" hidden="false" customHeight="false" outlineLevel="0" collapsed="false">
      <c r="A12" s="5" t="s">
        <v>20</v>
      </c>
      <c r="B12" s="7" t="s">
        <v>23</v>
      </c>
      <c r="C12" s="9"/>
      <c r="D12" s="5" t="str">
        <f aca="false">IF(C12="Fully taught",1,IF(C12="Partly taught",0.5,IF(C12="Not taught",0,"")))</f>
        <v/>
      </c>
      <c r="E12" s="10"/>
    </row>
    <row r="13" customFormat="false" ht="15" hidden="false" customHeight="false" outlineLevel="0" collapsed="false">
      <c r="A13" s="5" t="s">
        <v>24</v>
      </c>
      <c r="B13" s="7" t="s">
        <v>25</v>
      </c>
      <c r="C13" s="9"/>
      <c r="D13" s="5" t="str">
        <f aca="false">IF(C13="Fully taught",1,IF(C13="Partly taught",0.5,IF(C13="Not taught",0,"")))</f>
        <v/>
      </c>
      <c r="E13" s="10"/>
    </row>
    <row r="14" customFormat="false" ht="15" hidden="false" customHeight="false" outlineLevel="0" collapsed="false">
      <c r="A14" s="5" t="s">
        <v>24</v>
      </c>
      <c r="B14" s="7" t="s">
        <v>26</v>
      </c>
      <c r="C14" s="9"/>
      <c r="D14" s="5" t="str">
        <f aca="false">IF(C14="Fully taught",1,IF(C14="Partly taught",0.5,IF(C14="Not taught",0,"")))</f>
        <v/>
      </c>
      <c r="E14" s="10"/>
    </row>
    <row r="15" customFormat="false" ht="15" hidden="false" customHeight="false" outlineLevel="0" collapsed="false">
      <c r="A15" s="5" t="s">
        <v>24</v>
      </c>
      <c r="B15" s="7" t="s">
        <v>27</v>
      </c>
      <c r="C15" s="9"/>
      <c r="D15" s="5" t="str">
        <f aca="false">IF(C15="Fully taught",1,IF(C15="Partly taught",0.5,IF(C15="Not taught",0,"")))</f>
        <v/>
      </c>
      <c r="E15" s="10"/>
    </row>
    <row r="16" customFormat="false" ht="15" hidden="false" customHeight="false" outlineLevel="0" collapsed="false">
      <c r="A16" s="5" t="s">
        <v>24</v>
      </c>
      <c r="B16" s="7" t="s">
        <v>28</v>
      </c>
      <c r="C16" s="9"/>
      <c r="D16" s="5" t="str">
        <f aca="false">IF(C16="Fully taught",1,IF(C16="Partly taught",0.5,IF(C16="Not taught",0,"")))</f>
        <v/>
      </c>
      <c r="E16" s="10"/>
    </row>
    <row r="17" customFormat="false" ht="15" hidden="false" customHeight="false" outlineLevel="0" collapsed="false">
      <c r="A17" s="5" t="s">
        <v>24</v>
      </c>
      <c r="B17" s="7" t="s">
        <v>29</v>
      </c>
      <c r="C17" s="9"/>
      <c r="D17" s="5" t="str">
        <f aca="false">IF(C17="Fully taught",1,IF(C17="Partly taught",0.5,IF(C17="Not taught",0,"")))</f>
        <v/>
      </c>
      <c r="E17" s="10"/>
    </row>
    <row r="18" customFormat="false" ht="15" hidden="false" customHeight="false" outlineLevel="0" collapsed="false">
      <c r="A18" s="5" t="s">
        <v>30</v>
      </c>
      <c r="B18" s="7" t="s">
        <v>31</v>
      </c>
      <c r="C18" s="9"/>
      <c r="D18" s="5" t="str">
        <f aca="false">IF(C18="Fully taught",1,IF(C18="Partly taught",0.5,IF(C18="Not taught",0,"")))</f>
        <v/>
      </c>
      <c r="E18" s="10"/>
    </row>
    <row r="19" customFormat="false" ht="15" hidden="false" customHeight="false" outlineLevel="0" collapsed="false">
      <c r="A19" s="5" t="s">
        <v>30</v>
      </c>
      <c r="B19" s="7" t="s">
        <v>32</v>
      </c>
      <c r="C19" s="9"/>
      <c r="D19" s="5" t="str">
        <f aca="false">IF(C19="Fully taught",1,IF(C19="Partly taught",0.5,IF(C19="Not taught",0,"")))</f>
        <v/>
      </c>
      <c r="E19" s="10"/>
    </row>
    <row r="20" customFormat="false" ht="15" hidden="false" customHeight="false" outlineLevel="0" collapsed="false">
      <c r="A20" s="5" t="s">
        <v>30</v>
      </c>
      <c r="B20" s="7" t="s">
        <v>33</v>
      </c>
      <c r="C20" s="9"/>
      <c r="D20" s="5" t="str">
        <f aca="false">IF(C20="Fully taught",1,IF(C20="Partly taught",0.5,IF(C20="Not taught",0,"")))</f>
        <v/>
      </c>
      <c r="E20" s="10"/>
    </row>
    <row r="21" customFormat="false" ht="15" hidden="false" customHeight="false" outlineLevel="0" collapsed="false">
      <c r="A21" s="5" t="s">
        <v>30</v>
      </c>
      <c r="B21" s="7" t="s">
        <v>34</v>
      </c>
      <c r="C21" s="9"/>
      <c r="D21" s="5" t="str">
        <f aca="false">IF(C21="Fully taught",1,IF(C21="Partly taught",0.5,IF(C21="Not taught",0,"")))</f>
        <v/>
      </c>
      <c r="E21" s="10"/>
    </row>
    <row r="23" customFormat="false" ht="28.35" hidden="false" customHeight="false" outlineLevel="0" collapsed="false">
      <c r="A23" s="4" t="s">
        <v>10</v>
      </c>
      <c r="B23" s="4" t="s">
        <v>46</v>
      </c>
      <c r="C23" s="4" t="s">
        <v>47</v>
      </c>
      <c r="D23" s="4" t="s">
        <v>48</v>
      </c>
      <c r="E23" s="4" t="s">
        <v>49</v>
      </c>
    </row>
    <row r="24" customFormat="false" ht="15" hidden="false" customHeight="false" outlineLevel="0" collapsed="false">
      <c r="A24" s="5" t="s">
        <v>13</v>
      </c>
      <c r="B24" s="6" t="n">
        <v>0.35</v>
      </c>
      <c r="C24" s="5" t="n">
        <f aca="false">COUNTIF($A$4:$A$21,A24)</f>
        <v>6</v>
      </c>
      <c r="D24" s="5" t="n">
        <f aca="false">COUNTIFS($A$4:$A$21,A24,$C$4:$C$21,"?*")</f>
        <v>0</v>
      </c>
      <c r="E24" s="6" t="str">
        <f aca="false">IF(D24&lt;C24,"",SUMIF($A$4:$A$21,A24,$D$4:$D$21)/C24)</f>
        <v/>
      </c>
    </row>
    <row r="25" customFormat="false" ht="15" hidden="false" customHeight="false" outlineLevel="0" collapsed="false">
      <c r="A25" s="5" t="s">
        <v>20</v>
      </c>
      <c r="B25" s="6" t="n">
        <v>0.2</v>
      </c>
      <c r="C25" s="5" t="n">
        <f aca="false">COUNTIF($A$4:$A$21,A25)</f>
        <v>3</v>
      </c>
      <c r="D25" s="5" t="n">
        <f aca="false">COUNTIFS($A$4:$A$21,A25,$C$4:$C$21,"?*")</f>
        <v>0</v>
      </c>
      <c r="E25" s="6" t="str">
        <f aca="false">IF(D25&lt;C25,"",SUMIF($A$4:$A$21,A25,$D$4:$D$21)/C25)</f>
        <v/>
      </c>
    </row>
    <row r="26" customFormat="false" ht="15" hidden="false" customHeight="false" outlineLevel="0" collapsed="false">
      <c r="A26" s="5" t="s">
        <v>24</v>
      </c>
      <c r="B26" s="6" t="n">
        <v>0.25</v>
      </c>
      <c r="C26" s="5" t="n">
        <f aca="false">COUNTIF($A$4:$A$21,A26)</f>
        <v>5</v>
      </c>
      <c r="D26" s="5" t="n">
        <f aca="false">COUNTIFS($A$4:$A$21,A26,$C$4:$C$21,"?*")</f>
        <v>0</v>
      </c>
      <c r="E26" s="6" t="str">
        <f aca="false">IF(D26&lt;C26,"",SUMIF($A$4:$A$21,A26,$D$4:$D$21)/C26)</f>
        <v/>
      </c>
    </row>
    <row r="27" customFormat="false" ht="15" hidden="false" customHeight="false" outlineLevel="0" collapsed="false">
      <c r="A27" s="5" t="s">
        <v>30</v>
      </c>
      <c r="B27" s="6" t="n">
        <v>0.2</v>
      </c>
      <c r="C27" s="5" t="n">
        <f aca="false">COUNTIF($A$4:$A$21,A27)</f>
        <v>4</v>
      </c>
      <c r="D27" s="5" t="n">
        <f aca="false">COUNTIFS($A$4:$A$21,A27,$C$4:$C$21,"?*")</f>
        <v>0</v>
      </c>
      <c r="E27" s="6" t="str">
        <f aca="false">IF(D27&lt;C27,"",SUMIF($A$4:$A$21,A27,$D$4:$D$21)/C27)</f>
        <v/>
      </c>
    </row>
    <row r="29" customFormat="false" ht="15" hidden="false" customHeight="false" outlineLevel="0" collapsed="false">
      <c r="A29" s="3" t="s">
        <v>50</v>
      </c>
      <c r="E29" s="11" t="str">
        <f aca="false">IF(COUNTBLANK(E24:E27)&gt;0,"Complete the classification",SUMPRODUCT(B24:B27,E24:E27))</f>
        <v>Complete the classification</v>
      </c>
    </row>
    <row r="30" customFormat="false" ht="15" hidden="false" customHeight="false" outlineLevel="0" collapsed="false">
      <c r="A30" s="3" t="s">
        <v>51</v>
      </c>
      <c r="E30" s="11" t="str">
        <f aca="false">IF(COUNTBLANK(E24:E27)&gt;0,"Complete the classification",SUM(D4:D21)/18)</f>
        <v>Complete the classification</v>
      </c>
    </row>
  </sheetData>
  <conditionalFormatting sqref="C4:C21">
    <cfRule type="expression" priority="2" aboveAverage="0" equalAverage="0" bottom="0" percent="0" rank="0" text="" dxfId="0">
      <formula>C4="Not taught"</formula>
    </cfRule>
    <cfRule type="expression" priority="3" aboveAverage="0" equalAverage="0" bottom="0" percent="0" rank="0" text="" dxfId="1">
      <formula>C4="Partly taught"</formula>
    </cfRule>
  </conditionalFormatting>
  <dataValidations count="1">
    <dataValidation allowBlank="true" errorStyle="stop" operator="between" showDropDown="false" showErrorMessage="false" showInputMessage="false" sqref="C4:C21" type="list">
      <formula1>"Fully taught,Partly taught,Not taught"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0"/>
    <col collapsed="false" customWidth="true" hidden="false" outlineLevel="0" max="3" min="3" style="0" width="18"/>
    <col collapsed="false" customWidth="true" hidden="false" outlineLevel="0" max="4" min="4" style="0" width="13"/>
    <col collapsed="false" customWidth="true" hidden="false" outlineLevel="0" max="5" min="5" style="0" width="36"/>
    <col collapsed="false" customWidth="true" hidden="false" outlineLevel="0" max="6" min="6" style="0" width="14"/>
    <col collapsed="false" customWidth="true" hidden="false" outlineLevel="0" max="7" min="7" style="0" width="34"/>
  </cols>
  <sheetData>
    <row r="1" customFormat="false" ht="28.35" hidden="false" customHeight="false" outlineLevel="0" collapsed="false">
      <c r="A1" s="4" t="s">
        <v>53</v>
      </c>
      <c r="B1" s="4" t="s">
        <v>54</v>
      </c>
      <c r="C1" s="4" t="s">
        <v>55</v>
      </c>
      <c r="D1" s="4" t="s">
        <v>10</v>
      </c>
      <c r="E1" s="4" t="s">
        <v>12</v>
      </c>
      <c r="F1" s="4" t="s">
        <v>56</v>
      </c>
      <c r="G1" s="4" t="s">
        <v>57</v>
      </c>
    </row>
    <row r="2" customFormat="false" ht="61.5" hidden="false" customHeight="true" outlineLevel="0" collapsed="false">
      <c r="A2" s="5" t="n">
        <v>1</v>
      </c>
      <c r="B2" s="7" t="s">
        <v>58</v>
      </c>
      <c r="C2" s="7" t="s">
        <v>59</v>
      </c>
      <c r="D2" s="10"/>
      <c r="E2" s="10"/>
      <c r="F2" s="10"/>
      <c r="G2" s="10"/>
    </row>
    <row r="3" customFormat="false" ht="61.5" hidden="false" customHeight="true" outlineLevel="0" collapsed="false">
      <c r="A3" s="5" t="n">
        <v>2</v>
      </c>
      <c r="B3" s="7" t="s">
        <v>60</v>
      </c>
      <c r="C3" s="7" t="s">
        <v>61</v>
      </c>
      <c r="D3" s="10"/>
      <c r="E3" s="10"/>
      <c r="F3" s="10"/>
      <c r="G3" s="10"/>
    </row>
    <row r="4" customFormat="false" ht="61.5" hidden="false" customHeight="true" outlineLevel="0" collapsed="false">
      <c r="A4" s="5" t="n">
        <v>3</v>
      </c>
      <c r="B4" s="7" t="s">
        <v>62</v>
      </c>
      <c r="C4" s="7" t="s">
        <v>59</v>
      </c>
      <c r="D4" s="10"/>
      <c r="E4" s="10"/>
      <c r="F4" s="10"/>
      <c r="G4" s="10"/>
    </row>
    <row r="5" customFormat="false" ht="61.5" hidden="false" customHeight="true" outlineLevel="0" collapsed="false">
      <c r="A5" s="5" t="n">
        <v>4</v>
      </c>
      <c r="B5" s="7" t="s">
        <v>63</v>
      </c>
      <c r="C5" s="7" t="s">
        <v>61</v>
      </c>
      <c r="D5" s="10"/>
      <c r="E5" s="10"/>
      <c r="F5" s="10"/>
      <c r="G5" s="10"/>
    </row>
    <row r="6" customFormat="false" ht="61.5" hidden="false" customHeight="true" outlineLevel="0" collapsed="false">
      <c r="A6" s="5" t="n">
        <v>5</v>
      </c>
      <c r="B6" s="7" t="s">
        <v>64</v>
      </c>
      <c r="C6" s="7" t="s">
        <v>61</v>
      </c>
      <c r="D6" s="10"/>
      <c r="E6" s="10"/>
      <c r="F6" s="10"/>
      <c r="G6" s="10"/>
    </row>
    <row r="7" customFormat="false" ht="61.5" hidden="false" customHeight="true" outlineLevel="0" collapsed="false">
      <c r="A7" s="5" t="n">
        <v>6</v>
      </c>
      <c r="B7" s="7" t="s">
        <v>65</v>
      </c>
      <c r="C7" s="7" t="s">
        <v>61</v>
      </c>
      <c r="D7" s="10"/>
      <c r="E7" s="10"/>
      <c r="F7" s="10"/>
      <c r="G7" s="10"/>
    </row>
    <row r="8" customFormat="false" ht="61.5" hidden="false" customHeight="true" outlineLevel="0" collapsed="false">
      <c r="A8" s="5" t="n">
        <v>7</v>
      </c>
      <c r="B8" s="7" t="s">
        <v>66</v>
      </c>
      <c r="C8" s="7" t="s">
        <v>67</v>
      </c>
      <c r="D8" s="10"/>
      <c r="E8" s="10"/>
      <c r="F8" s="10"/>
      <c r="G8" s="10"/>
    </row>
    <row r="9" customFormat="false" ht="61.5" hidden="false" customHeight="true" outlineLevel="0" collapsed="false">
      <c r="A9" s="5" t="n">
        <v>8</v>
      </c>
      <c r="B9" s="7" t="s">
        <v>68</v>
      </c>
      <c r="C9" s="7" t="s">
        <v>61</v>
      </c>
      <c r="D9" s="10"/>
      <c r="E9" s="10"/>
      <c r="F9" s="10"/>
      <c r="G9" s="10"/>
    </row>
    <row r="10" customFormat="false" ht="61.5" hidden="false" customHeight="true" outlineLevel="0" collapsed="false">
      <c r="A10" s="5" t="n">
        <v>9</v>
      </c>
      <c r="B10" s="7" t="s">
        <v>69</v>
      </c>
      <c r="C10" s="7" t="s">
        <v>59</v>
      </c>
      <c r="D10" s="10"/>
      <c r="E10" s="10"/>
      <c r="F10" s="10"/>
      <c r="G10" s="10"/>
    </row>
    <row r="11" customFormat="false" ht="61.5" hidden="false" customHeight="true" outlineLevel="0" collapsed="false">
      <c r="A11" s="5" t="n">
        <v>10</v>
      </c>
      <c r="B11" s="7" t="s">
        <v>70</v>
      </c>
      <c r="C11" s="7" t="s">
        <v>71</v>
      </c>
      <c r="D11" s="10"/>
      <c r="E11" s="10"/>
      <c r="F11" s="10"/>
      <c r="G11" s="10"/>
    </row>
    <row r="13" customFormat="false" ht="15" hidden="false" customHeight="false" outlineLevel="0" collapsed="false">
      <c r="A13" s="3" t="s">
        <v>72</v>
      </c>
    </row>
    <row r="14" customFormat="false" ht="28.35" hidden="false" customHeight="false" outlineLevel="0" collapsed="false">
      <c r="B14" s="4" t="s">
        <v>73</v>
      </c>
      <c r="C14" s="4" t="s">
        <v>74</v>
      </c>
      <c r="D14" s="4" t="s">
        <v>75</v>
      </c>
      <c r="E14" s="4" t="s">
        <v>46</v>
      </c>
    </row>
    <row r="15" customFormat="false" ht="15" hidden="false" customHeight="false" outlineLevel="0" collapsed="false">
      <c r="B15" s="5" t="s">
        <v>13</v>
      </c>
      <c r="C15" s="5" t="n">
        <f aca="false">COUNTIF($D$2:$D$11,B15)</f>
        <v>0</v>
      </c>
      <c r="D15" s="6" t="str">
        <f aca="false">IF(COUNTA($D$2:$D$11)=0,"",C15/COUNTA($D$2:$D$11))</f>
        <v/>
      </c>
      <c r="E15" s="6" t="n">
        <v>0.35</v>
      </c>
    </row>
    <row r="16" customFormat="false" ht="15" hidden="false" customHeight="false" outlineLevel="0" collapsed="false">
      <c r="B16" s="5" t="s">
        <v>20</v>
      </c>
      <c r="C16" s="5" t="n">
        <f aca="false">COUNTIF($D$2:$D$11,B16)</f>
        <v>0</v>
      </c>
      <c r="D16" s="6" t="str">
        <f aca="false">IF(COUNTA($D$2:$D$11)=0,"",C16/COUNTA($D$2:$D$11))</f>
        <v/>
      </c>
      <c r="E16" s="6" t="n">
        <v>0.2</v>
      </c>
    </row>
    <row r="17" customFormat="false" ht="15" hidden="false" customHeight="false" outlineLevel="0" collapsed="false">
      <c r="B17" s="5" t="s">
        <v>24</v>
      </c>
      <c r="C17" s="5" t="n">
        <f aca="false">COUNTIF($D$2:$D$11,B17)</f>
        <v>0</v>
      </c>
      <c r="D17" s="6" t="str">
        <f aca="false">IF(COUNTA($D$2:$D$11)=0,"",C17/COUNTA($D$2:$D$11))</f>
        <v/>
      </c>
      <c r="E17" s="6" t="n">
        <v>0.25</v>
      </c>
    </row>
    <row r="18" customFormat="false" ht="15" hidden="false" customHeight="false" outlineLevel="0" collapsed="false">
      <c r="B18" s="5" t="s">
        <v>30</v>
      </c>
      <c r="C18" s="5" t="n">
        <f aca="false">COUNTIF($D$2:$D$11,B18)</f>
        <v>0</v>
      </c>
      <c r="D18" s="6" t="str">
        <f aca="false">IF(COUNTA($D$2:$D$11)=0,"",C18/COUNTA($D$2:$D$11))</f>
        <v/>
      </c>
      <c r="E18" s="6" t="n">
        <v>0.2</v>
      </c>
    </row>
    <row r="19" customFormat="false" ht="15" hidden="false" customHeight="false" outlineLevel="0" collapsed="false">
      <c r="B19" s="5" t="s">
        <v>36</v>
      </c>
      <c r="C19" s="5" t="n">
        <f aca="false">COUNTIF($F$2:$F$11,B19)</f>
        <v>0</v>
      </c>
      <c r="D19" s="6" t="str">
        <f aca="false">IF(COUNTA($F$2:$F$11)=0,"",C19/COUNTA($F$2:$F$11))</f>
        <v/>
      </c>
      <c r="E19" s="6" t="n">
        <v>0.35</v>
      </c>
    </row>
    <row r="20" customFormat="false" ht="15" hidden="false" customHeight="false" outlineLevel="0" collapsed="false">
      <c r="B20" s="5" t="s">
        <v>37</v>
      </c>
      <c r="C20" s="5" t="n">
        <f aca="false">COUNTIF($F$2:$F$11,B20)</f>
        <v>0</v>
      </c>
      <c r="D20" s="6" t="str">
        <f aca="false">IF(COUNTA($F$2:$F$11)=0,"",C20/COUNTA($F$2:$F$11))</f>
        <v/>
      </c>
      <c r="E20" s="6" t="n">
        <v>0.35</v>
      </c>
    </row>
    <row r="21" customFormat="false" ht="15" hidden="false" customHeight="false" outlineLevel="0" collapsed="false">
      <c r="B21" s="5" t="s">
        <v>38</v>
      </c>
      <c r="C21" s="5" t="n">
        <f aca="false">COUNTIF($F$2:$F$11,B21)</f>
        <v>0</v>
      </c>
      <c r="D21" s="6" t="str">
        <f aca="false">IF(COUNTA($F$2:$F$11)=0,"",C21/COUNTA($F$2:$F$11))</f>
        <v/>
      </c>
      <c r="E21" s="6" t="n">
        <v>0.3</v>
      </c>
    </row>
  </sheetData>
  <dataValidations count="3">
    <dataValidation allowBlank="true" errorStyle="stop" operator="between" showDropDown="false" showErrorMessage="false" showInputMessage="false" sqref="D2:D11" type="list">
      <formula1>"Biology,Chemistry,Physics,Earth Science"</formula1>
      <formula2>0</formula2>
    </dataValidation>
    <dataValidation allowBlank="true" errorStyle="stop" operator="between" showDropDown="false" showErrorMessage="false" showInputMessage="false" sqref="F2:F11" type="list">
      <formula1>"Knowing,Applying,Reasoning"</formula1>
      <formula2>0</formula2>
    </dataValidation>
    <dataValidation allowBlank="true" errorStyle="stop" operator="between" showDropDown="false" showErrorMessage="false" showInputMessage="false" sqref="E2:E11" type="list">
      <formula1>Framework!$C$2:$C$19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2026-10-15T04:00:47Z</dcterms:created>
  <dc:creator>openpyxl</dc:creator>
  <dc:description/>
  <dc:language>en-US</dc:language>
  <cp:lastModifiedBy/>
  <dcterms:modified xsi:type="dcterms:W3CDTF">2026-10-15T04:00:47Z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