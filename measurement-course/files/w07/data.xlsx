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" sheetId="1" state="visible" r:id="rId3"/>
    <sheet name="بنك الفقرات" sheetId="2" state="visible" r:id="rId4"/>
    <sheet name="قائمة الفحص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3" authorId="0">
      <text>
        <r>
          <rPr>
            <sz val="10"/>
            <rFont val="FreeSans"/>
            <family val="2"/>
          </rPr>
          <t xml:space="preserve">مخالفة القاعدة </t>
        </r>
        <r>
          <rPr>
            <sz val="10"/>
            <rFont val="Arial"/>
            <family val="2"/>
          </rPr>
          <t xml:space="preserve">2 (أكثر من إجابة صحيحة) أو القاعدة 3 (مفتاح خاطئ علمياً) عيب جوهري: الفقرة تُستبعد أو يُعاد بناؤها. غير ذلك يُعدَّل.</t>
        </r>
      </text>
    </comment>
  </commentList>
</comments>
</file>

<file path=xl/sharedStrings.xml><?xml version="1.0" encoding="utf-8"?>
<sst xmlns="http://schemas.openxmlformats.org/spreadsheetml/2006/main" count="142" uniqueCount="114">
  <si>
    <t xml:space="preserve">مشغل الأسبوع 7 — مراجعة فقرات اختيار من متعدد مولّدة آلياً</t>
  </si>
  <si>
    <t xml:space="preserve">مساق القياس والتقويم التربوي — دبلوم الدراسات العليا المهني في التدريس</t>
  </si>
  <si>
    <t xml:space="preserve">تنبيه: الفقرات نموذج تدريبي كُتب للمساق ليحاكي العيوب الشائعة في الفقرات التي تولّدها أدوات الذكاء الاصطناعي.</t>
  </si>
  <si>
    <t xml:space="preserve">12 فقرة لوحدة «المادة وتغيّراتها» للصف الثامن، ولكل فقرة الناتج والمستوى المعرفي المقصودان والمفتاح المقترح.</t>
  </si>
  <si>
    <t xml:space="preserve">أوراق المصنف:</t>
  </si>
  <si>
    <t xml:space="preserve">بنك الفقرات: نصوص الفقرات وبدائلها ومفاتيحها المقترحة.</t>
  </si>
  <si>
    <t xml:space="preserve">قائمة الفحص: لكل فقرة عشر قواعد. اكتب 1 إذا كانت الفقرة تخالف القاعدة، واتركها فارغة إذا كانت سليمة.</t>
  </si>
  <si>
    <t xml:space="preserve">بعد الفحص تُحسب تلقائياً: عدد المخالفات لكل فقرة، وأكثر القواعد مخالفة، والقرار المقترح.</t>
  </si>
  <si>
    <t xml:space="preserve">ملاحظة: افحص بنفسك أولاً، ثم قارن بفحص كلود. لا تعتمد على كلود في الحكم على فقرات كتبها كلود.</t>
  </si>
  <si>
    <t xml:space="preserve">الفقرة</t>
  </si>
  <si>
    <t xml:space="preserve">الناتج</t>
  </si>
  <si>
    <t xml:space="preserve">المستوى المقصود</t>
  </si>
  <si>
    <t xml:space="preserve">الجذع</t>
  </si>
  <si>
    <t xml:space="preserve">أ</t>
  </si>
  <si>
    <t xml:space="preserve">ب</t>
  </si>
  <si>
    <t xml:space="preserve">ج</t>
  </si>
  <si>
    <t xml:space="preserve">د</t>
  </si>
  <si>
    <t xml:space="preserve">المفتاح المقترح</t>
  </si>
  <si>
    <t xml:space="preserve">ن1</t>
  </si>
  <si>
    <t xml:space="preserve">معرفة</t>
  </si>
  <si>
    <t xml:space="preserve">أيّ مما يلي تغيّر كيميائي؟</t>
  </si>
  <si>
    <t xml:space="preserve">تجمّد الماء</t>
  </si>
  <si>
    <t xml:space="preserve">ذوبان الملح في الماء</t>
  </si>
  <si>
    <t xml:space="preserve">احتراق الورق</t>
  </si>
  <si>
    <t xml:space="preserve">تبخّر الكحول</t>
  </si>
  <si>
    <t xml:space="preserve">ن4</t>
  </si>
  <si>
    <t xml:space="preserve">من الأدلة على حدوث تفاعل كيميائي:</t>
  </si>
  <si>
    <t xml:space="preserve">تغيّر الشكل</t>
  </si>
  <si>
    <t xml:space="preserve">ظهور فقاعات غاز وتغيّر اللون</t>
  </si>
  <si>
    <t xml:space="preserve">تغيّر الحجم</t>
  </si>
  <si>
    <t xml:space="preserve">تغيّر الحالة</t>
  </si>
  <si>
    <t xml:space="preserve">ن2</t>
  </si>
  <si>
    <t xml:space="preserve">تطبيق</t>
  </si>
  <si>
    <t xml:space="preserve">لماذا يتمدد قضيب الحديد عند تسخينه؟</t>
  </si>
  <si>
    <t xml:space="preserve">لأن كتلته تزداد</t>
  </si>
  <si>
    <t xml:space="preserve">لأن جسيماته تهتز بسرعة أكبر فتزداد المسافات بينها قليلاً</t>
  </si>
  <si>
    <t xml:space="preserve">لأن جسيماته تكبر</t>
  </si>
  <si>
    <t xml:space="preserve">لأن الحديد ينصهر</t>
  </si>
  <si>
    <t xml:space="preserve">أيّ مما يلي تغيّر فيزيائي؟</t>
  </si>
  <si>
    <t xml:space="preserve">انصهار الجليد</t>
  </si>
  <si>
    <t xml:space="preserve">تكسير الزجاج</t>
  </si>
  <si>
    <t xml:space="preserve">طحن القهوة</t>
  </si>
  <si>
    <t xml:space="preserve">جميع ما سبق</t>
  </si>
  <si>
    <t xml:space="preserve">أيّ مما يلي ليس تغيّراً كيميائياً؟</t>
  </si>
  <si>
    <t xml:space="preserve">صدأ الحديد</t>
  </si>
  <si>
    <t xml:space="preserve">تعفّن الخبز</t>
  </si>
  <si>
    <t xml:space="preserve">ذوبان السكر في الماء</t>
  </si>
  <si>
    <t xml:space="preserve">احتراق الخشب</t>
  </si>
  <si>
    <t xml:space="preserve">ن3</t>
  </si>
  <si>
    <t xml:space="preserve">جسم كتلته 40 غراماً وحجمه 50 سنتيمتراً مكعباً، وُضع في الماء. ماذا يحدث له؟</t>
  </si>
  <si>
    <t xml:space="preserve">يطفو لأن كثافته 0.8 غرام لكل سنتيمتر مكعب</t>
  </si>
  <si>
    <t xml:space="preserve">يطفو لأن كثافته أقل من كثافة الماء</t>
  </si>
  <si>
    <t xml:space="preserve">يغوص لأن كتلته كبيرة</t>
  </si>
  <si>
    <t xml:space="preserve">يغوص لأن حجمه كبير</t>
  </si>
  <si>
    <t xml:space="preserve">في أيّ حالة تكون جسيمات المادة متراصّة وتهتز في أماكنها؟</t>
  </si>
  <si>
    <t xml:space="preserve">الصلبة</t>
  </si>
  <si>
    <t xml:space="preserve">قطعة حلوى</t>
  </si>
  <si>
    <t xml:space="preserve">الضوء</t>
  </si>
  <si>
    <t xml:space="preserve">الصوت</t>
  </si>
  <si>
    <t xml:space="preserve">ن5</t>
  </si>
  <si>
    <t xml:space="preserve">عند احتراق شمعة في وعاء مغلق، فإن الكتلة الكلية داخل الوعاء:</t>
  </si>
  <si>
    <t xml:space="preserve">تقل لأن الشمع يختفي</t>
  </si>
  <si>
    <t xml:space="preserve">تزداد لأن الغازات تتكون</t>
  </si>
  <si>
    <t xml:space="preserve">تبقى ثابتة وفق قانون حفظ الكتلة</t>
  </si>
  <si>
    <t xml:space="preserve">تتضاعف</t>
  </si>
  <si>
    <t xml:space="preserve">الكثافة:</t>
  </si>
  <si>
    <t xml:space="preserve">كتلة وحدة الحجوم</t>
  </si>
  <si>
    <t xml:space="preserve">حجم وحدة الكتل</t>
  </si>
  <si>
    <t xml:space="preserve">الوزن مضروباً في الحجم</t>
  </si>
  <si>
    <t xml:space="preserve">الكتلة مضروبة في الحجم</t>
  </si>
  <si>
    <t xml:space="preserve">ما نص قانون حفظ الكتلة؟</t>
  </si>
  <si>
    <t xml:space="preserve">الكتلة لا تفنى ولا تُستحدث في التفاعل الكيميائي</t>
  </si>
  <si>
    <t xml:space="preserve">الكتلة تزداد في التفاعل</t>
  </si>
  <si>
    <t xml:space="preserve">الكتلة تقل في التفاعل</t>
  </si>
  <si>
    <t xml:space="preserve">الكتلة تتغير حسب نوع التفاعل</t>
  </si>
  <si>
    <t xml:space="preserve">يغلي الماء النقي عند 100 درجة سيليزية في:</t>
  </si>
  <si>
    <t xml:space="preserve">كل الظروف وعلى أي ارتفاع</t>
  </si>
  <si>
    <t xml:space="preserve">قمم الجبال العالية فقط</t>
  </si>
  <si>
    <t xml:space="preserve">الأماكن المغلقة فقط</t>
  </si>
  <si>
    <t xml:space="preserve">درجات الحرارة المنخفضة</t>
  </si>
  <si>
    <t xml:space="preserve">ن6</t>
  </si>
  <si>
    <t xml:space="preserve">لديك مخلوط من برادة الحديد ومسحوق الكبريت. ما أنسب طريقة لفصلهما؟</t>
  </si>
  <si>
    <t xml:space="preserve">الترشيح</t>
  </si>
  <si>
    <t xml:space="preserve">استخدام مغناطيس</t>
  </si>
  <si>
    <t xml:space="preserve">التبخير</t>
  </si>
  <si>
    <t xml:space="preserve">التقطير</t>
  </si>
  <si>
    <t xml:space="preserve">القاعدة</t>
  </si>
  <si>
    <t xml:space="preserve">ف1</t>
  </si>
  <si>
    <t xml:space="preserve">ف2</t>
  </si>
  <si>
    <t xml:space="preserve">ف3</t>
  </si>
  <si>
    <t xml:space="preserve">ف4</t>
  </si>
  <si>
    <t xml:space="preserve">ف5</t>
  </si>
  <si>
    <t xml:space="preserve">ف6</t>
  </si>
  <si>
    <t xml:space="preserve">ف7</t>
  </si>
  <si>
    <t xml:space="preserve">ف8</t>
  </si>
  <si>
    <t xml:space="preserve">ف9</t>
  </si>
  <si>
    <t xml:space="preserve">ف10</t>
  </si>
  <si>
    <t xml:space="preserve">ف11</t>
  </si>
  <si>
    <t xml:space="preserve">ف12</t>
  </si>
  <si>
    <t xml:space="preserve">عدد الفقرات المخالفة</t>
  </si>
  <si>
    <t xml:space="preserve">1. الجذع سؤال كامل وواضح يمكن الإجابة عنه قبل قراءة البدائل</t>
  </si>
  <si>
    <t xml:space="preserve">2. للفقرة إجابة صحيحة واحدة فقط</t>
  </si>
  <si>
    <t xml:space="preserve">3. المفتاح صحيح علمياً</t>
  </si>
  <si>
    <t xml:space="preserve">4. كل المموهات معقولة لطالب لا يعرف الإجابة</t>
  </si>
  <si>
    <t xml:space="preserve">5. لا تلميحات لغوية أو نحوية تكشف الإجابة</t>
  </si>
  <si>
    <t xml:space="preserve">6. أطوال البدائل متقاربة</t>
  </si>
  <si>
    <t xml:space="preserve">7. لا تُستخدم «جميع ما سبق» أو «لا شيء مما سبق»</t>
  </si>
  <si>
    <t xml:space="preserve">8. النفي في الجذع مُبرز إن وُجد</t>
  </si>
  <si>
    <t xml:space="preserve">9. لا تتكرر كلمة مميزة من الجذع في المفتاح وحده</t>
  </si>
  <si>
    <t xml:space="preserve">10. المستوى المعرفي للفقرة يطابق المستوى المقصود</t>
  </si>
  <si>
    <t xml:space="preserve">عدد المخالفات في الفقرة</t>
  </si>
  <si>
    <t xml:space="preserve">القرار المقترح</t>
  </si>
  <si>
    <t xml:space="preserve">عدد الفقرات الصالحة</t>
  </si>
  <si>
    <t xml:space="preserve">أكثر القواعد مخالفة (رقم القاعدة)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</si>
</sst>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IBM Plex Sans Arabic"/>
      <family val="0"/>
      <charset val="1"/>
    </font>
    <font>
      <sz val="11"/>
      <name val="IBM Plex Sans Arabic"/>
      <family val="0"/>
      <charset val="1"/>
    </font>
    <font>
      <b val="true"/>
      <sz val="11"/>
      <name val="IBM Plex Sans Arabic"/>
      <family val="0"/>
      <charset val="1"/>
    </font>
    <font>
      <b val="true"/>
      <sz val="11"/>
      <color rgb="FFFFFFFF"/>
      <name val="IBM Plex Sans Arabic"/>
      <family val="0"/>
      <charset val="1"/>
    </font>
    <font>
      <sz val="10"/>
      <name val="FreeSan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9" hidden="false" customHeight="false" outlineLevel="0" collapsed="false">
      <c r="A4" s="3" t="s">
        <v>2</v>
      </c>
    </row>
    <row r="5" customFormat="false" ht="17.9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7.9" hidden="false" customHeight="false" outlineLevel="0" collapsed="false">
      <c r="A7" s="3" t="s">
        <v>4</v>
      </c>
    </row>
    <row r="8" customFormat="false" ht="17.9" hidden="false" customHeight="false" outlineLevel="0" collapsed="false">
      <c r="A8" s="2" t="s">
        <v>5</v>
      </c>
    </row>
    <row r="9" customFormat="false" ht="17.9" hidden="false" customHeight="false" outlineLevel="0" collapsed="false">
      <c r="A9" s="2" t="s">
        <v>6</v>
      </c>
    </row>
    <row r="10" customFormat="false" ht="17.9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7.9" hidden="false" customHeight="false" outlineLevel="0" collapsed="false">
      <c r="A12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8" min="5" style="0" width="26"/>
    <col collapsed="false" customWidth="true" hidden="false" outlineLevel="0" max="9" min="9" style="0" width="12"/>
  </cols>
  <sheetData>
    <row r="1" customFormat="false" ht="34.3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</row>
    <row r="2" customFormat="false" ht="17.9" hidden="false" customHeight="false" outlineLevel="0" collapsed="false">
      <c r="A2" s="5" t="n">
        <v>1</v>
      </c>
      <c r="B2" s="5" t="s">
        <v>18</v>
      </c>
      <c r="C2" s="5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5" t="s">
        <v>15</v>
      </c>
    </row>
    <row r="3" customFormat="false" ht="17.9" hidden="false" customHeight="false" outlineLevel="0" collapsed="false">
      <c r="A3" s="5" t="n">
        <v>2</v>
      </c>
      <c r="B3" s="5" t="s">
        <v>25</v>
      </c>
      <c r="C3" s="5" t="s">
        <v>19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5" t="s">
        <v>14</v>
      </c>
    </row>
    <row r="4" customFormat="false" ht="34.3" hidden="false" customHeight="false" outlineLevel="0" collapsed="false">
      <c r="A4" s="5" t="n">
        <v>3</v>
      </c>
      <c r="B4" s="5" t="s">
        <v>31</v>
      </c>
      <c r="C4" s="5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5" t="s">
        <v>14</v>
      </c>
    </row>
    <row r="5" customFormat="false" ht="17.9" hidden="false" customHeight="false" outlineLevel="0" collapsed="false">
      <c r="A5" s="5" t="n">
        <v>4</v>
      </c>
      <c r="B5" s="5" t="s">
        <v>18</v>
      </c>
      <c r="C5" s="5" t="s">
        <v>19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5" t="s">
        <v>16</v>
      </c>
    </row>
    <row r="6" customFormat="false" ht="17.9" hidden="false" customHeight="false" outlineLevel="0" collapsed="false">
      <c r="A6" s="5" t="n">
        <v>5</v>
      </c>
      <c r="B6" s="5" t="s">
        <v>18</v>
      </c>
      <c r="C6" s="5" t="s">
        <v>19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5" t="s">
        <v>15</v>
      </c>
    </row>
    <row r="7" customFormat="false" ht="34.3" hidden="false" customHeight="false" outlineLevel="0" collapsed="false">
      <c r="A7" s="5" t="n">
        <v>6</v>
      </c>
      <c r="B7" s="5" t="s">
        <v>48</v>
      </c>
      <c r="C7" s="5" t="s">
        <v>32</v>
      </c>
      <c r="D7" s="6" t="s">
        <v>49</v>
      </c>
      <c r="E7" s="6" t="s">
        <v>50</v>
      </c>
      <c r="F7" s="6" t="s">
        <v>51</v>
      </c>
      <c r="G7" s="6" t="s">
        <v>52</v>
      </c>
      <c r="H7" s="6" t="s">
        <v>53</v>
      </c>
      <c r="I7" s="5" t="s">
        <v>13</v>
      </c>
    </row>
    <row r="8" customFormat="false" ht="17.9" hidden="false" customHeight="false" outlineLevel="0" collapsed="false">
      <c r="A8" s="5" t="n">
        <v>7</v>
      </c>
      <c r="B8" s="5" t="s">
        <v>31</v>
      </c>
      <c r="C8" s="5" t="s">
        <v>19</v>
      </c>
      <c r="D8" s="6" t="s">
        <v>54</v>
      </c>
      <c r="E8" s="6" t="s">
        <v>55</v>
      </c>
      <c r="F8" s="6" t="s">
        <v>56</v>
      </c>
      <c r="G8" s="6" t="s">
        <v>57</v>
      </c>
      <c r="H8" s="6" t="s">
        <v>58</v>
      </c>
      <c r="I8" s="5" t="s">
        <v>13</v>
      </c>
    </row>
    <row r="9" customFormat="false" ht="17.9" hidden="false" customHeight="false" outlineLevel="0" collapsed="false">
      <c r="A9" s="5" t="n">
        <v>8</v>
      </c>
      <c r="B9" s="5" t="s">
        <v>59</v>
      </c>
      <c r="C9" s="5" t="s">
        <v>32</v>
      </c>
      <c r="D9" s="6" t="s">
        <v>60</v>
      </c>
      <c r="E9" s="6" t="s">
        <v>61</v>
      </c>
      <c r="F9" s="6" t="s">
        <v>62</v>
      </c>
      <c r="G9" s="6" t="s">
        <v>63</v>
      </c>
      <c r="H9" s="6" t="s">
        <v>64</v>
      </c>
      <c r="I9" s="5" t="s">
        <v>15</v>
      </c>
    </row>
    <row r="10" customFormat="false" ht="17.9" hidden="false" customHeight="false" outlineLevel="0" collapsed="false">
      <c r="A10" s="5" t="n">
        <v>9</v>
      </c>
      <c r="B10" s="5" t="s">
        <v>48</v>
      </c>
      <c r="C10" s="5" t="s">
        <v>19</v>
      </c>
      <c r="D10" s="6" t="s">
        <v>65</v>
      </c>
      <c r="E10" s="6" t="s">
        <v>66</v>
      </c>
      <c r="F10" s="6" t="s">
        <v>67</v>
      </c>
      <c r="G10" s="6" t="s">
        <v>68</v>
      </c>
      <c r="H10" s="6" t="s">
        <v>69</v>
      </c>
      <c r="I10" s="5" t="s">
        <v>13</v>
      </c>
    </row>
    <row r="11" customFormat="false" ht="34.3" hidden="false" customHeight="false" outlineLevel="0" collapsed="false">
      <c r="A11" s="5" t="n">
        <v>10</v>
      </c>
      <c r="B11" s="5" t="s">
        <v>59</v>
      </c>
      <c r="C11" s="5" t="s">
        <v>32</v>
      </c>
      <c r="D11" s="6" t="s">
        <v>70</v>
      </c>
      <c r="E11" s="6" t="s">
        <v>71</v>
      </c>
      <c r="F11" s="6" t="s">
        <v>72</v>
      </c>
      <c r="G11" s="6" t="s">
        <v>73</v>
      </c>
      <c r="H11" s="6" t="s">
        <v>74</v>
      </c>
      <c r="I11" s="5" t="s">
        <v>13</v>
      </c>
    </row>
    <row r="12" customFormat="false" ht="17.9" hidden="false" customHeight="false" outlineLevel="0" collapsed="false">
      <c r="A12" s="5" t="n">
        <v>11</v>
      </c>
      <c r="B12" s="5" t="s">
        <v>31</v>
      </c>
      <c r="C12" s="5" t="s">
        <v>19</v>
      </c>
      <c r="D12" s="6" t="s">
        <v>75</v>
      </c>
      <c r="E12" s="6" t="s">
        <v>76</v>
      </c>
      <c r="F12" s="6" t="s">
        <v>77</v>
      </c>
      <c r="G12" s="6" t="s">
        <v>78</v>
      </c>
      <c r="H12" s="6" t="s">
        <v>79</v>
      </c>
      <c r="I12" s="5" t="s">
        <v>13</v>
      </c>
    </row>
    <row r="13" customFormat="false" ht="34.3" hidden="false" customHeight="false" outlineLevel="0" collapsed="false">
      <c r="A13" s="5" t="n">
        <v>12</v>
      </c>
      <c r="B13" s="5" t="s">
        <v>80</v>
      </c>
      <c r="C13" s="5" t="s">
        <v>32</v>
      </c>
      <c r="D13" s="6" t="s">
        <v>81</v>
      </c>
      <c r="E13" s="6" t="s">
        <v>82</v>
      </c>
      <c r="F13" s="6" t="s">
        <v>83</v>
      </c>
      <c r="G13" s="6" t="s">
        <v>84</v>
      </c>
      <c r="H13" s="6" t="s">
        <v>85</v>
      </c>
      <c r="I13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3" min="2" style="0" width="7"/>
    <col collapsed="false" customWidth="true" hidden="false" outlineLevel="0" max="14" min="14" style="0" width="12"/>
  </cols>
  <sheetData>
    <row r="1" customFormat="false" ht="34.3" hidden="false" customHeight="false" outlineLevel="0" collapsed="false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4" t="s">
        <v>97</v>
      </c>
      <c r="M1" s="4" t="s">
        <v>98</v>
      </c>
      <c r="N1" s="4" t="s">
        <v>99</v>
      </c>
    </row>
    <row r="2" customFormat="false" ht="17.9" hidden="false" customHeight="false" outlineLevel="0" collapsed="false">
      <c r="A2" s="6" t="s">
        <v>100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5" t="n">
        <f aca="false">SUM(B2:M2)</f>
        <v>0</v>
      </c>
    </row>
    <row r="3" customFormat="false" ht="17.9" hidden="false" customHeight="false" outlineLevel="0" collapsed="false">
      <c r="A3" s="6" t="s">
        <v>101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5" t="n">
        <f aca="false">SUM(B3:M3)</f>
        <v>0</v>
      </c>
    </row>
    <row r="4" customFormat="false" ht="17.9" hidden="false" customHeight="false" outlineLevel="0" collapsed="false">
      <c r="A4" s="6" t="s">
        <v>102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5" t="n">
        <f aca="false">SUM(B4:M4)</f>
        <v>0</v>
      </c>
    </row>
    <row r="5" customFormat="false" ht="17.9" hidden="false" customHeight="false" outlineLevel="0" collapsed="false">
      <c r="A5" s="6" t="s">
        <v>103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5" t="n">
        <f aca="false">SUM(B5:M5)</f>
        <v>0</v>
      </c>
    </row>
    <row r="6" customFormat="false" ht="17.9" hidden="false" customHeight="false" outlineLevel="0" collapsed="false">
      <c r="A6" s="6" t="s">
        <v>104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5" t="n">
        <f aca="false">SUM(B6:M6)</f>
        <v>0</v>
      </c>
    </row>
    <row r="7" customFormat="false" ht="17.9" hidden="false" customHeight="false" outlineLevel="0" collapsed="false">
      <c r="A7" s="6" t="s">
        <v>105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5" t="n">
        <f aca="false">SUM(B7:M7)</f>
        <v>0</v>
      </c>
    </row>
    <row r="8" customFormat="false" ht="17.9" hidden="false" customHeight="false" outlineLevel="0" collapsed="false">
      <c r="A8" s="6" t="s">
        <v>106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5" t="n">
        <f aca="false">SUM(B8:M8)</f>
        <v>0</v>
      </c>
    </row>
    <row r="9" customFormat="false" ht="17.9" hidden="false" customHeight="false" outlineLevel="0" collapsed="false">
      <c r="A9" s="6" t="s">
        <v>107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5" t="n">
        <f aca="false">SUM(B9:M9)</f>
        <v>0</v>
      </c>
    </row>
    <row r="10" customFormat="false" ht="17.9" hidden="false" customHeight="false" outlineLevel="0" collapsed="false">
      <c r="A10" s="6" t="s">
        <v>108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5" t="n">
        <f aca="false">SUM(B10:M10)</f>
        <v>0</v>
      </c>
    </row>
    <row r="11" customFormat="false" ht="17.9" hidden="false" customHeight="false" outlineLevel="0" collapsed="false">
      <c r="A11" s="6" t="s">
        <v>109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5" t="n">
        <f aca="false">SUM(B11:M11)</f>
        <v>0</v>
      </c>
    </row>
    <row r="12" customFormat="false" ht="17.9" hidden="false" customHeight="false" outlineLevel="0" collapsed="false">
      <c r="A12" s="3" t="s">
        <v>110</v>
      </c>
      <c r="B12" s="8" t="n">
        <f aca="false">SUM(B2:B11)</f>
        <v>0</v>
      </c>
      <c r="C12" s="8" t="n">
        <f aca="false">SUM(C2:C11)</f>
        <v>0</v>
      </c>
      <c r="D12" s="8" t="n">
        <f aca="false">SUM(D2:D11)</f>
        <v>0</v>
      </c>
      <c r="E12" s="8" t="n">
        <f aca="false">SUM(E2:E11)</f>
        <v>0</v>
      </c>
      <c r="F12" s="8" t="n">
        <f aca="false">SUM(F2:F11)</f>
        <v>0</v>
      </c>
      <c r="G12" s="8" t="n">
        <f aca="false">SUM(G2:G11)</f>
        <v>0</v>
      </c>
      <c r="H12" s="8" t="n">
        <f aca="false">SUM(H2:H11)</f>
        <v>0</v>
      </c>
      <c r="I12" s="8" t="n">
        <f aca="false">SUM(I2:I11)</f>
        <v>0</v>
      </c>
      <c r="J12" s="8" t="n">
        <f aca="false">SUM(J2:J11)</f>
        <v>0</v>
      </c>
      <c r="K12" s="8" t="n">
        <f aca="false">SUM(K2:K11)</f>
        <v>0</v>
      </c>
      <c r="L12" s="8" t="n">
        <f aca="false">SUM(L2:L11)</f>
        <v>0</v>
      </c>
      <c r="M12" s="8" t="n">
        <f aca="false">SUM(M2:M11)</f>
        <v>0</v>
      </c>
    </row>
    <row r="13" customFormat="false" ht="17.9" hidden="false" customHeight="false" outlineLevel="0" collapsed="false">
      <c r="A13" s="3" t="s">
        <v>111</v>
      </c>
      <c r="B13" s="9" t="str">
        <f aca="false">IF(B12=0,"صالحة",IF(OR(B3=1,B4=1),"تُستبعد أو يُعاد بناؤها","تُعدَّل"))</f>
        <v>صالحة</v>
      </c>
      <c r="C13" s="9" t="str">
        <f aca="false">IF(C12=0,"صالحة",IF(OR(C3=1,C4=1),"تُستبعد أو يُعاد بناؤها","تُعدَّل"))</f>
        <v>صالحة</v>
      </c>
      <c r="D13" s="9" t="str">
        <f aca="false">IF(D12=0,"صالحة",IF(OR(D3=1,D4=1),"تُستبعد أو يُعاد بناؤها","تُعدَّل"))</f>
        <v>صالحة</v>
      </c>
      <c r="E13" s="9" t="str">
        <f aca="false">IF(E12=0,"صالحة",IF(OR(E3=1,E4=1),"تُستبعد أو يُعاد بناؤها","تُعدَّل"))</f>
        <v>صالحة</v>
      </c>
      <c r="F13" s="9" t="str">
        <f aca="false">IF(F12=0,"صالحة",IF(OR(F3=1,F4=1),"تُستبعد أو يُعاد بناؤها","تُعدَّل"))</f>
        <v>صالحة</v>
      </c>
      <c r="G13" s="9" t="str">
        <f aca="false">IF(G12=0,"صالحة",IF(OR(G3=1,G4=1),"تُستبعد أو يُعاد بناؤها","تُعدَّل"))</f>
        <v>صالحة</v>
      </c>
      <c r="H13" s="9" t="str">
        <f aca="false">IF(H12=0,"صالحة",IF(OR(H3=1,H4=1),"تُستبعد أو يُعاد بناؤها","تُعدَّل"))</f>
        <v>صالحة</v>
      </c>
      <c r="I13" s="9" t="str">
        <f aca="false">IF(I12=0,"صالحة",IF(OR(I3=1,I4=1),"تُستبعد أو يُعاد بناؤها","تُعدَّل"))</f>
        <v>صالحة</v>
      </c>
      <c r="J13" s="9" t="str">
        <f aca="false">IF(J12=0,"صالحة",IF(OR(J3=1,J4=1),"تُستبعد أو يُعاد بناؤها","تُعدَّل"))</f>
        <v>صالحة</v>
      </c>
      <c r="K13" s="9" t="str">
        <f aca="false">IF(K12=0,"صالحة",IF(OR(K3=1,K4=1),"تُستبعد أو يُعاد بناؤها","تُعدَّل"))</f>
        <v>صالحة</v>
      </c>
      <c r="L13" s="9" t="str">
        <f aca="false">IF(L12=0,"صالحة",IF(OR(L3=1,L4=1),"تُستبعد أو يُعاد بناؤها","تُعدَّل"))</f>
        <v>صالحة</v>
      </c>
      <c r="M13" s="9" t="str">
        <f aca="false">IF(M12=0,"صالحة",IF(OR(M3=1,M4=1),"تُستبعد أو يُعاد بناؤها","تُعدَّل"))</f>
        <v>صالحة</v>
      </c>
    </row>
    <row r="15" customFormat="false" ht="15" hidden="false" customHeight="false" outlineLevel="0" collapsed="false">
      <c r="A15" s="3" t="s">
        <v>112</v>
      </c>
      <c r="B15" s="10" t="n">
        <f aca="false">COUNTIF(B13:M13,"صالحة")</f>
        <v>12</v>
      </c>
    </row>
    <row r="16" customFormat="false" ht="17.9" hidden="false" customHeight="false" outlineLevel="0" collapsed="false">
      <c r="A16" s="3" t="s">
        <v>113</v>
      </c>
      <c r="B16" s="0" t="str">
        <f aca="false">IF(MAX(N2:N11)=0,"",MATCH(MAX(N2:N11),N2:N11,0))</f>
        <v/>
      </c>
    </row>
  </sheetData>
  <conditionalFormatting sqref="B13:M13">
    <cfRule type="expression" priority="2" aboveAverage="0" equalAverage="0" bottom="0" percent="0" rank="0" text="" dxfId="0">
      <formula>B13="صالحة"</formula>
    </cfRule>
    <cfRule type="expression" priority="3" aboveAverage="0" equalAverage="0" bottom="0" percent="0" rank="0" text="" dxfId="1">
      <formula>B13="تُعدَّل"</formula>
    </cfRule>
    <cfRule type="expression" priority="4" aboveAverage="0" equalAverage="0" bottom="0" percent="0" rank="0" text="" dxfId="2">
      <formula>LEFT(B13,4)="تُست"</formula>
    </cfRule>
  </conditionalFormatting>
  <dataValidations count="1">
    <dataValidation allowBlank="true" error="أدخل 1 للمخالفة أو اترك الخلية فارغة" errorStyle="stop" errorTitle="قيمة غير مقبولة" operator="between" showDropDown="false" showErrorMessage="false" showInputMessage="false" sqref="B2:M11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2026-10-05T15:44:15Z</dcterms:created>
  <dc:creator>openpyxl</dc:creator>
  <dc:description/>
  <dc:language>en-US</dc:language>
  <cp:lastModifiedBy/>
  <dcterms:modified xsi:type="dcterms:W3CDTF">2026-10-05T15:44:15Z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