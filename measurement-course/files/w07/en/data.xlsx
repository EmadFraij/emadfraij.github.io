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tem Bank" sheetId="2" state="visible" r:id="rId4"/>
    <sheet name="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3" authorId="0">
      <text>
        <r>
          <rPr>
            <sz val="10"/>
            <rFont val="Arial"/>
            <family val="2"/>
          </rPr>
          <t xml:space="preserve">Breaking Rule 2 (more than one correct answer) or Rule 3 (scientifically wrong key) is a fundamental flaw: the item is excluded or rebuilt. Otherwise it is revised.</t>
        </r>
      </text>
    </comment>
  </commentList>
</comments>
</file>

<file path=xl/sharedStrings.xml><?xml version="1.0" encoding="utf-8"?>
<sst xmlns="http://schemas.openxmlformats.org/spreadsheetml/2006/main" count="142" uniqueCount="114">
  <si>
    <t xml:space="preserve">Week 7 workshop — Reviewing machine-generated multiple-choice items</t>
  </si>
  <si>
    <t xml:space="preserve">Educational Measurement and Evaluation — Postgraduate Professional Diploma in Teaching</t>
  </si>
  <si>
    <t xml:space="preserve">Note: the items are a training sample written for the course to simulate the common flaws in items generated by AI tools.</t>
  </si>
  <si>
    <t xml:space="preserve">12 items for the Grade 8 unit "Matter and Its Changes"; each item has its intended outcome and cognitive level and a proposed key.</t>
  </si>
  <si>
    <t xml:space="preserve">Workbook sheets:</t>
  </si>
  <si>
    <t xml:space="preserve">Item Bank: the item texts, their options and their proposed keys.</t>
  </si>
  <si>
    <t xml:space="preserve">Checklist: ten rules for each item. Enter 1 if the item breaks the rule, and leave it blank if the item is sound.</t>
  </si>
  <si>
    <t xml:space="preserve">After checking, the following are calculated automatically: the number of violations per item, the most frequently broken rule, and the suggested decision.</t>
  </si>
  <si>
    <t xml:space="preserve">Note: check for yourself first, then compare with Claude's check. Do not rely on Claude to judge items Claude wrote.</t>
  </si>
  <si>
    <t xml:space="preserve">Item</t>
  </si>
  <si>
    <t xml:space="preserve">Outcome</t>
  </si>
  <si>
    <t xml:space="preserve">Intended level</t>
  </si>
  <si>
    <t xml:space="preserve">Stem</t>
  </si>
  <si>
    <t xml:space="preserve">A</t>
  </si>
  <si>
    <t xml:space="preserve">B</t>
  </si>
  <si>
    <t xml:space="preserve">C</t>
  </si>
  <si>
    <t xml:space="preserve">D</t>
  </si>
  <si>
    <t xml:space="preserve">Proposed key</t>
  </si>
  <si>
    <t xml:space="preserve">O1</t>
  </si>
  <si>
    <t xml:space="preserve">Knowing</t>
  </si>
  <si>
    <t xml:space="preserve">Which of the following is a chemical change?</t>
  </si>
  <si>
    <t xml:space="preserve">Water freezing</t>
  </si>
  <si>
    <t xml:space="preserve">Salt dissolving in water</t>
  </si>
  <si>
    <t xml:space="preserve">Paper burning</t>
  </si>
  <si>
    <t xml:space="preserve">Alcohol evaporating</t>
  </si>
  <si>
    <t xml:space="preserve">O4</t>
  </si>
  <si>
    <t xml:space="preserve">Signs that a chemical reaction has taken place include:</t>
  </si>
  <si>
    <t xml:space="preserve">a change of shape</t>
  </si>
  <si>
    <t xml:space="preserve">the appearance of gas bubbles and a change of colour</t>
  </si>
  <si>
    <t xml:space="preserve">a change of volume</t>
  </si>
  <si>
    <t xml:space="preserve">a change of state</t>
  </si>
  <si>
    <t xml:space="preserve">O2</t>
  </si>
  <si>
    <t xml:space="preserve">Applying</t>
  </si>
  <si>
    <t xml:space="preserve">Why does an iron rod expand when it is heated?</t>
  </si>
  <si>
    <t xml:space="preserve">Because its mass increases</t>
  </si>
  <si>
    <t xml:space="preserve">Because its particles vibrate faster, so the distances between them increase slightly</t>
  </si>
  <si>
    <t xml:space="preserve">Because its particles get bigger</t>
  </si>
  <si>
    <t xml:space="preserve">Because the iron melts</t>
  </si>
  <si>
    <t xml:space="preserve">Which of the following is a physical change?</t>
  </si>
  <si>
    <t xml:space="preserve">Ice melting</t>
  </si>
  <si>
    <t xml:space="preserve">Glass breaking</t>
  </si>
  <si>
    <t xml:space="preserve">Coffee being ground</t>
  </si>
  <si>
    <t xml:space="preserve">All of the above</t>
  </si>
  <si>
    <t xml:space="preserve">Which of the following is not a chemical change?</t>
  </si>
  <si>
    <t xml:space="preserve">Iron rusting</t>
  </si>
  <si>
    <t xml:space="preserve">Bread going mouldy</t>
  </si>
  <si>
    <t xml:space="preserve">Sugar dissolving in water</t>
  </si>
  <si>
    <t xml:space="preserve">Wood burning</t>
  </si>
  <si>
    <t xml:space="preserve">O3</t>
  </si>
  <si>
    <t xml:space="preserve">An object with a mass of 40 grams and a volume of 50 cubic centimetres is placed in water. What happens to it?</t>
  </si>
  <si>
    <t xml:space="preserve">It floats because its density is 0.8 grams per cubic centimetre</t>
  </si>
  <si>
    <t xml:space="preserve">It floats because its density is less than the density of water</t>
  </si>
  <si>
    <t xml:space="preserve">It sinks because its mass is large</t>
  </si>
  <si>
    <t xml:space="preserve">It sinks because its volume is large</t>
  </si>
  <si>
    <t xml:space="preserve">In which state are the particles of matter closely packed and vibrating in place?</t>
  </si>
  <si>
    <t xml:space="preserve">Solid</t>
  </si>
  <si>
    <t xml:space="preserve">A sweet</t>
  </si>
  <si>
    <t xml:space="preserve">Light</t>
  </si>
  <si>
    <t xml:space="preserve">Sound</t>
  </si>
  <si>
    <t xml:space="preserve">O5</t>
  </si>
  <si>
    <t xml:space="preserve">When a candle burns in a closed container, the total mass inside the container:</t>
  </si>
  <si>
    <t xml:space="preserve">decreases because the wax disappears</t>
  </si>
  <si>
    <t xml:space="preserve">increases because gases form</t>
  </si>
  <si>
    <t xml:space="preserve">stays constant according to the law of conservation of mass</t>
  </si>
  <si>
    <t xml:space="preserve">doubles</t>
  </si>
  <si>
    <t xml:space="preserve">Density:</t>
  </si>
  <si>
    <t xml:space="preserve">mass per unit volume</t>
  </si>
  <si>
    <t xml:space="preserve">volume per unit mass</t>
  </si>
  <si>
    <t xml:space="preserve">weight multiplied by volume</t>
  </si>
  <si>
    <t xml:space="preserve">mass multiplied by volume</t>
  </si>
  <si>
    <t xml:space="preserve">What is the statement of the law of conservation of mass?</t>
  </si>
  <si>
    <t xml:space="preserve">Mass is neither created nor destroyed in a chemical reaction</t>
  </si>
  <si>
    <t xml:space="preserve">Mass increases in a reaction</t>
  </si>
  <si>
    <t xml:space="preserve">Mass decreases in a reaction</t>
  </si>
  <si>
    <t xml:space="preserve">Mass changes according to the type of reaction</t>
  </si>
  <si>
    <t xml:space="preserve">Pure water boils at 100 degrees Celsius:</t>
  </si>
  <si>
    <t xml:space="preserve">under all conditions and at any altitude</t>
  </si>
  <si>
    <t xml:space="preserve">on high mountain peaks only</t>
  </si>
  <si>
    <t xml:space="preserve">in closed places only</t>
  </si>
  <si>
    <t xml:space="preserve">at low temperatures</t>
  </si>
  <si>
    <t xml:space="preserve">O6</t>
  </si>
  <si>
    <t xml:space="preserve">You have a mixture of iron filings and sulfur powder. What is the most suitable way to separate them?</t>
  </si>
  <si>
    <t xml:space="preserve">Filtration</t>
  </si>
  <si>
    <t xml:space="preserve">Using a magnet</t>
  </si>
  <si>
    <t xml:space="preserve">Evaporation</t>
  </si>
  <si>
    <t xml:space="preserve">Distillation</t>
  </si>
  <si>
    <t xml:space="preserve">Rule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</si>
  <si>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</si>
  <si>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</si>
  <si>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</si>
  <si>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</si>
  <si>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</si>
  <si>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I6</t>
  </si>
  <si>
    <t xml:space="preserve">I7</t>
  </si>
  <si>
    <t xml:space="preserve">I8</t>
  </si>
  <si>
    <t xml:space="preserve">I9</t>
  </si>
  <si>
    <t xml:space="preserve">I10</t>
  </si>
  <si>
    <t xml:space="preserve">I11</t>
  </si>
  <si>
    <t xml:space="preserve">I12</t>
  </si>
  <si>
    <t xml:space="preserve">Number of items breaking the rule</t>
  </si>
  <si>
    <t xml:space="preserve">1. The stem is a complete, clear question that can be answered before reading the options</t>
  </si>
  <si>
    <t xml:space="preserve">2. The item has only one correct answer</t>
  </si>
  <si>
    <t xml:space="preserve">3. The key is scientifically correct</t>
  </si>
  <si>
    <t xml:space="preserve">4. All distractors are plausible to a student who does not know the answer</t>
  </si>
  <si>
    <t xml:space="preserve">5. No linguistic or grammatical clues reveal the answer</t>
  </si>
  <si>
    <t xml:space="preserve">6. Option lengths are similar</t>
  </si>
  <si>
    <t xml:space="preserve">7. "All of the above" and "none of the above" are not used</t>
  </si>
  <si>
    <t xml:space="preserve">8. Any negative in the stem is highlighted</t>
  </si>
  <si>
    <t xml:space="preserve">9. A distinctive word from the stem is not repeated in the key alone</t>
  </si>
  <si>
    <t xml:space="preserve">10. The item's cognitive level matches the intended level</t>
  </si>
  <si>
    <t xml:space="preserve">Number of violations in the item</t>
  </si>
  <si>
    <t xml:space="preserve">Suggested decision</t>
  </si>
  <si>
    <t xml:space="preserve">Number of valid items</t>
  </si>
  <si>
    <t xml:space="preserve">Most frequently broken rule (rule number)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</si>
</sst>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8" min="5" style="0" width="26"/>
    <col collapsed="false" customWidth="true" hidden="false" outlineLevel="0" max="9" min="9" style="0" width="12"/>
  </cols>
  <sheetData>
    <row r="1" customFormat="false" ht="28.3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</row>
    <row r="2" customFormat="false" ht="15" hidden="false" customHeight="false" outlineLevel="0" collapsed="false">
      <c r="A2" s="5" t="n">
        <v>1</v>
      </c>
      <c r="B2" s="5" t="s">
        <v>18</v>
      </c>
      <c r="C2" s="5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5" t="s">
        <v>15</v>
      </c>
    </row>
    <row r="3" customFormat="false" ht="41.75" hidden="false" customHeight="false" outlineLevel="0" collapsed="false">
      <c r="A3" s="5" t="n">
        <v>2</v>
      </c>
      <c r="B3" s="5" t="s">
        <v>25</v>
      </c>
      <c r="C3" s="5" t="s">
        <v>19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5" t="s">
        <v>14</v>
      </c>
    </row>
    <row r="4" customFormat="false" ht="55.2" hidden="false" customHeight="false" outlineLevel="0" collapsed="false">
      <c r="A4" s="5" t="n">
        <v>3</v>
      </c>
      <c r="B4" s="5" t="s">
        <v>31</v>
      </c>
      <c r="C4" s="5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5" t="s">
        <v>14</v>
      </c>
    </row>
    <row r="5" customFormat="false" ht="15" hidden="false" customHeight="false" outlineLevel="0" collapsed="false">
      <c r="A5" s="5" t="n">
        <v>4</v>
      </c>
      <c r="B5" s="5" t="s">
        <v>18</v>
      </c>
      <c r="C5" s="5" t="s">
        <v>19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5" t="s">
        <v>16</v>
      </c>
    </row>
    <row r="6" customFormat="false" ht="15" hidden="false" customHeight="false" outlineLevel="0" collapsed="false">
      <c r="A6" s="5" t="n">
        <v>5</v>
      </c>
      <c r="B6" s="5" t="s">
        <v>18</v>
      </c>
      <c r="C6" s="5" t="s">
        <v>19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5" t="s">
        <v>15</v>
      </c>
    </row>
    <row r="7" customFormat="false" ht="41.75" hidden="false" customHeight="false" outlineLevel="0" collapsed="false">
      <c r="A7" s="5" t="n">
        <v>6</v>
      </c>
      <c r="B7" s="5" t="s">
        <v>48</v>
      </c>
      <c r="C7" s="5" t="s">
        <v>32</v>
      </c>
      <c r="D7" s="6" t="s">
        <v>49</v>
      </c>
      <c r="E7" s="6" t="s">
        <v>50</v>
      </c>
      <c r="F7" s="6" t="s">
        <v>51</v>
      </c>
      <c r="G7" s="6" t="s">
        <v>52</v>
      </c>
      <c r="H7" s="6" t="s">
        <v>53</v>
      </c>
      <c r="I7" s="5" t="s">
        <v>13</v>
      </c>
    </row>
    <row r="8" customFormat="false" ht="28.35" hidden="false" customHeight="false" outlineLevel="0" collapsed="false">
      <c r="A8" s="5" t="n">
        <v>7</v>
      </c>
      <c r="B8" s="5" t="s">
        <v>31</v>
      </c>
      <c r="C8" s="5" t="s">
        <v>19</v>
      </c>
      <c r="D8" s="6" t="s">
        <v>54</v>
      </c>
      <c r="E8" s="6" t="s">
        <v>55</v>
      </c>
      <c r="F8" s="6" t="s">
        <v>56</v>
      </c>
      <c r="G8" s="6" t="s">
        <v>57</v>
      </c>
      <c r="H8" s="6" t="s">
        <v>58</v>
      </c>
      <c r="I8" s="5" t="s">
        <v>13</v>
      </c>
    </row>
    <row r="9" customFormat="false" ht="41.75" hidden="false" customHeight="false" outlineLevel="0" collapsed="false">
      <c r="A9" s="5" t="n">
        <v>8</v>
      </c>
      <c r="B9" s="5" t="s">
        <v>59</v>
      </c>
      <c r="C9" s="5" t="s">
        <v>32</v>
      </c>
      <c r="D9" s="6" t="s">
        <v>60</v>
      </c>
      <c r="E9" s="6" t="s">
        <v>61</v>
      </c>
      <c r="F9" s="6" t="s">
        <v>62</v>
      </c>
      <c r="G9" s="6" t="s">
        <v>63</v>
      </c>
      <c r="H9" s="6" t="s">
        <v>64</v>
      </c>
      <c r="I9" s="5" t="s">
        <v>15</v>
      </c>
    </row>
    <row r="10" customFormat="false" ht="15" hidden="false" customHeight="false" outlineLevel="0" collapsed="false">
      <c r="A10" s="5" t="n">
        <v>9</v>
      </c>
      <c r="B10" s="5" t="s">
        <v>48</v>
      </c>
      <c r="C10" s="5" t="s">
        <v>19</v>
      </c>
      <c r="D10" s="6" t="s">
        <v>65</v>
      </c>
      <c r="E10" s="6" t="s">
        <v>66</v>
      </c>
      <c r="F10" s="6" t="s">
        <v>67</v>
      </c>
      <c r="G10" s="6" t="s">
        <v>68</v>
      </c>
      <c r="H10" s="6" t="s">
        <v>69</v>
      </c>
      <c r="I10" s="5" t="s">
        <v>13</v>
      </c>
    </row>
    <row r="11" customFormat="false" ht="41.75" hidden="false" customHeight="false" outlineLevel="0" collapsed="false">
      <c r="A11" s="5" t="n">
        <v>10</v>
      </c>
      <c r="B11" s="5" t="s">
        <v>59</v>
      </c>
      <c r="C11" s="5" t="s">
        <v>32</v>
      </c>
      <c r="D11" s="6" t="s">
        <v>70</v>
      </c>
      <c r="E11" s="6" t="s">
        <v>71</v>
      </c>
      <c r="F11" s="6" t="s">
        <v>72</v>
      </c>
      <c r="G11" s="6" t="s">
        <v>73</v>
      </c>
      <c r="H11" s="6" t="s">
        <v>74</v>
      </c>
      <c r="I11" s="5" t="s">
        <v>13</v>
      </c>
    </row>
    <row r="12" customFormat="false" ht="28.35" hidden="false" customHeight="false" outlineLevel="0" collapsed="false">
      <c r="A12" s="5" t="n">
        <v>11</v>
      </c>
      <c r="B12" s="5" t="s">
        <v>31</v>
      </c>
      <c r="C12" s="5" t="s">
        <v>19</v>
      </c>
      <c r="D12" s="6" t="s">
        <v>75</v>
      </c>
      <c r="E12" s="6" t="s">
        <v>76</v>
      </c>
      <c r="F12" s="6" t="s">
        <v>77</v>
      </c>
      <c r="G12" s="6" t="s">
        <v>78</v>
      </c>
      <c r="H12" s="6" t="s">
        <v>79</v>
      </c>
      <c r="I12" s="5" t="s">
        <v>13</v>
      </c>
    </row>
    <row r="13" customFormat="false" ht="28.35" hidden="false" customHeight="false" outlineLevel="0" collapsed="false">
      <c r="A13" s="5" t="n">
        <v>12</v>
      </c>
      <c r="B13" s="5" t="s">
        <v>80</v>
      </c>
      <c r="C13" s="5" t="s">
        <v>32</v>
      </c>
      <c r="D13" s="6" t="s">
        <v>81</v>
      </c>
      <c r="E13" s="6" t="s">
        <v>82</v>
      </c>
      <c r="F13" s="6" t="s">
        <v>83</v>
      </c>
      <c r="G13" s="6" t="s">
        <v>84</v>
      </c>
      <c r="H13" s="6" t="s">
        <v>85</v>
      </c>
      <c r="I13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3" min="2" style="0" width="7"/>
    <col collapsed="false" customWidth="true" hidden="false" outlineLevel="0" max="14" min="14" style="0" width="12"/>
  </cols>
  <sheetData>
    <row r="1" customFormat="false" ht="55.2" hidden="false" customHeight="false" outlineLevel="0" collapsed="false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4" t="s">
        <v>97</v>
      </c>
      <c r="M1" s="4" t="s">
        <v>98</v>
      </c>
      <c r="N1" s="4" t="s">
        <v>99</v>
      </c>
    </row>
    <row r="2" customFormat="false" ht="28.35" hidden="false" customHeight="false" outlineLevel="0" collapsed="false">
      <c r="A2" s="6" t="s">
        <v>100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5" t="n">
        <f aca="false">SUM(B2:M2)</f>
        <v>0</v>
      </c>
    </row>
    <row r="3" customFormat="false" ht="15" hidden="false" customHeight="false" outlineLevel="0" collapsed="false">
      <c r="A3" s="6" t="s">
        <v>101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5" t="n">
        <f aca="false">SUM(B3:M3)</f>
        <v>0</v>
      </c>
    </row>
    <row r="4" customFormat="false" ht="15" hidden="false" customHeight="false" outlineLevel="0" collapsed="false">
      <c r="A4" s="6" t="s">
        <v>102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" t="n">
        <f aca="false">SUM(B4:M4)</f>
        <v>0</v>
      </c>
    </row>
    <row r="5" customFormat="false" ht="28.35" hidden="false" customHeight="false" outlineLevel="0" collapsed="false">
      <c r="A5" s="6" t="s">
        <v>103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5" t="n">
        <f aca="false">SUM(B5:M5)</f>
        <v>0</v>
      </c>
    </row>
    <row r="6" customFormat="false" ht="15" hidden="false" customHeight="false" outlineLevel="0" collapsed="false">
      <c r="A6" s="6" t="s">
        <v>104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5" t="n">
        <f aca="false">SUM(B6:M6)</f>
        <v>0</v>
      </c>
    </row>
    <row r="7" customFormat="false" ht="15" hidden="false" customHeight="false" outlineLevel="0" collapsed="false">
      <c r="A7" s="6" t="s">
        <v>105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5" t="n">
        <f aca="false">SUM(B7:M7)</f>
        <v>0</v>
      </c>
    </row>
    <row r="8" customFormat="false" ht="15" hidden="false" customHeight="false" outlineLevel="0" collapsed="false">
      <c r="A8" s="6" t="s">
        <v>106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5" t="n">
        <f aca="false">SUM(B8:M8)</f>
        <v>0</v>
      </c>
    </row>
    <row r="9" customFormat="false" ht="15" hidden="false" customHeight="false" outlineLevel="0" collapsed="false">
      <c r="A9" s="6" t="s">
        <v>107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5" t="n">
        <f aca="false">SUM(B9:M9)</f>
        <v>0</v>
      </c>
    </row>
    <row r="10" customFormat="false" ht="15" hidden="false" customHeight="false" outlineLevel="0" collapsed="false">
      <c r="A10" s="6" t="s">
        <v>108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5" t="n">
        <f aca="false">SUM(B10:M10)</f>
        <v>0</v>
      </c>
    </row>
    <row r="11" customFormat="false" ht="15" hidden="false" customHeight="false" outlineLevel="0" collapsed="false">
      <c r="A11" s="6" t="s">
        <v>109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5" t="n">
        <f aca="false">SUM(B11:M11)</f>
        <v>0</v>
      </c>
    </row>
    <row r="12" customFormat="false" ht="15" hidden="false" customHeight="false" outlineLevel="0" collapsed="false">
      <c r="A12" s="3" t="s">
        <v>110</v>
      </c>
      <c r="B12" s="8" t="n">
        <f aca="false">SUM(B2:B11)</f>
        <v>0</v>
      </c>
      <c r="C12" s="8" t="n">
        <f aca="false">SUM(C2:C11)</f>
        <v>0</v>
      </c>
      <c r="D12" s="8" t="n">
        <f aca="false">SUM(D2:D11)</f>
        <v>0</v>
      </c>
      <c r="E12" s="8" t="n">
        <f aca="false">SUM(E2:E11)</f>
        <v>0</v>
      </c>
      <c r="F12" s="8" t="n">
        <f aca="false">SUM(F2:F11)</f>
        <v>0</v>
      </c>
      <c r="G12" s="8" t="n">
        <f aca="false">SUM(G2:G11)</f>
        <v>0</v>
      </c>
      <c r="H12" s="8" t="n">
        <f aca="false">SUM(H2:H11)</f>
        <v>0</v>
      </c>
      <c r="I12" s="8" t="n">
        <f aca="false">SUM(I2:I11)</f>
        <v>0</v>
      </c>
      <c r="J12" s="8" t="n">
        <f aca="false">SUM(J2:J11)</f>
        <v>0</v>
      </c>
      <c r="K12" s="8" t="n">
        <f aca="false">SUM(K2:K11)</f>
        <v>0</v>
      </c>
      <c r="L12" s="8" t="n">
        <f aca="false">SUM(L2:L11)</f>
        <v>0</v>
      </c>
      <c r="M12" s="8" t="n">
        <f aca="false">SUM(M2:M11)</f>
        <v>0</v>
      </c>
    </row>
    <row r="13" customFormat="false" ht="15" hidden="false" customHeight="false" outlineLevel="0" collapsed="false">
      <c r="A13" s="3" t="s">
        <v>111</v>
      </c>
      <c r="B13" s="9" t="str">
        <f aca="false">IF(B12=0,"Valid",IF(OR(B3=1,B4=1),"Exclude or rebuild","Revise"))</f>
        <v>Valid</v>
      </c>
      <c r="C13" s="9" t="str">
        <f aca="false">IF(C12=0,"Valid",IF(OR(C3=1,C4=1),"Exclude or rebuild","Revise"))</f>
        <v>Valid</v>
      </c>
      <c r="D13" s="9" t="str">
        <f aca="false">IF(D12=0,"Valid",IF(OR(D3=1,D4=1),"Exclude or rebuild","Revise"))</f>
        <v>Valid</v>
      </c>
      <c r="E13" s="9" t="str">
        <f aca="false">IF(E12=0,"Valid",IF(OR(E3=1,E4=1),"Exclude or rebuild","Revise"))</f>
        <v>Valid</v>
      </c>
      <c r="F13" s="9" t="str">
        <f aca="false">IF(F12=0,"Valid",IF(OR(F3=1,F4=1),"Exclude or rebuild","Revise"))</f>
        <v>Valid</v>
      </c>
      <c r="G13" s="9" t="str">
        <f aca="false">IF(G12=0,"Valid",IF(OR(G3=1,G4=1),"Exclude or rebuild","Revise"))</f>
        <v>Valid</v>
      </c>
      <c r="H13" s="9" t="str">
        <f aca="false">IF(H12=0,"Valid",IF(OR(H3=1,H4=1),"Exclude or rebuild","Revise"))</f>
        <v>Valid</v>
      </c>
      <c r="I13" s="9" t="str">
        <f aca="false">IF(I12=0,"Valid",IF(OR(I3=1,I4=1),"Exclude or rebuild","Revise"))</f>
        <v>Valid</v>
      </c>
      <c r="J13" s="9" t="str">
        <f aca="false">IF(J12=0,"Valid",IF(OR(J3=1,J4=1),"Exclude or rebuild","Revise"))</f>
        <v>Valid</v>
      </c>
      <c r="K13" s="9" t="str">
        <f aca="false">IF(K12=0,"Valid",IF(OR(K3=1,K4=1),"Exclude or rebuild","Revise"))</f>
        <v>Valid</v>
      </c>
      <c r="L13" s="9" t="str">
        <f aca="false">IF(L12=0,"Valid",IF(OR(L3=1,L4=1),"Exclude or rebuild","Revise"))</f>
        <v>Valid</v>
      </c>
      <c r="M13" s="9" t="str">
        <f aca="false">IF(M12=0,"Valid",IF(OR(M3=1,M4=1),"Exclude or rebuild","Revise"))</f>
        <v>Valid</v>
      </c>
    </row>
    <row r="15" customFormat="false" ht="15" hidden="false" customHeight="false" outlineLevel="0" collapsed="false">
      <c r="A15" s="3" t="s">
        <v>112</v>
      </c>
      <c r="B15" s="10" t="n">
        <f aca="false">COUNTIF(B13:M13,"Valid")</f>
        <v>12</v>
      </c>
    </row>
    <row r="16" customFormat="false" ht="15" hidden="false" customHeight="false" outlineLevel="0" collapsed="false">
      <c r="A16" s="3" t="s">
        <v>113</v>
      </c>
      <c r="B16" s="0" t="str">
        <f aca="false">IF(MAX(N2:N11)=0,"",MATCH(MAX(N2:N11),N2:N11,0))</f>
        <v/>
      </c>
    </row>
  </sheetData>
  <conditionalFormatting sqref="B13:M13">
    <cfRule type="expression" priority="2" aboveAverage="0" equalAverage="0" bottom="0" percent="0" rank="0" text="" dxfId="0">
      <formula>B13="Valid"</formula>
    </cfRule>
    <cfRule type="expression" priority="3" aboveAverage="0" equalAverage="0" bottom="0" percent="0" rank="0" text="" dxfId="1">
      <formula>B13="Revise"</formula>
    </cfRule>
    <cfRule type="expression" priority="4" aboveAverage="0" equalAverage="0" bottom="0" percent="0" rank="0" text="" dxfId="2">
      <formula>LEFT(B13,4)="Excl"</formula>
    </cfRule>
  </conditionalFormatting>
  <dataValidations count="1">
    <dataValidation allowBlank="true" error="Enter 1 for a violation or leave the cell blank" errorStyle="stop" errorTitle="Invalid value" operator="between" showDropDown="false" showErrorMessage="false" showInputMessage="false" sqref="B2:M11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2026-10-15T03:53:41Z</dcterms:created>
  <dc:creator>openpyxl</dc:creator>
  <dc:description/>
  <dc:language>en-US</dc:language>
  <cp:lastModifiedBy/>
  <dcterms:modified xsi:type="dcterms:W3CDTF">2026-10-15T03:53:41Z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