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قرأني" sheetId="1" state="visible" r:id="rId3"/>
    <sheet name="مثال محلول" sheetId="2" state="visible" r:id="rId4"/>
    <sheet name="قالبك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FreeSans"/>
            <family val="2"/>
          </rPr>
          <t xml:space="preserve">يُستخدم لاقتراح عدد الفقرات فقط: فقرة اختيار من متعدد = </t>
        </r>
        <r>
          <rPr>
            <sz val="10"/>
            <rFont val="Arial"/>
            <family val="2"/>
          </rPr>
          <t xml:space="preserve">1 درجة غالباً، والمقالية 3–4 درجات.</t>
        </r>
      </text>
    </comment>
    <comment ref="A6" authorId="0">
      <text>
        <r>
          <rPr>
            <sz val="10"/>
            <rFont val="FreeSans"/>
            <family val="2"/>
          </rPr>
          <t xml:space="preserve">القيم الافتراضية هي التوزيع الذي اعتمده معلم المثال. للمقارنة: إطار تيمس </t>
        </r>
        <r>
          <rPr>
            <sz val="10"/>
            <rFont val="Arial"/>
            <family val="2"/>
          </rPr>
          <t xml:space="preserve">2023 لعلوم الصف الثامن معرفة 35% وتطبيق 35% واستدلال 30%. عدّلها حسب منهجك وغرض اختبارك، بمبرر.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FreeSans"/>
            <family val="2"/>
          </rPr>
          <t xml:space="preserve">يُستخدم لاقتراح عدد الفقرات فقط: فقرة اختيار من متعدد = </t>
        </r>
        <r>
          <rPr>
            <sz val="10"/>
            <rFont val="Arial"/>
            <family val="2"/>
          </rPr>
          <t xml:space="preserve">1 درجة غالباً، والمقالية 3–4 درجات.</t>
        </r>
      </text>
    </comment>
    <comment ref="A6" authorId="0">
      <text>
        <r>
          <rPr>
            <sz val="10"/>
            <rFont val="FreeSans"/>
            <family val="2"/>
          </rPr>
          <t xml:space="preserve">القيم الافتراضية هي التوزيع الذي اعتمده معلم المثال. للمقارنة: إطار تيمس </t>
        </r>
        <r>
          <rPr>
            <sz val="10"/>
            <rFont val="Arial"/>
            <family val="2"/>
          </rPr>
          <t xml:space="preserve">2023 لعلوم الصف الثامن معرفة 35% وتطبيق 35% واستدلال 30%. عدّلها حسب منهجك وغرض اختبارك، بمبرر.</t>
        </r>
      </text>
    </comment>
  </commentList>
</comments>
</file>

<file path=xl/sharedStrings.xml><?xml version="1.0" encoding="utf-8"?>
<sst xmlns="http://schemas.openxmlformats.org/spreadsheetml/2006/main" count="64" uniqueCount="40">
  <si>
    <t xml:space="preserve">مشغل الأسبوع 6 — جدول المواصفات</t>
  </si>
  <si>
    <t xml:space="preserve">مساق القياس والتقويم التربوي — دبلوم الدراسات العليا المهني في التدريس</t>
  </si>
  <si>
    <t xml:space="preserve">ورقتان بالمعادلات نفسها:</t>
  </si>
  <si>
    <t xml:space="preserve">مثال محلول: جدول مواصفات لوحدة «المادة وتغيّراتها» للصف الثامن، يعالج مشكلات الاختبار الذي فحصناه في الأسبوع 3.</t>
  </si>
  <si>
    <t xml:space="preserve">قالبك: الورقة نفسها فارغة. أدخل نواتج وحدتك وعدد حصصها وأهميتها، وسيُحسب الجدول تلقائياً. هذا أساس المرحلة 1 من المشروع.</t>
  </si>
  <si>
    <t xml:space="preserve">طريقة الحساب:</t>
  </si>
  <si>
    <t xml:space="preserve">وزن الناتج = (عدد الحصص × الأهمية) ÷ مجموع (عدد الحصص × الأهمية) لكل النواتج.</t>
  </si>
  <si>
    <t xml:space="preserve">درجات الخلية = مجموع درجات الاختبار × وزن الناتج × وزن المستوى المعرفي، مقرّبة لأقرب عدد صحيح.</t>
  </si>
  <si>
    <t xml:space="preserve">التقريب قد يجعل المجموع أكبر أو أصغر من المطلوب بدرجة أو درجتين. الورقة تنبّهك، والقرار في توزيع الفرق لك.</t>
  </si>
  <si>
    <t xml:space="preserve">الخلايا الصفراء مدخلات. كل ما عداها معادلات حية.</t>
  </si>
  <si>
    <t xml:space="preserve">مثال محلول: وحدة «المادة وتغيّراتها» — الصف الثامن</t>
  </si>
  <si>
    <t xml:space="preserve">مجموع درجات الاختبار</t>
  </si>
  <si>
    <t xml:space="preserve">متوسط درجات الفقرة الواحدة</t>
  </si>
  <si>
    <t xml:space="preserve">أوزان المستويات المعرفية</t>
  </si>
  <si>
    <t xml:space="preserve">معرفة</t>
  </si>
  <si>
    <t xml:space="preserve">تطبيق</t>
  </si>
  <si>
    <t xml:space="preserve">استدلال</t>
  </si>
  <si>
    <t xml:space="preserve">المجموع</t>
  </si>
  <si>
    <t xml:space="preserve">الرمز</t>
  </si>
  <si>
    <t xml:space="preserve">ناتج التعلم</t>
  </si>
  <si>
    <t xml:space="preserve">عدد الحصص</t>
  </si>
  <si>
    <t xml:space="preserve">الأهمية (1–3)</t>
  </si>
  <si>
    <t xml:space="preserve">الوزن</t>
  </si>
  <si>
    <t xml:space="preserve">درجات الناتج</t>
  </si>
  <si>
    <t xml:space="preserve">عدد الفقرات المقترح</t>
  </si>
  <si>
    <t xml:space="preserve">ن1</t>
  </si>
  <si>
    <t xml:space="preserve">يميّز بين التغيرات الفيزيائية والتغيرات الكيميائية</t>
  </si>
  <si>
    <t xml:space="preserve">ن2</t>
  </si>
  <si>
    <t xml:space="preserve">يفسّر خصائص حالات المادة باستخدام نموذج الجسيمات</t>
  </si>
  <si>
    <t xml:space="preserve">ن3</t>
  </si>
  <si>
    <t xml:space="preserve">يحسب الكثافة ويستخدمها في تفسير الطفو</t>
  </si>
  <si>
    <t xml:space="preserve">ن4</t>
  </si>
  <si>
    <t xml:space="preserve">يحدد أدلة حدوث التفاعل الكيميائي</t>
  </si>
  <si>
    <t xml:space="preserve">ن5</t>
  </si>
  <si>
    <t xml:space="preserve">يطبّق قانون حفظ الكتلة على تفاعلات بسيطة</t>
  </si>
  <si>
    <t xml:space="preserve">ن6</t>
  </si>
  <si>
    <t xml:space="preserve">يخطط لفصل مكونات مخلوط بطرق مناسبة</t>
  </si>
  <si>
    <t xml:space="preserve">الوزن الفعلي للمستوى</t>
  </si>
  <si>
    <t xml:space="preserve">فحص المجموع</t>
  </si>
  <si>
    <t xml:space="preserve">قالبك: جدول مواصفات وحدتك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</si>
</sst>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IBM Plex Sans Arabic"/>
      <family val="0"/>
      <charset val="1"/>
    </font>
    <font>
      <sz val="11"/>
      <name val="IBM Plex Sans Arabic"/>
      <family val="0"/>
      <charset val="1"/>
    </font>
    <font>
      <b val="true"/>
      <sz val="11"/>
      <name val="IBM Plex Sans Arabic"/>
      <family val="0"/>
      <charset val="1"/>
    </font>
    <font>
      <sz val="11"/>
      <color theme="1"/>
      <name val="FreeSans"/>
      <family val="2"/>
    </font>
    <font>
      <sz val="11"/>
      <color rgb="FF0000FF"/>
      <name val="IBM Plex Sans Arabic"/>
      <family val="0"/>
      <charset val="1"/>
    </font>
    <font>
      <b val="true"/>
      <sz val="11"/>
      <color rgb="FFFFFFFF"/>
      <name val="IBM Plex Sans Arabic"/>
      <family val="0"/>
      <charset val="1"/>
    </font>
    <font>
      <sz val="11"/>
      <color rgb="FF595959"/>
      <name val="IBM Plex Sans Arabic"/>
      <family val="0"/>
      <charset val="1"/>
    </font>
    <font>
      <sz val="10"/>
      <name val="FreeSan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699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E6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7.9" hidden="false" customHeight="false" outlineLevel="0" collapsed="false">
      <c r="A4" s="3" t="s">
        <v>2</v>
      </c>
    </row>
    <row r="5" customFormat="false" ht="17.9" hidden="false" customHeight="false" outlineLevel="0" collapsed="false">
      <c r="A5" s="2" t="s">
        <v>3</v>
      </c>
    </row>
    <row r="6" customFormat="false" ht="17.9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7.9" hidden="false" customHeight="false" outlineLevel="0" collapsed="false">
      <c r="A8" s="3" t="s">
        <v>5</v>
      </c>
    </row>
    <row r="9" customFormat="false" ht="17.9" hidden="false" customHeight="false" outlineLevel="0" collapsed="false">
      <c r="A9" s="2" t="s">
        <v>6</v>
      </c>
    </row>
    <row r="10" customFormat="false" ht="17.9" hidden="false" customHeight="false" outlineLevel="0" collapsed="false">
      <c r="A10" s="2" t="s">
        <v>7</v>
      </c>
    </row>
    <row r="11" customFormat="false" ht="17.9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7.9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9" min="3" style="0" width="12"/>
    <col collapsed="false" customWidth="true" hidden="false" outlineLevel="0" max="10" min="10" style="0" width="18"/>
  </cols>
  <sheetData>
    <row r="1" customFormat="false" ht="20.1" hidden="false" customHeight="false" outlineLevel="0" collapsed="false">
      <c r="A1" s="1" t="s">
        <v>10</v>
      </c>
    </row>
    <row r="3" customFormat="false" ht="15" hidden="false" customHeight="false" outlineLevel="0" collapsed="false">
      <c r="A3" s="4" t="s">
        <v>11</v>
      </c>
      <c r="C3" s="5" t="n">
        <v>30</v>
      </c>
    </row>
    <row r="4" customFormat="false" ht="15" hidden="false" customHeight="false" outlineLevel="0" collapsed="false">
      <c r="A4" s="4" t="s">
        <v>12</v>
      </c>
      <c r="C4" s="5" t="n">
        <v>1.5</v>
      </c>
    </row>
    <row r="6" customFormat="false" ht="15" hidden="false" customHeight="false" outlineLevel="0" collapsed="false">
      <c r="A6" s="3" t="s">
        <v>13</v>
      </c>
    </row>
    <row r="7" customFormat="false" ht="15" hidden="false" customHeight="false" outlineLevel="0" collapsed="false">
      <c r="B7" s="3" t="s">
        <v>14</v>
      </c>
      <c r="C7" s="3" t="s">
        <v>15</v>
      </c>
      <c r="D7" s="3" t="s">
        <v>16</v>
      </c>
      <c r="E7" s="4" t="s">
        <v>17</v>
      </c>
    </row>
    <row r="8" customFormat="false" ht="15" hidden="false" customHeight="false" outlineLevel="0" collapsed="false">
      <c r="B8" s="6" t="n">
        <v>0.35</v>
      </c>
      <c r="C8" s="6" t="n">
        <v>0.4</v>
      </c>
      <c r="D8" s="6" t="n">
        <v>0.25</v>
      </c>
      <c r="E8" s="7" t="n">
        <f aca="false">SUM(B8:D8)</f>
        <v>1</v>
      </c>
    </row>
    <row r="11" customFormat="false" ht="34.3" hidden="false" customHeight="false" outlineLevel="0" collapsed="false">
      <c r="A11" s="8" t="s">
        <v>18</v>
      </c>
      <c r="B11" s="8" t="s">
        <v>19</v>
      </c>
      <c r="C11" s="8" t="s">
        <v>20</v>
      </c>
      <c r="D11" s="8" t="s">
        <v>21</v>
      </c>
      <c r="E11" s="8" t="s">
        <v>22</v>
      </c>
      <c r="F11" s="8" t="s">
        <v>14</v>
      </c>
      <c r="G11" s="8" t="s">
        <v>15</v>
      </c>
      <c r="H11" s="8" t="s">
        <v>16</v>
      </c>
      <c r="I11" s="8" t="s">
        <v>23</v>
      </c>
      <c r="J11" s="8" t="s">
        <v>24</v>
      </c>
    </row>
    <row r="12" customFormat="false" ht="17.9" hidden="false" customHeight="false" outlineLevel="0" collapsed="false">
      <c r="A12" s="9" t="s">
        <v>25</v>
      </c>
      <c r="B12" s="10" t="s">
        <v>26</v>
      </c>
      <c r="C12" s="9" t="n">
        <v>3</v>
      </c>
      <c r="D12" s="9" t="n">
        <v>2</v>
      </c>
      <c r="E12" s="11" t="n">
        <f aca="false">IF(C12="","",C12*D12/SUMPRODUCT($C$12:$C$19,$D$12:$D$19))</f>
        <v>0.13953488372093</v>
      </c>
      <c r="F12" s="12" t="n">
        <f aca="false">IF(C12="","",ROUND($C$3*E12*B$8,0))</f>
        <v>1</v>
      </c>
      <c r="G12" s="12" t="n">
        <f aca="false">IF(C12="","",ROUND($C$3*E12*C$8,0))</f>
        <v>2</v>
      </c>
      <c r="H12" s="12" t="n">
        <f aca="false">IF(C12="","",ROUND($C$3*E12*D$8,0))</f>
        <v>1</v>
      </c>
      <c r="I12" s="12" t="n">
        <f aca="false">IF(C12="","",SUM(F12:H12))</f>
        <v>4</v>
      </c>
      <c r="J12" s="12" t="n">
        <f aca="false">IF(C12="","",ROUND(I12/$C$4,0))</f>
        <v>3</v>
      </c>
    </row>
    <row r="13" customFormat="false" ht="17.9" hidden="false" customHeight="false" outlineLevel="0" collapsed="false">
      <c r="A13" s="9" t="s">
        <v>27</v>
      </c>
      <c r="B13" s="10" t="s">
        <v>28</v>
      </c>
      <c r="C13" s="9" t="n">
        <v>4</v>
      </c>
      <c r="D13" s="9" t="n">
        <v>3</v>
      </c>
      <c r="E13" s="11" t="n">
        <f aca="false">IF(C13="","",C13*D13/SUMPRODUCT($C$12:$C$19,$D$12:$D$19))</f>
        <v>0.27906976744186</v>
      </c>
      <c r="F13" s="12" t="n">
        <f aca="false">IF(C13="","",ROUND($C$3*E13*B$8,0))</f>
        <v>3</v>
      </c>
      <c r="G13" s="12" t="n">
        <f aca="false">IF(C13="","",ROUND($C$3*E13*C$8,0))</f>
        <v>3</v>
      </c>
      <c r="H13" s="12" t="n">
        <f aca="false">IF(C13="","",ROUND($C$3*E13*D$8,0))</f>
        <v>2</v>
      </c>
      <c r="I13" s="12" t="n">
        <f aca="false">IF(C13="","",SUM(F13:H13))</f>
        <v>8</v>
      </c>
      <c r="J13" s="12" t="n">
        <f aca="false">IF(C13="","",ROUND(I13/$C$4,0))</f>
        <v>5</v>
      </c>
    </row>
    <row r="14" customFormat="false" ht="17.9" hidden="false" customHeight="false" outlineLevel="0" collapsed="false">
      <c r="A14" s="9" t="s">
        <v>29</v>
      </c>
      <c r="B14" s="10" t="s">
        <v>30</v>
      </c>
      <c r="C14" s="9" t="n">
        <v>3</v>
      </c>
      <c r="D14" s="9" t="n">
        <v>2</v>
      </c>
      <c r="E14" s="11" t="n">
        <f aca="false">IF(C14="","",C14*D14/SUMPRODUCT($C$12:$C$19,$D$12:$D$19))</f>
        <v>0.13953488372093</v>
      </c>
      <c r="F14" s="12" t="n">
        <f aca="false">IF(C14="","",ROUND($C$3*E14*B$8,0))</f>
        <v>1</v>
      </c>
      <c r="G14" s="12" t="n">
        <f aca="false">IF(C14="","",ROUND($C$3*E14*C$8,0))</f>
        <v>2</v>
      </c>
      <c r="H14" s="12" t="n">
        <f aca="false">IF(C14="","",ROUND($C$3*E14*D$8,0))</f>
        <v>1</v>
      </c>
      <c r="I14" s="12" t="n">
        <f aca="false">IF(C14="","",SUM(F14:H14))</f>
        <v>4</v>
      </c>
      <c r="J14" s="12" t="n">
        <f aca="false">IF(C14="","",ROUND(I14/$C$4,0))</f>
        <v>3</v>
      </c>
    </row>
    <row r="15" customFormat="false" ht="17.9" hidden="false" customHeight="false" outlineLevel="0" collapsed="false">
      <c r="A15" s="9" t="s">
        <v>31</v>
      </c>
      <c r="B15" s="10" t="s">
        <v>32</v>
      </c>
      <c r="C15" s="9" t="n">
        <v>2</v>
      </c>
      <c r="D15" s="9" t="n">
        <v>2</v>
      </c>
      <c r="E15" s="11" t="n">
        <f aca="false">IF(C15="","",C15*D15/SUMPRODUCT($C$12:$C$19,$D$12:$D$19))</f>
        <v>0.0930232558139535</v>
      </c>
      <c r="F15" s="12" t="n">
        <f aca="false">IF(C15="","",ROUND($C$3*E15*B$8,0))</f>
        <v>1</v>
      </c>
      <c r="G15" s="12" t="n">
        <f aca="false">IF(C15="","",ROUND($C$3*E15*C$8,0))</f>
        <v>1</v>
      </c>
      <c r="H15" s="12" t="n">
        <f aca="false">IF(C15="","",ROUND($C$3*E15*D$8,0))</f>
        <v>1</v>
      </c>
      <c r="I15" s="12" t="n">
        <f aca="false">IF(C15="","",SUM(F15:H15))</f>
        <v>3</v>
      </c>
      <c r="J15" s="12" t="n">
        <f aca="false">IF(C15="","",ROUND(I15/$C$4,0))</f>
        <v>2</v>
      </c>
    </row>
    <row r="16" customFormat="false" ht="17.9" hidden="false" customHeight="false" outlineLevel="0" collapsed="false">
      <c r="A16" s="9" t="s">
        <v>33</v>
      </c>
      <c r="B16" s="10" t="s">
        <v>34</v>
      </c>
      <c r="C16" s="9" t="n">
        <v>3</v>
      </c>
      <c r="D16" s="9" t="n">
        <v>3</v>
      </c>
      <c r="E16" s="11" t="n">
        <f aca="false">IF(C16="","",C16*D16/SUMPRODUCT($C$12:$C$19,$D$12:$D$19))</f>
        <v>0.209302325581395</v>
      </c>
      <c r="F16" s="12" t="n">
        <f aca="false">IF(C16="","",ROUND($C$3*E16*B$8,0))</f>
        <v>2</v>
      </c>
      <c r="G16" s="12" t="n">
        <f aca="false">IF(C16="","",ROUND($C$3*E16*C$8,0))</f>
        <v>3</v>
      </c>
      <c r="H16" s="12" t="n">
        <f aca="false">IF(C16="","",ROUND($C$3*E16*D$8,0))</f>
        <v>2</v>
      </c>
      <c r="I16" s="12" t="n">
        <f aca="false">IF(C16="","",SUM(F16:H16))</f>
        <v>7</v>
      </c>
      <c r="J16" s="12" t="n">
        <f aca="false">IF(C16="","",ROUND(I16/$C$4,0))</f>
        <v>5</v>
      </c>
    </row>
    <row r="17" customFormat="false" ht="17.9" hidden="false" customHeight="false" outlineLevel="0" collapsed="false">
      <c r="A17" s="9" t="s">
        <v>35</v>
      </c>
      <c r="B17" s="10" t="s">
        <v>36</v>
      </c>
      <c r="C17" s="9" t="n">
        <v>3</v>
      </c>
      <c r="D17" s="9" t="n">
        <v>2</v>
      </c>
      <c r="E17" s="11" t="n">
        <f aca="false">IF(C17="","",C17*D17/SUMPRODUCT($C$12:$C$19,$D$12:$D$19))</f>
        <v>0.13953488372093</v>
      </c>
      <c r="F17" s="12" t="n">
        <f aca="false">IF(C17="","",ROUND($C$3*E17*B$8,0))</f>
        <v>1</v>
      </c>
      <c r="G17" s="12" t="n">
        <f aca="false">IF(C17="","",ROUND($C$3*E17*C$8,0))</f>
        <v>2</v>
      </c>
      <c r="H17" s="12" t="n">
        <f aca="false">IF(C17="","",ROUND($C$3*E17*D$8,0))</f>
        <v>1</v>
      </c>
      <c r="I17" s="12" t="n">
        <f aca="false">IF(C17="","",SUM(F17:H17))</f>
        <v>4</v>
      </c>
      <c r="J17" s="12" t="n">
        <f aca="false">IF(C17="","",ROUND(I17/$C$4,0))</f>
        <v>3</v>
      </c>
    </row>
    <row r="18" customFormat="false" ht="15" hidden="false" customHeight="false" outlineLevel="0" collapsed="false">
      <c r="A18" s="9"/>
      <c r="B18" s="10"/>
      <c r="C18" s="9"/>
      <c r="D18" s="9"/>
      <c r="E18" s="11" t="str">
        <f aca="false">IF(C18="","",C18*D18/SUMPRODUCT($C$12:$C$19,$D$12:$D$19))</f>
        <v/>
      </c>
      <c r="F18" s="12" t="str">
        <f aca="false">IF(C18="","",ROUND($C$3*E18*B$8,0))</f>
        <v/>
      </c>
      <c r="G18" s="12" t="str">
        <f aca="false">IF(C18="","",ROUND($C$3*E18*C$8,0))</f>
        <v/>
      </c>
      <c r="H18" s="12" t="str">
        <f aca="false">IF(C18="","",ROUND($C$3*E18*D$8,0))</f>
        <v/>
      </c>
      <c r="I18" s="12" t="str">
        <f aca="false">IF(C18="","",SUM(F18:H18))</f>
        <v/>
      </c>
      <c r="J18" s="12" t="str">
        <f aca="false">IF(C18="","",ROUND(I18/$C$4,0))</f>
        <v/>
      </c>
    </row>
    <row r="19" customFormat="false" ht="15" hidden="false" customHeight="false" outlineLevel="0" collapsed="false">
      <c r="A19" s="9"/>
      <c r="B19" s="10"/>
      <c r="C19" s="9"/>
      <c r="D19" s="9"/>
      <c r="E19" s="11" t="str">
        <f aca="false">IF(C19="","",C19*D19/SUMPRODUCT($C$12:$C$19,$D$12:$D$19))</f>
        <v/>
      </c>
      <c r="F19" s="12" t="str">
        <f aca="false">IF(C19="","",ROUND($C$3*E19*B$8,0))</f>
        <v/>
      </c>
      <c r="G19" s="12" t="str">
        <f aca="false">IF(C19="","",ROUND($C$3*E19*C$8,0))</f>
        <v/>
      </c>
      <c r="H19" s="12" t="str">
        <f aca="false">IF(C19="","",ROUND($C$3*E19*D$8,0))</f>
        <v/>
      </c>
      <c r="I19" s="12" t="str">
        <f aca="false">IF(C19="","",SUM(F19:H19))</f>
        <v/>
      </c>
      <c r="J19" s="12" t="str">
        <f aca="false">IF(C19="","",ROUND(I19/$C$4,0))</f>
        <v/>
      </c>
    </row>
    <row r="20" customFormat="false" ht="15" hidden="false" customHeight="false" outlineLevel="0" collapsed="false">
      <c r="A20" s="13"/>
      <c r="B20" s="13" t="s">
        <v>17</v>
      </c>
      <c r="C20" s="13" t="n">
        <f aca="false">SUM(C12:C19)</f>
        <v>18</v>
      </c>
      <c r="D20" s="13"/>
      <c r="E20" s="14" t="n">
        <f aca="false">SUM(E12:E19)</f>
        <v>1</v>
      </c>
      <c r="F20" s="13" t="n">
        <f aca="false">SUM(F12:F19)</f>
        <v>9</v>
      </c>
      <c r="G20" s="13" t="n">
        <f aca="false">SUM(G12:G19)</f>
        <v>13</v>
      </c>
      <c r="H20" s="13" t="n">
        <f aca="false">SUM(H12:H19)</f>
        <v>8</v>
      </c>
      <c r="I20" s="13" t="n">
        <f aca="false">SUM(I12:I19)</f>
        <v>30</v>
      </c>
      <c r="J20" s="13" t="n">
        <f aca="false">SUM(J12:J19)</f>
        <v>21</v>
      </c>
    </row>
    <row r="21" customFormat="false" ht="15" hidden="false" customHeight="false" outlineLevel="0" collapsed="false">
      <c r="B21" s="15" t="s">
        <v>37</v>
      </c>
      <c r="F21" s="7" t="n">
        <f aca="false">IF($I$20=0,"",F20/$I$20)</f>
        <v>0.3</v>
      </c>
      <c r="G21" s="7" t="n">
        <f aca="false">IF($I$20=0,"",G20/$I$20)</f>
        <v>0.433333333333333</v>
      </c>
      <c r="H21" s="7" t="n">
        <f aca="false">IF($I$20=0,"",H20/$I$20)</f>
        <v>0.266666666666667</v>
      </c>
    </row>
    <row r="23" customFormat="false" ht="15" hidden="false" customHeight="false" outlineLevel="0" collapsed="false">
      <c r="B23" s="3" t="s">
        <v>38</v>
      </c>
      <c r="C23" s="16" t="str">
        <f aca="false">IF(I20=$C$3,"المجموع مطابق","الفرق "&amp;(I20-$C$3)&amp;" درجة: عدّل خلية أو اثنتين يدوياً")</f>
        <v>المجموع مطابق</v>
      </c>
    </row>
  </sheetData>
  <conditionalFormatting sqref="C23">
    <cfRule type="expression" priority="2" aboveAverage="0" equalAverage="0" bottom="0" percent="0" rank="0" text="" dxfId="0">
      <formula>C23="المجموع مطابق"</formula>
    </cfRule>
    <cfRule type="expression" priority="3" aboveAverage="0" equalAverage="0" bottom="0" percent="0" rank="0" text="" dxfId="1">
      <formula>C23&lt;&gt;"المجموع مطابق"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0"/>
    <col collapsed="false" customWidth="true" hidden="false" outlineLevel="0" max="9" min="3" style="0" width="12"/>
    <col collapsed="false" customWidth="true" hidden="false" outlineLevel="0" max="10" min="10" style="0" width="18"/>
  </cols>
  <sheetData>
    <row r="1" customFormat="false" ht="20.1" hidden="false" customHeight="false" outlineLevel="0" collapsed="false">
      <c r="A1" s="1" t="s">
        <v>39</v>
      </c>
    </row>
    <row r="3" customFormat="false" ht="15" hidden="false" customHeight="false" outlineLevel="0" collapsed="false">
      <c r="A3" s="4" t="s">
        <v>11</v>
      </c>
      <c r="C3" s="5" t="n">
        <v>30</v>
      </c>
    </row>
    <row r="4" customFormat="false" ht="15" hidden="false" customHeight="false" outlineLevel="0" collapsed="false">
      <c r="A4" s="4" t="s">
        <v>12</v>
      </c>
      <c r="C4" s="5" t="n">
        <v>1.5</v>
      </c>
    </row>
    <row r="6" customFormat="false" ht="15" hidden="false" customHeight="false" outlineLevel="0" collapsed="false">
      <c r="A6" s="3" t="s">
        <v>13</v>
      </c>
    </row>
    <row r="7" customFormat="false" ht="15" hidden="false" customHeight="false" outlineLevel="0" collapsed="false">
      <c r="B7" s="3" t="s">
        <v>14</v>
      </c>
      <c r="C7" s="3" t="s">
        <v>15</v>
      </c>
      <c r="D7" s="3" t="s">
        <v>16</v>
      </c>
      <c r="E7" s="4" t="s">
        <v>17</v>
      </c>
    </row>
    <row r="8" customFormat="false" ht="15" hidden="false" customHeight="false" outlineLevel="0" collapsed="false">
      <c r="B8" s="6" t="n">
        <v>0.35</v>
      </c>
      <c r="C8" s="6" t="n">
        <v>0.4</v>
      </c>
      <c r="D8" s="6" t="n">
        <v>0.25</v>
      </c>
      <c r="E8" s="7" t="n">
        <f aca="false">SUM(B8:D8)</f>
        <v>1</v>
      </c>
    </row>
    <row r="11" customFormat="false" ht="34.3" hidden="false" customHeight="false" outlineLevel="0" collapsed="false">
      <c r="A11" s="8" t="s">
        <v>18</v>
      </c>
      <c r="B11" s="8" t="s">
        <v>19</v>
      </c>
      <c r="C11" s="8" t="s">
        <v>20</v>
      </c>
      <c r="D11" s="8" t="s">
        <v>21</v>
      </c>
      <c r="E11" s="8" t="s">
        <v>22</v>
      </c>
      <c r="F11" s="8" t="s">
        <v>14</v>
      </c>
      <c r="G11" s="8" t="s">
        <v>15</v>
      </c>
      <c r="H11" s="8" t="s">
        <v>16</v>
      </c>
      <c r="I11" s="8" t="s">
        <v>23</v>
      </c>
      <c r="J11" s="8" t="s">
        <v>24</v>
      </c>
    </row>
    <row r="12" customFormat="false" ht="15" hidden="false" customHeight="false" outlineLevel="0" collapsed="false">
      <c r="A12" s="9"/>
      <c r="B12" s="10"/>
      <c r="C12" s="9"/>
      <c r="D12" s="9"/>
      <c r="E12" s="11" t="str">
        <f aca="false">IF(C12="","",C12*D12/SUMPRODUCT($C$12:$C$19,$D$12:$D$19))</f>
        <v/>
      </c>
      <c r="F12" s="12" t="str">
        <f aca="false">IF(C12="","",ROUND($C$3*E12*B$8,0))</f>
        <v/>
      </c>
      <c r="G12" s="12" t="str">
        <f aca="false">IF(C12="","",ROUND($C$3*E12*C$8,0))</f>
        <v/>
      </c>
      <c r="H12" s="12" t="str">
        <f aca="false">IF(C12="","",ROUND($C$3*E12*D$8,0))</f>
        <v/>
      </c>
      <c r="I12" s="12" t="str">
        <f aca="false">IF(C12="","",SUM(F12:H12))</f>
        <v/>
      </c>
      <c r="J12" s="12" t="str">
        <f aca="false">IF(C12="","",ROUND(I12/$C$4,0))</f>
        <v/>
      </c>
    </row>
    <row r="13" customFormat="false" ht="15" hidden="false" customHeight="false" outlineLevel="0" collapsed="false">
      <c r="A13" s="9"/>
      <c r="B13" s="10"/>
      <c r="C13" s="9"/>
      <c r="D13" s="9"/>
      <c r="E13" s="11" t="str">
        <f aca="false">IF(C13="","",C13*D13/SUMPRODUCT($C$12:$C$19,$D$12:$D$19))</f>
        <v/>
      </c>
      <c r="F13" s="12" t="str">
        <f aca="false">IF(C13="","",ROUND($C$3*E13*B$8,0))</f>
        <v/>
      </c>
      <c r="G13" s="12" t="str">
        <f aca="false">IF(C13="","",ROUND($C$3*E13*C$8,0))</f>
        <v/>
      </c>
      <c r="H13" s="12" t="str">
        <f aca="false">IF(C13="","",ROUND($C$3*E13*D$8,0))</f>
        <v/>
      </c>
      <c r="I13" s="12" t="str">
        <f aca="false">IF(C13="","",SUM(F13:H13))</f>
        <v/>
      </c>
      <c r="J13" s="12" t="str">
        <f aca="false">IF(C13="","",ROUND(I13/$C$4,0))</f>
        <v/>
      </c>
    </row>
    <row r="14" customFormat="false" ht="15" hidden="false" customHeight="false" outlineLevel="0" collapsed="false">
      <c r="A14" s="9"/>
      <c r="B14" s="10"/>
      <c r="C14" s="9"/>
      <c r="D14" s="9"/>
      <c r="E14" s="11" t="str">
        <f aca="false">IF(C14="","",C14*D14/SUMPRODUCT($C$12:$C$19,$D$12:$D$19))</f>
        <v/>
      </c>
      <c r="F14" s="12" t="str">
        <f aca="false">IF(C14="","",ROUND($C$3*E14*B$8,0))</f>
        <v/>
      </c>
      <c r="G14" s="12" t="str">
        <f aca="false">IF(C14="","",ROUND($C$3*E14*C$8,0))</f>
        <v/>
      </c>
      <c r="H14" s="12" t="str">
        <f aca="false">IF(C14="","",ROUND($C$3*E14*D$8,0))</f>
        <v/>
      </c>
      <c r="I14" s="12" t="str">
        <f aca="false">IF(C14="","",SUM(F14:H14))</f>
        <v/>
      </c>
      <c r="J14" s="12" t="str">
        <f aca="false">IF(C14="","",ROUND(I14/$C$4,0))</f>
        <v/>
      </c>
    </row>
    <row r="15" customFormat="false" ht="15" hidden="false" customHeight="false" outlineLevel="0" collapsed="false">
      <c r="A15" s="9"/>
      <c r="B15" s="10"/>
      <c r="C15" s="9"/>
      <c r="D15" s="9"/>
      <c r="E15" s="11" t="str">
        <f aca="false">IF(C15="","",C15*D15/SUMPRODUCT($C$12:$C$19,$D$12:$D$19))</f>
        <v/>
      </c>
      <c r="F15" s="12" t="str">
        <f aca="false">IF(C15="","",ROUND($C$3*E15*B$8,0))</f>
        <v/>
      </c>
      <c r="G15" s="12" t="str">
        <f aca="false">IF(C15="","",ROUND($C$3*E15*C$8,0))</f>
        <v/>
      </c>
      <c r="H15" s="12" t="str">
        <f aca="false">IF(C15="","",ROUND($C$3*E15*D$8,0))</f>
        <v/>
      </c>
      <c r="I15" s="12" t="str">
        <f aca="false">IF(C15="","",SUM(F15:H15))</f>
        <v/>
      </c>
      <c r="J15" s="12" t="str">
        <f aca="false">IF(C15="","",ROUND(I15/$C$4,0))</f>
        <v/>
      </c>
    </row>
    <row r="16" customFormat="false" ht="15" hidden="false" customHeight="false" outlineLevel="0" collapsed="false">
      <c r="A16" s="9"/>
      <c r="B16" s="10"/>
      <c r="C16" s="9"/>
      <c r="D16" s="9"/>
      <c r="E16" s="11" t="str">
        <f aca="false">IF(C16="","",C16*D16/SUMPRODUCT($C$12:$C$19,$D$12:$D$19))</f>
        <v/>
      </c>
      <c r="F16" s="12" t="str">
        <f aca="false">IF(C16="","",ROUND($C$3*E16*B$8,0))</f>
        <v/>
      </c>
      <c r="G16" s="12" t="str">
        <f aca="false">IF(C16="","",ROUND($C$3*E16*C$8,0))</f>
        <v/>
      </c>
      <c r="H16" s="12" t="str">
        <f aca="false">IF(C16="","",ROUND($C$3*E16*D$8,0))</f>
        <v/>
      </c>
      <c r="I16" s="12" t="str">
        <f aca="false">IF(C16="","",SUM(F16:H16))</f>
        <v/>
      </c>
      <c r="J16" s="12" t="str">
        <f aca="false">IF(C16="","",ROUND(I16/$C$4,0))</f>
        <v/>
      </c>
    </row>
    <row r="17" customFormat="false" ht="15" hidden="false" customHeight="false" outlineLevel="0" collapsed="false">
      <c r="A17" s="9"/>
      <c r="B17" s="10"/>
      <c r="C17" s="9"/>
      <c r="D17" s="9"/>
      <c r="E17" s="11" t="str">
        <f aca="false">IF(C17="","",C17*D17/SUMPRODUCT($C$12:$C$19,$D$12:$D$19))</f>
        <v/>
      </c>
      <c r="F17" s="12" t="str">
        <f aca="false">IF(C17="","",ROUND($C$3*E17*B$8,0))</f>
        <v/>
      </c>
      <c r="G17" s="12" t="str">
        <f aca="false">IF(C17="","",ROUND($C$3*E17*C$8,0))</f>
        <v/>
      </c>
      <c r="H17" s="12" t="str">
        <f aca="false">IF(C17="","",ROUND($C$3*E17*D$8,0))</f>
        <v/>
      </c>
      <c r="I17" s="12" t="str">
        <f aca="false">IF(C17="","",SUM(F17:H17))</f>
        <v/>
      </c>
      <c r="J17" s="12" t="str">
        <f aca="false">IF(C17="","",ROUND(I17/$C$4,0))</f>
        <v/>
      </c>
    </row>
    <row r="18" customFormat="false" ht="15" hidden="false" customHeight="false" outlineLevel="0" collapsed="false">
      <c r="A18" s="9"/>
      <c r="B18" s="10"/>
      <c r="C18" s="9"/>
      <c r="D18" s="9"/>
      <c r="E18" s="11" t="str">
        <f aca="false">IF(C18="","",C18*D18/SUMPRODUCT($C$12:$C$19,$D$12:$D$19))</f>
        <v/>
      </c>
      <c r="F18" s="12" t="str">
        <f aca="false">IF(C18="","",ROUND($C$3*E18*B$8,0))</f>
        <v/>
      </c>
      <c r="G18" s="12" t="str">
        <f aca="false">IF(C18="","",ROUND($C$3*E18*C$8,0))</f>
        <v/>
      </c>
      <c r="H18" s="12" t="str">
        <f aca="false">IF(C18="","",ROUND($C$3*E18*D$8,0))</f>
        <v/>
      </c>
      <c r="I18" s="12" t="str">
        <f aca="false">IF(C18="","",SUM(F18:H18))</f>
        <v/>
      </c>
      <c r="J18" s="12" t="str">
        <f aca="false">IF(C18="","",ROUND(I18/$C$4,0))</f>
        <v/>
      </c>
    </row>
    <row r="19" customFormat="false" ht="15" hidden="false" customHeight="false" outlineLevel="0" collapsed="false">
      <c r="A19" s="9"/>
      <c r="B19" s="10"/>
      <c r="C19" s="9"/>
      <c r="D19" s="9"/>
      <c r="E19" s="11" t="str">
        <f aca="false">IF(C19="","",C19*D19/SUMPRODUCT($C$12:$C$19,$D$12:$D$19))</f>
        <v/>
      </c>
      <c r="F19" s="12" t="str">
        <f aca="false">IF(C19="","",ROUND($C$3*E19*B$8,0))</f>
        <v/>
      </c>
      <c r="G19" s="12" t="str">
        <f aca="false">IF(C19="","",ROUND($C$3*E19*C$8,0))</f>
        <v/>
      </c>
      <c r="H19" s="12" t="str">
        <f aca="false">IF(C19="","",ROUND($C$3*E19*D$8,0))</f>
        <v/>
      </c>
      <c r="I19" s="12" t="str">
        <f aca="false">IF(C19="","",SUM(F19:H19))</f>
        <v/>
      </c>
      <c r="J19" s="12" t="str">
        <f aca="false">IF(C19="","",ROUND(I19/$C$4,0))</f>
        <v/>
      </c>
    </row>
    <row r="20" customFormat="false" ht="15" hidden="false" customHeight="false" outlineLevel="0" collapsed="false">
      <c r="A20" s="13"/>
      <c r="B20" s="13" t="s">
        <v>17</v>
      </c>
      <c r="C20" s="13" t="n">
        <f aca="false">SUM(C12:C19)</f>
        <v>0</v>
      </c>
      <c r="D20" s="13"/>
      <c r="E20" s="14" t="n">
        <f aca="false">SUM(E12:E19)</f>
        <v>0</v>
      </c>
      <c r="F20" s="13" t="n">
        <f aca="false">SUM(F12:F19)</f>
        <v>0</v>
      </c>
      <c r="G20" s="13" t="n">
        <f aca="false">SUM(G12:G19)</f>
        <v>0</v>
      </c>
      <c r="H20" s="13" t="n">
        <f aca="false">SUM(H12:H19)</f>
        <v>0</v>
      </c>
      <c r="I20" s="13" t="n">
        <f aca="false">SUM(I12:I19)</f>
        <v>0</v>
      </c>
      <c r="J20" s="13" t="n">
        <f aca="false">SUM(J12:J19)</f>
        <v>0</v>
      </c>
    </row>
    <row r="21" customFormat="false" ht="15" hidden="false" customHeight="false" outlineLevel="0" collapsed="false">
      <c r="B21" s="15" t="s">
        <v>37</v>
      </c>
      <c r="F21" s="7" t="str">
        <f aca="false">IF($I$20=0,"",F20/$I$20)</f>
        <v/>
      </c>
      <c r="G21" s="7" t="str">
        <f aca="false">IF($I$20=0,"",G20/$I$20)</f>
        <v/>
      </c>
      <c r="H21" s="7" t="str">
        <f aca="false">IF($I$20=0,"",H20/$I$20)</f>
        <v/>
      </c>
    </row>
    <row r="23" customFormat="false" ht="15" hidden="false" customHeight="false" outlineLevel="0" collapsed="false">
      <c r="B23" s="3" t="s">
        <v>38</v>
      </c>
      <c r="C23" s="16" t="str">
        <f aca="false">IF(I20=$C$3,"المجموع مطابق","الفرق "&amp;(I20-$C$3)&amp;" درجة: عدّل خلية أو اثنتين يدوياً")</f>
        <v>الفرق -30 درجة: عدّل خلية أو اثنتين يدوياً</v>
      </c>
    </row>
  </sheetData>
  <conditionalFormatting sqref="C23">
    <cfRule type="expression" priority="2" aboveAverage="0" equalAverage="0" bottom="0" percent="0" rank="0" text="" dxfId="0">
      <formula>C23="المجموع مطابق"</formula>
    </cfRule>
    <cfRule type="expression" priority="3" aboveAverage="0" equalAverage="0" bottom="0" percent="0" rank="0" text="" dxfId="1">
      <formula>C23&lt;&gt;"المجموع مطابق"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2026-10-05T16:15:33Z</dcterms:created>
  <dc:creator>openpyxl</dc:creator>
  <dc:description/>
  <dc:language>en-US</dc:language>
  <cp:lastModifiedBy/>
  <dcterms:modified xsi:type="dcterms:W3CDTF">2026-10-05T16:15:33Z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