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Means" sheetId="2" state="visible" r:id="rId4"/>
    <sheet name="Benchmarks" sheetId="3" state="visible" r:id="rId5"/>
    <sheet name="Trend" sheetId="4" state="visible" r:id="rId6"/>
    <sheet name="Contextual Data" sheetId="5" state="visible" r:id="rId7"/>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The standard error reflects that the mean is estimated from a sample. The larger it is, the less precise the mean.</t>
        </r>
      </text>
    </comment>
    <comment ref="G7" authorId="0">
      <text>
        <r>
          <rPr>
            <sz val="10"/>
            <rFont val="Arial"/>
            <family val="2"/>
          </rPr>
          <t xml:space="preserve">If the absolute value is 1.96 or more, the difference is significant at the 0.05 level. International reports compute the standard error more precisely (sampling and plausible values), then test each difference at 0.05. The large number of comparisons increases the probability of a significant difference by chance, so the published significance table is the reference.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A common error: adding the cumulative percentages as if they were separate bands. The 45% at "High" includes the 14% who reached "Advanced".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Some studies, such as PISA, add a "linking error" to the standard error of the change between cycles. TIMSS 2023, however, does not add it in the trend test. A change that is not significant here remains not significant in both cases.</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7" authorId="0">
      <text>
        <r>
          <rPr>
            <sz val="10"/>
            <rFont val="Arial"/>
            <family val="2"/>
          </rPr>
          <t xml:space="preserve">The difference is large and significant, but it is a correlation, not a cause: home resources are associated with many other factors, such as parents' education, family income and school type.</t>
        </r>
      </text>
    </comment>
  </commentList>
</comments>
</file>

<file path=xl/sharedStrings.xml><?xml version="1.0" encoding="utf-8"?>
<sst xmlns="http://schemas.openxmlformats.org/spreadsheetml/2006/main" count="78" uniqueCount="60">
  <si>
    <t xml:space="preserve">Week 13 workshop — Reading Performance Reports and Contextual Data</t>
  </si>
  <si>
    <t xml:space="preserve">Educational Measurement and Evaluation course — Postgraduate Professional Diploma in Teaching</t>
  </si>
  <si>
    <t xml:space="preserve">Note: The education systems in this file are fictitious, and their figures are simulated in the style of international study reports. They do not represent any real country.</t>
  </si>
  <si>
    <t xml:space="preserve">The scale is like the TIMSS scale: the midpoint is 500, and the international benchmarks are 625, 550, 475 and 400.</t>
  </si>
  <si>
    <t xml:space="preserve">Workbook sheets:</t>
  </si>
  <si>
    <t xml:space="preserve">Means: each system's mean and its standard error. Choose two systems to see whether the difference between them is statistically significant.</t>
  </si>
  <si>
    <t xml:space="preserve">Benchmarks: the cumulative percentages reaching each benchmark, and their conversion into percentages within each band.</t>
  </si>
  <si>
    <t xml:space="preserve">Trend: did System D's performance change genuinely between two cycles?</t>
  </si>
  <si>
    <t xml:space="preserve">Contextual Data: student performance by home resources for learning.</t>
  </si>
  <si>
    <t xml:space="preserve">The key idea: the ranking alone misleads. Read the standard error before any comparison, and do not read correlation as causation.</t>
  </si>
  <si>
    <t xml:space="preserve">System</t>
  </si>
  <si>
    <t xml:space="preserve">Mean</t>
  </si>
  <si>
    <t xml:space="preserve">Standard error</t>
  </si>
  <si>
    <t xml:space="preserve">Lower limit of 95% interval</t>
  </si>
  <si>
    <t xml:space="preserve">Upper limit of 95% interval</t>
  </si>
  <si>
    <t xml:space="preserve">Compare two systems</t>
  </si>
  <si>
    <t xml:space="preserve">System A</t>
  </si>
  <si>
    <t xml:space="preserve">First system</t>
  </si>
  <si>
    <t xml:space="preserve">System B</t>
  </si>
  <si>
    <t xml:space="preserve">Second system</t>
  </si>
  <si>
    <t xml:space="preserve">System C</t>
  </si>
  <si>
    <t xml:space="preserve">System D</t>
  </si>
  <si>
    <t xml:space="preserve">Difference between the two means</t>
  </si>
  <si>
    <t xml:space="preserve">System E</t>
  </si>
  <si>
    <t xml:space="preserve">Standard error of the difference</t>
  </si>
  <si>
    <t xml:space="preserve">System F</t>
  </si>
  <si>
    <t xml:space="preserve">Critical ratio (difference ÷ its standard error)</t>
  </si>
  <si>
    <t xml:space="preserve">System G</t>
  </si>
  <si>
    <t xml:space="preserve">Judgement</t>
  </si>
  <si>
    <t xml:space="preserve">System H</t>
  </si>
  <si>
    <t xml:space="preserve">Cumulative percentages as published in reports: the percentage who reached or exceeded the benchmark</t>
  </si>
  <si>
    <t xml:space="preserve">Advanced (625)</t>
  </si>
  <si>
    <t xml:space="preserve">High (550)</t>
  </si>
  <si>
    <t xml:space="preserve">Intermediate (475)</t>
  </si>
  <si>
    <t xml:space="preserve">Low (400)</t>
  </si>
  <si>
    <t xml:space="preserve">Conversion: percentage of students within each band (computed automatically)</t>
  </si>
  <si>
    <t xml:space="preserve">Advanced</t>
  </si>
  <si>
    <t xml:space="preserve">Between High and Advanced</t>
  </si>
  <si>
    <t xml:space="preserve">Between Intermediate and High</t>
  </si>
  <si>
    <t xml:space="preserve">Between Low and Intermediate</t>
  </si>
  <si>
    <t xml:space="preserve">Below Low</t>
  </si>
  <si>
    <t xml:space="preserve">Total</t>
  </si>
  <si>
    <t xml:space="preserve">First cycle</t>
  </si>
  <si>
    <t xml:space="preserve">Mean in the first cycle</t>
  </si>
  <si>
    <t xml:space="preserve">Its standard error</t>
  </si>
  <si>
    <t xml:space="preserve">Second cycle</t>
  </si>
  <si>
    <t xml:space="preserve">Mean in the second cycle</t>
  </si>
  <si>
    <t xml:space="preserve">Change</t>
  </si>
  <si>
    <t xml:space="preserve">Standard error of the change</t>
  </si>
  <si>
    <t xml:space="preserve">Critical ratio</t>
  </si>
  <si>
    <t xml:space="preserve">System D: performance by home resources for learning (from the student questionnaire)</t>
  </si>
  <si>
    <t xml:space="preserve">Category</t>
  </si>
  <si>
    <t xml:space="preserve">Percentage of students</t>
  </si>
  <si>
    <t xml:space="preserve">Many resources</t>
  </si>
  <si>
    <t xml:space="preserve">Some resources</t>
  </si>
  <si>
    <t xml:space="preserve">Few resources</t>
  </si>
  <si>
    <t xml:space="preserve">Difference between "Many resources" and "Few resources"</t>
  </si>
  <si>
    <t xml:space="preserve">Critical ratio of the difference</t>
  </si>
  <si>
    <t xml:space="preserve">Mean weighted by the percentages of students</t>
  </si>
  <si>
    <t xml:space="preserve">The weighted mean approximates the system's published mean (519), and this is a quick check of the consistency of your reading of the table.</t>
  </si>
</sst>
</file>

<file path=xl/styles.xml><?xml version="1.0" encoding="utf-8"?>
<styleSheet xmlns="http://schemas.openxmlformats.org/spreadsheetml/2006/main">
  <numFmts count="5">
    <numFmt numFmtId="164" formatCode="General"/>
    <numFmt numFmtId="165" formatCode="0.0"/>
    <numFmt numFmtId="166" formatCode="0.00"/>
    <numFmt numFmtId="167" formatCode="0%"/>
    <numFmt numFmtId="168" formatCode="General"/>
  </numFmts>
  <fonts count="12">
    <font>
      <sz val="11"/>
      <color theme="1"/>
      <name val="Calibri"/>
      <family val="2"/>
      <charset val="1"/>
    </font>
    <font>
      <sz val="10"/>
      <name val="Arial"/>
      <family val="0"/>
    </font>
    <font>
      <sz val="10"/>
      <name val="Arial"/>
      <family val="0"/>
    </font>
    <font>
      <sz val="10"/>
      <name val="Arial"/>
      <family val="0"/>
    </font>
    <font>
      <b val="true"/>
      <sz val="13"/>
      <color rgb="FF1F4E79"/>
      <name val="Calibri"/>
      <family val="0"/>
      <charset val="1"/>
    </font>
    <font>
      <sz val="11"/>
      <name val="Calibri"/>
      <family val="0"/>
      <charset val="1"/>
    </font>
    <font>
      <b val="true"/>
      <sz val="11"/>
      <name val="Calibri"/>
      <family val="0"/>
      <charset val="1"/>
    </font>
    <font>
      <b val="true"/>
      <sz val="11"/>
      <color rgb="FFFFFFFF"/>
      <name val="Calibri"/>
      <family val="0"/>
      <charset val="1"/>
    </font>
    <font>
      <b val="true"/>
      <sz val="12"/>
      <color rgb="FF1F4E79"/>
      <name val="Calibri"/>
      <family val="0"/>
      <charset val="1"/>
    </font>
    <font>
      <sz val="10"/>
      <name val="Arial"/>
      <family val="2"/>
    </font>
    <font>
      <sz val="11"/>
      <color rgb="FF0000FF"/>
      <name val="Calibri"/>
      <family val="0"/>
      <charset val="1"/>
    </font>
    <font>
      <sz val="11"/>
      <color rgb="FF595959"/>
      <name val="Calibri"/>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FE6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5" min="2" style="0" width="16"/>
    <col collapsed="false" customWidth="true" hidden="false" outlineLevel="0" max="7" min="7" style="0" width="36"/>
    <col collapsed="false" customWidth="true" hidden="false" outlineLevel="0" max="8" min="8" style="0" width="44"/>
  </cols>
  <sheetData>
    <row r="1" customFormat="false" ht="28.35" hidden="false" customHeight="false" outlineLevel="0" collapsed="false">
      <c r="A1" s="4" t="s">
        <v>10</v>
      </c>
      <c r="B1" s="4" t="s">
        <v>11</v>
      </c>
      <c r="C1" s="4" t="s">
        <v>12</v>
      </c>
      <c r="D1" s="4" t="s">
        <v>13</v>
      </c>
      <c r="E1" s="4" t="s">
        <v>14</v>
      </c>
      <c r="G1" s="5" t="s">
        <v>15</v>
      </c>
    </row>
    <row r="2" customFormat="false" ht="15" hidden="false" customHeight="false" outlineLevel="0" collapsed="false">
      <c r="A2" s="6" t="s">
        <v>16</v>
      </c>
      <c r="B2" s="6" t="n">
        <v>552</v>
      </c>
      <c r="C2" s="6" t="n">
        <v>2.4</v>
      </c>
      <c r="D2" s="7" t="n">
        <f aca="false">B2-1.96*C2</f>
        <v>547.296</v>
      </c>
      <c r="E2" s="7" t="n">
        <f aca="false">B2+1.96*C2</f>
        <v>556.704</v>
      </c>
      <c r="G2" s="8" t="s">
        <v>17</v>
      </c>
      <c r="H2" s="9" t="s">
        <v>16</v>
      </c>
    </row>
    <row r="3" customFormat="false" ht="15" hidden="false" customHeight="false" outlineLevel="0" collapsed="false">
      <c r="A3" s="6" t="s">
        <v>18</v>
      </c>
      <c r="B3" s="6" t="n">
        <v>547</v>
      </c>
      <c r="C3" s="6" t="n">
        <v>4.8</v>
      </c>
      <c r="D3" s="7" t="n">
        <f aca="false">B3-1.96*C3</f>
        <v>537.592</v>
      </c>
      <c r="E3" s="7" t="n">
        <f aca="false">B3+1.96*C3</f>
        <v>556.408</v>
      </c>
      <c r="G3" s="8" t="s">
        <v>19</v>
      </c>
      <c r="H3" s="9" t="s">
        <v>18</v>
      </c>
    </row>
    <row r="4" customFormat="false" ht="15" hidden="false" customHeight="false" outlineLevel="0" collapsed="false">
      <c r="A4" s="6" t="s">
        <v>20</v>
      </c>
      <c r="B4" s="6" t="n">
        <v>531</v>
      </c>
      <c r="C4" s="6" t="n">
        <v>2.9</v>
      </c>
      <c r="D4" s="7" t="n">
        <f aca="false">B4-1.96*C4</f>
        <v>525.316</v>
      </c>
      <c r="E4" s="7" t="n">
        <f aca="false">B4+1.96*C4</f>
        <v>536.684</v>
      </c>
      <c r="G4" s="8"/>
      <c r="H4" s="10"/>
    </row>
    <row r="5" customFormat="false" ht="15" hidden="false" customHeight="false" outlineLevel="0" collapsed="false">
      <c r="A5" s="6" t="s">
        <v>21</v>
      </c>
      <c r="B5" s="6" t="n">
        <v>519</v>
      </c>
      <c r="C5" s="6" t="n">
        <v>3.1</v>
      </c>
      <c r="D5" s="7" t="n">
        <f aca="false">B5-1.96*C5</f>
        <v>512.924</v>
      </c>
      <c r="E5" s="7" t="n">
        <f aca="false">B5+1.96*C5</f>
        <v>525.076</v>
      </c>
      <c r="G5" s="8" t="s">
        <v>22</v>
      </c>
      <c r="H5" s="10" t="n">
        <f aca="false">VLOOKUP(H2,$A$2:$C$9,2,FALSE())-VLOOKUP(H3,$A$2:$C$9,2,FALSE())</f>
        <v>5</v>
      </c>
    </row>
    <row r="6" customFormat="false" ht="15" hidden="false" customHeight="false" outlineLevel="0" collapsed="false">
      <c r="A6" s="6" t="s">
        <v>23</v>
      </c>
      <c r="B6" s="6" t="n">
        <v>516</v>
      </c>
      <c r="C6" s="6" t="n">
        <v>5.6</v>
      </c>
      <c r="D6" s="7" t="n">
        <f aca="false">B6-1.96*C6</f>
        <v>505.024</v>
      </c>
      <c r="E6" s="7" t="n">
        <f aca="false">B6+1.96*C6</f>
        <v>526.976</v>
      </c>
      <c r="G6" s="8" t="s">
        <v>24</v>
      </c>
      <c r="H6" s="11" t="n">
        <f aca="false">SQRT(VLOOKUP(H2,$A$2:$C$9,3,FALSE())^2+VLOOKUP(H3,$A$2:$C$9,3,FALSE())^2)</f>
        <v>5.3665631459995</v>
      </c>
    </row>
    <row r="7" customFormat="false" ht="28.35" hidden="false" customHeight="false" outlineLevel="0" collapsed="false">
      <c r="A7" s="6" t="s">
        <v>25</v>
      </c>
      <c r="B7" s="6" t="n">
        <v>489</v>
      </c>
      <c r="C7" s="6" t="n">
        <v>2.6</v>
      </c>
      <c r="D7" s="7" t="n">
        <f aca="false">B7-1.96*C7</f>
        <v>483.904</v>
      </c>
      <c r="E7" s="7" t="n">
        <f aca="false">B7+1.96*C7</f>
        <v>494.096</v>
      </c>
      <c r="G7" s="8" t="s">
        <v>26</v>
      </c>
      <c r="H7" s="11" t="n">
        <f aca="false">H5/H6</f>
        <v>0.931694990624912</v>
      </c>
    </row>
    <row r="8" customFormat="false" ht="28.35" hidden="false" customHeight="false" outlineLevel="0" collapsed="false">
      <c r="A8" s="6" t="s">
        <v>27</v>
      </c>
      <c r="B8" s="6" t="n">
        <v>474</v>
      </c>
      <c r="C8" s="6" t="n">
        <v>3.8</v>
      </c>
      <c r="D8" s="7" t="n">
        <f aca="false">B8-1.96*C8</f>
        <v>466.552</v>
      </c>
      <c r="E8" s="7" t="n">
        <f aca="false">B8+1.96*C8</f>
        <v>481.448</v>
      </c>
      <c r="G8" s="8" t="s">
        <v>28</v>
      </c>
      <c r="H8" s="10" t="str">
        <f aca="false">IF(H2=H3,"Choose two different systems",IF(ABS(H7)&gt;=1.96,"Significant difference","Not significant: we cannot say that either one is higher"))</f>
        <v>Not significant: we cannot say that either one is higher</v>
      </c>
    </row>
    <row r="9" customFormat="false" ht="15" hidden="false" customHeight="false" outlineLevel="0" collapsed="false">
      <c r="A9" s="6" t="s">
        <v>29</v>
      </c>
      <c r="B9" s="6" t="n">
        <v>452</v>
      </c>
      <c r="C9" s="6" t="n">
        <v>4.4</v>
      </c>
      <c r="D9" s="7" t="n">
        <f aca="false">B9-1.96*C9</f>
        <v>443.376</v>
      </c>
      <c r="E9" s="7" t="n">
        <f aca="false">B9+1.96*C9</f>
        <v>460.624</v>
      </c>
    </row>
  </sheetData>
  <conditionalFormatting sqref="H8">
    <cfRule type="expression" priority="2" aboveAverage="0" equalAverage="0" bottom="0" percent="0" rank="0" text="" dxfId="0">
      <formula>LEFT(H8,11)="Significant"</formula>
    </cfRule>
    <cfRule type="expression" priority="3" aboveAverage="0" equalAverage="0" bottom="0" percent="0" rank="0" text="" dxfId="1">
      <formula>LEFT(H8,15)="Not significant"</formula>
    </cfRule>
  </conditionalFormatting>
  <dataValidations count="1">
    <dataValidation allowBlank="false" errorStyle="stop" operator="between" showDropDown="false" showErrorMessage="false" showInputMessage="false" sqref="H2:H3" type="list">
      <formula1>$A$2:$A$9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7" min="2" style="0" width="20"/>
  </cols>
  <sheetData>
    <row r="1" customFormat="false" ht="15" hidden="false" customHeight="false" outlineLevel="0" collapsed="false">
      <c r="A1" s="3" t="s">
        <v>30</v>
      </c>
    </row>
    <row r="2" customFormat="false" ht="15" hidden="false" customHeight="false" outlineLevel="0" collapsed="false">
      <c r="A2" s="4" t="s">
        <v>10</v>
      </c>
      <c r="B2" s="4" t="s">
        <v>31</v>
      </c>
      <c r="C2" s="4" t="s">
        <v>32</v>
      </c>
      <c r="D2" s="4" t="s">
        <v>33</v>
      </c>
      <c r="E2" s="4" t="s">
        <v>34</v>
      </c>
    </row>
    <row r="3" customFormat="false" ht="15" hidden="false" customHeight="false" outlineLevel="0" collapsed="false">
      <c r="A3" s="6" t="s">
        <v>16</v>
      </c>
      <c r="B3" s="12" t="n">
        <v>0.14</v>
      </c>
      <c r="C3" s="12" t="n">
        <v>0.45</v>
      </c>
      <c r="D3" s="12" t="n">
        <v>0.77</v>
      </c>
      <c r="E3" s="12" t="n">
        <v>0.94</v>
      </c>
    </row>
    <row r="4" customFormat="false" ht="15" hidden="false" customHeight="false" outlineLevel="0" collapsed="false">
      <c r="A4" s="6" t="s">
        <v>18</v>
      </c>
      <c r="B4" s="12" t="n">
        <v>0.13</v>
      </c>
      <c r="C4" s="12" t="n">
        <v>0.42</v>
      </c>
      <c r="D4" s="12" t="n">
        <v>0.74</v>
      </c>
      <c r="E4" s="12" t="n">
        <v>0.92</v>
      </c>
    </row>
    <row r="5" customFormat="false" ht="15" hidden="false" customHeight="false" outlineLevel="0" collapsed="false">
      <c r="A5" s="6" t="s">
        <v>20</v>
      </c>
      <c r="B5" s="12" t="n">
        <v>0.09</v>
      </c>
      <c r="C5" s="12" t="n">
        <v>0.34</v>
      </c>
      <c r="D5" s="12" t="n">
        <v>0.69</v>
      </c>
      <c r="E5" s="12" t="n">
        <v>0.91</v>
      </c>
    </row>
    <row r="6" customFormat="false" ht="15" hidden="false" customHeight="false" outlineLevel="0" collapsed="false">
      <c r="A6" s="6" t="s">
        <v>21</v>
      </c>
      <c r="B6" s="12" t="n">
        <v>0.07</v>
      </c>
      <c r="C6" s="12" t="n">
        <v>0.29</v>
      </c>
      <c r="D6" s="12" t="n">
        <v>0.62</v>
      </c>
      <c r="E6" s="12" t="n">
        <v>0.88</v>
      </c>
    </row>
    <row r="7" customFormat="false" ht="15" hidden="false" customHeight="false" outlineLevel="0" collapsed="false">
      <c r="A7" s="6" t="s">
        <v>23</v>
      </c>
      <c r="B7" s="12" t="n">
        <v>0.08</v>
      </c>
      <c r="C7" s="12" t="n">
        <v>0.3</v>
      </c>
      <c r="D7" s="12" t="n">
        <v>0.6</v>
      </c>
      <c r="E7" s="12" t="n">
        <v>0.85</v>
      </c>
    </row>
    <row r="8" customFormat="false" ht="15" hidden="false" customHeight="false" outlineLevel="0" collapsed="false">
      <c r="A8" s="6" t="s">
        <v>25</v>
      </c>
      <c r="B8" s="12" t="n">
        <v>0.03</v>
      </c>
      <c r="C8" s="12" t="n">
        <v>0.18</v>
      </c>
      <c r="D8" s="12" t="n">
        <v>0.49</v>
      </c>
      <c r="E8" s="12" t="n">
        <v>0.8</v>
      </c>
    </row>
    <row r="9" customFormat="false" ht="15" hidden="false" customHeight="false" outlineLevel="0" collapsed="false">
      <c r="A9" s="6" t="s">
        <v>27</v>
      </c>
      <c r="B9" s="12" t="n">
        <v>0.02</v>
      </c>
      <c r="C9" s="12" t="n">
        <v>0.14</v>
      </c>
      <c r="D9" s="12" t="n">
        <v>0.42</v>
      </c>
      <c r="E9" s="12" t="n">
        <v>0.74</v>
      </c>
    </row>
    <row r="10" customFormat="false" ht="15" hidden="false" customHeight="false" outlineLevel="0" collapsed="false">
      <c r="A10" s="6" t="s">
        <v>29</v>
      </c>
      <c r="B10" s="12" t="n">
        <v>0.01</v>
      </c>
      <c r="C10" s="12" t="n">
        <v>0.09</v>
      </c>
      <c r="D10" s="12" t="n">
        <v>0.33</v>
      </c>
      <c r="E10" s="12" t="n">
        <v>0.64</v>
      </c>
    </row>
    <row r="12" customFormat="false" ht="15" hidden="false" customHeight="false" outlineLevel="0" collapsed="false">
      <c r="A12" s="3" t="s">
        <v>35</v>
      </c>
    </row>
    <row r="13" customFormat="false" ht="41.75" hidden="false" customHeight="false" outlineLevel="0" collapsed="false">
      <c r="A13" s="4" t="s">
        <v>10</v>
      </c>
      <c r="B13" s="4" t="s">
        <v>36</v>
      </c>
      <c r="C13" s="4" t="s">
        <v>37</v>
      </c>
      <c r="D13" s="4" t="s">
        <v>38</v>
      </c>
      <c r="E13" s="4" t="s">
        <v>39</v>
      </c>
      <c r="F13" s="4" t="s">
        <v>40</v>
      </c>
      <c r="G13" s="4" t="s">
        <v>41</v>
      </c>
    </row>
    <row r="14" customFormat="false" ht="15" hidden="false" customHeight="false" outlineLevel="0" collapsed="false">
      <c r="A14" s="6" t="str">
        <f aca="false">A3</f>
        <v>System A</v>
      </c>
      <c r="B14" s="12" t="n">
        <f aca="false">B3</f>
        <v>0.14</v>
      </c>
      <c r="C14" s="12" t="n">
        <f aca="false">C3-B3</f>
        <v>0.31</v>
      </c>
      <c r="D14" s="12" t="n">
        <f aca="false">D3-C3</f>
        <v>0.32</v>
      </c>
      <c r="E14" s="12" t="n">
        <f aca="false">E3-D3</f>
        <v>0.17</v>
      </c>
      <c r="F14" s="12" t="n">
        <f aca="false">1-E3</f>
        <v>0.0600000000000001</v>
      </c>
      <c r="G14" s="12" t="n">
        <f aca="false">SUM(B14:F14)</f>
        <v>1</v>
      </c>
    </row>
    <row r="15" customFormat="false" ht="15" hidden="false" customHeight="false" outlineLevel="0" collapsed="false">
      <c r="A15" s="6" t="str">
        <f aca="false">A4</f>
        <v>System B</v>
      </c>
      <c r="B15" s="12" t="n">
        <f aca="false">B4</f>
        <v>0.13</v>
      </c>
      <c r="C15" s="12" t="n">
        <f aca="false">C4-B4</f>
        <v>0.29</v>
      </c>
      <c r="D15" s="12" t="n">
        <f aca="false">D4-C4</f>
        <v>0.32</v>
      </c>
      <c r="E15" s="12" t="n">
        <f aca="false">E4-D4</f>
        <v>0.18</v>
      </c>
      <c r="F15" s="12" t="n">
        <f aca="false">1-E4</f>
        <v>0.08</v>
      </c>
      <c r="G15" s="12" t="n">
        <f aca="false">SUM(B15:F15)</f>
        <v>1</v>
      </c>
    </row>
    <row r="16" customFormat="false" ht="15" hidden="false" customHeight="false" outlineLevel="0" collapsed="false">
      <c r="A16" s="6" t="str">
        <f aca="false">A5</f>
        <v>System C</v>
      </c>
      <c r="B16" s="12" t="n">
        <f aca="false">B5</f>
        <v>0.09</v>
      </c>
      <c r="C16" s="12" t="n">
        <f aca="false">C5-B5</f>
        <v>0.25</v>
      </c>
      <c r="D16" s="12" t="n">
        <f aca="false">D5-C5</f>
        <v>0.35</v>
      </c>
      <c r="E16" s="12" t="n">
        <f aca="false">E5-D5</f>
        <v>0.22</v>
      </c>
      <c r="F16" s="12" t="n">
        <f aca="false">1-E5</f>
        <v>0.09</v>
      </c>
      <c r="G16" s="12" t="n">
        <f aca="false">SUM(B16:F16)</f>
        <v>1</v>
      </c>
    </row>
    <row r="17" customFormat="false" ht="15" hidden="false" customHeight="false" outlineLevel="0" collapsed="false">
      <c r="A17" s="6" t="str">
        <f aca="false">A6</f>
        <v>System D</v>
      </c>
      <c r="B17" s="12" t="n">
        <f aca="false">B6</f>
        <v>0.07</v>
      </c>
      <c r="C17" s="12" t="n">
        <f aca="false">C6-B6</f>
        <v>0.22</v>
      </c>
      <c r="D17" s="12" t="n">
        <f aca="false">D6-C6</f>
        <v>0.33</v>
      </c>
      <c r="E17" s="12" t="n">
        <f aca="false">E6-D6</f>
        <v>0.26</v>
      </c>
      <c r="F17" s="12" t="n">
        <f aca="false">1-E6</f>
        <v>0.12</v>
      </c>
      <c r="G17" s="12" t="n">
        <f aca="false">SUM(B17:F17)</f>
        <v>1</v>
      </c>
    </row>
    <row r="18" customFormat="false" ht="15" hidden="false" customHeight="false" outlineLevel="0" collapsed="false">
      <c r="A18" s="6" t="str">
        <f aca="false">A7</f>
        <v>System E</v>
      </c>
      <c r="B18" s="12" t="n">
        <f aca="false">B7</f>
        <v>0.08</v>
      </c>
      <c r="C18" s="12" t="n">
        <f aca="false">C7-B7</f>
        <v>0.22</v>
      </c>
      <c r="D18" s="12" t="n">
        <f aca="false">D7-C7</f>
        <v>0.3</v>
      </c>
      <c r="E18" s="12" t="n">
        <f aca="false">E7-D7</f>
        <v>0.25</v>
      </c>
      <c r="F18" s="12" t="n">
        <f aca="false">1-E7</f>
        <v>0.15</v>
      </c>
      <c r="G18" s="12" t="n">
        <f aca="false">SUM(B18:F18)</f>
        <v>1</v>
      </c>
    </row>
    <row r="19" customFormat="false" ht="15" hidden="false" customHeight="false" outlineLevel="0" collapsed="false">
      <c r="A19" s="6" t="str">
        <f aca="false">A8</f>
        <v>System F</v>
      </c>
      <c r="B19" s="12" t="n">
        <f aca="false">B8</f>
        <v>0.03</v>
      </c>
      <c r="C19" s="12" t="n">
        <f aca="false">C8-B8</f>
        <v>0.15</v>
      </c>
      <c r="D19" s="12" t="n">
        <f aca="false">D8-C8</f>
        <v>0.31</v>
      </c>
      <c r="E19" s="12" t="n">
        <f aca="false">E8-D8</f>
        <v>0.31</v>
      </c>
      <c r="F19" s="12" t="n">
        <f aca="false">1-E8</f>
        <v>0.2</v>
      </c>
      <c r="G19" s="12" t="n">
        <f aca="false">SUM(B19:F19)</f>
        <v>1</v>
      </c>
    </row>
    <row r="20" customFormat="false" ht="15" hidden="false" customHeight="false" outlineLevel="0" collapsed="false">
      <c r="A20" s="6" t="str">
        <f aca="false">A9</f>
        <v>System G</v>
      </c>
      <c r="B20" s="12" t="n">
        <f aca="false">B9</f>
        <v>0.02</v>
      </c>
      <c r="C20" s="12" t="n">
        <f aca="false">C9-B9</f>
        <v>0.12</v>
      </c>
      <c r="D20" s="12" t="n">
        <f aca="false">D9-C9</f>
        <v>0.28</v>
      </c>
      <c r="E20" s="12" t="n">
        <f aca="false">E9-D9</f>
        <v>0.32</v>
      </c>
      <c r="F20" s="12" t="n">
        <f aca="false">1-E9</f>
        <v>0.26</v>
      </c>
      <c r="G20" s="12" t="n">
        <f aca="false">SUM(B20:F20)</f>
        <v>1</v>
      </c>
    </row>
    <row r="21" customFormat="false" ht="15" hidden="false" customHeight="false" outlineLevel="0" collapsed="false">
      <c r="A21" s="6" t="str">
        <f aca="false">A10</f>
        <v>System H</v>
      </c>
      <c r="B21" s="12" t="n">
        <f aca="false">B10</f>
        <v>0.01</v>
      </c>
      <c r="C21" s="12" t="n">
        <f aca="false">C10-B10</f>
        <v>0.08</v>
      </c>
      <c r="D21" s="12" t="n">
        <f aca="false">D10-C10</f>
        <v>0.24</v>
      </c>
      <c r="E21" s="12" t="n">
        <f aca="false">E10-D10</f>
        <v>0.31</v>
      </c>
      <c r="F21" s="12" t="n">
        <f aca="false">1-E10</f>
        <v>0.36</v>
      </c>
      <c r="G21" s="12" t="n">
        <f aca="false">SUM(B21:F21)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0"/>
  </cols>
  <sheetData>
    <row r="1" customFormat="false" ht="15" hidden="false" customHeight="false" outlineLevel="0" collapsed="false">
      <c r="A1" s="3" t="s">
        <v>10</v>
      </c>
      <c r="B1" s="13" t="s">
        <v>21</v>
      </c>
    </row>
    <row r="2" customFormat="false" ht="15" hidden="false" customHeight="false" outlineLevel="0" collapsed="false">
      <c r="A2" s="3" t="s">
        <v>42</v>
      </c>
      <c r="B2" s="0" t="n">
        <v>2019</v>
      </c>
    </row>
    <row r="3" customFormat="false" ht="15" hidden="false" customHeight="false" outlineLevel="0" collapsed="false">
      <c r="A3" s="3" t="s">
        <v>43</v>
      </c>
      <c r="B3" s="14" t="n">
        <v>511</v>
      </c>
    </row>
    <row r="4" customFormat="false" ht="15" hidden="false" customHeight="false" outlineLevel="0" collapsed="false">
      <c r="A4" s="3" t="s">
        <v>44</v>
      </c>
      <c r="B4" s="14" t="n">
        <v>3.4</v>
      </c>
    </row>
    <row r="5" customFormat="false" ht="15" hidden="false" customHeight="false" outlineLevel="0" collapsed="false">
      <c r="A5" s="3" t="s">
        <v>45</v>
      </c>
      <c r="B5" s="0" t="n">
        <v>2023</v>
      </c>
    </row>
    <row r="6" customFormat="false" ht="15" hidden="false" customHeight="false" outlineLevel="0" collapsed="false">
      <c r="A6" s="3" t="s">
        <v>46</v>
      </c>
      <c r="B6" s="14" t="n">
        <v>519</v>
      </c>
    </row>
    <row r="7" customFormat="false" ht="15" hidden="false" customHeight="false" outlineLevel="0" collapsed="false">
      <c r="A7" s="3" t="s">
        <v>44</v>
      </c>
      <c r="B7" s="14" t="n">
        <v>3.1</v>
      </c>
    </row>
    <row r="9" customFormat="false" ht="15" hidden="false" customHeight="false" outlineLevel="0" collapsed="false">
      <c r="A9" s="3" t="s">
        <v>47</v>
      </c>
      <c r="B9" s="15" t="n">
        <f aca="false">B6-B3</f>
        <v>8</v>
      </c>
    </row>
    <row r="10" customFormat="false" ht="15" hidden="false" customHeight="false" outlineLevel="0" collapsed="false">
      <c r="A10" s="3" t="s">
        <v>48</v>
      </c>
      <c r="B10" s="16" t="n">
        <f aca="false">SQRT(B4^2+B7^2)</f>
        <v>4.60108682813094</v>
      </c>
    </row>
    <row r="11" customFormat="false" ht="15" hidden="false" customHeight="false" outlineLevel="0" collapsed="false">
      <c r="A11" s="3" t="s">
        <v>49</v>
      </c>
      <c r="B11" s="16" t="n">
        <f aca="false">B9/B10</f>
        <v>1.73871963273725</v>
      </c>
    </row>
    <row r="12" customFormat="false" ht="15" hidden="false" customHeight="false" outlineLevel="0" collapsed="false">
      <c r="A12" s="3" t="s">
        <v>28</v>
      </c>
      <c r="B12" s="15" t="str">
        <f aca="false">IF(ABS(B11)&gt;=1.96,"Statistically significant change","Change not significant: we cannot say that performance improved or declined")</f>
        <v>Change not significant: we cannot say that performance improved or declined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6"/>
  </cols>
  <sheetData>
    <row r="1" customFormat="false" ht="15" hidden="false" customHeight="false" outlineLevel="0" collapsed="false">
      <c r="A1" s="3" t="s">
        <v>50</v>
      </c>
    </row>
    <row r="2" customFormat="false" ht="28.35" hidden="false" customHeight="false" outlineLevel="0" collapsed="false">
      <c r="A2" s="4" t="s">
        <v>51</v>
      </c>
      <c r="B2" s="4" t="s">
        <v>52</v>
      </c>
      <c r="C2" s="4" t="s">
        <v>11</v>
      </c>
      <c r="D2" s="4" t="s">
        <v>12</v>
      </c>
    </row>
    <row r="3" customFormat="false" ht="15" hidden="false" customHeight="false" outlineLevel="0" collapsed="false">
      <c r="A3" s="6" t="s">
        <v>53</v>
      </c>
      <c r="B3" s="12" t="n">
        <v>0.18</v>
      </c>
      <c r="C3" s="6" t="n">
        <v>571</v>
      </c>
      <c r="D3" s="6" t="n">
        <v>4.2</v>
      </c>
    </row>
    <row r="4" customFormat="false" ht="15" hidden="false" customHeight="false" outlineLevel="0" collapsed="false">
      <c r="A4" s="6" t="s">
        <v>54</v>
      </c>
      <c r="B4" s="12" t="n">
        <v>0.67</v>
      </c>
      <c r="C4" s="6" t="n">
        <v>516</v>
      </c>
      <c r="D4" s="6" t="n">
        <v>3</v>
      </c>
    </row>
    <row r="5" customFormat="false" ht="15" hidden="false" customHeight="false" outlineLevel="0" collapsed="false">
      <c r="A5" s="6" t="s">
        <v>55</v>
      </c>
      <c r="B5" s="12" t="n">
        <v>0.15</v>
      </c>
      <c r="C5" s="6" t="n">
        <v>468</v>
      </c>
      <c r="D5" s="6" t="n">
        <v>5.1</v>
      </c>
    </row>
    <row r="7" customFormat="false" ht="15" hidden="false" customHeight="false" outlineLevel="0" collapsed="false">
      <c r="A7" s="3" t="s">
        <v>56</v>
      </c>
      <c r="C7" s="15" t="n">
        <f aca="false">C3-C5</f>
        <v>103</v>
      </c>
    </row>
    <row r="8" customFormat="false" ht="15" hidden="false" customHeight="false" outlineLevel="0" collapsed="false">
      <c r="A8" s="3" t="s">
        <v>57</v>
      </c>
      <c r="C8" s="16" t="n">
        <f aca="false">(C3-C5)/SQRT(D3^2+D5^2)</f>
        <v>15.5899635820698</v>
      </c>
    </row>
    <row r="9" customFormat="false" ht="15" hidden="false" customHeight="false" outlineLevel="0" collapsed="false">
      <c r="A9" s="3" t="s">
        <v>58</v>
      </c>
      <c r="C9" s="17" t="n">
        <f aca="false">SUMPRODUCT(B3:B5,C3:C5)</f>
        <v>518.7</v>
      </c>
    </row>
    <row r="11" customFormat="false" ht="15" hidden="false" customHeight="false" outlineLevel="0" collapsed="false">
      <c r="A11" s="18"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2026-10-15T03:53:15Z</dcterms:created>
  <dc:creator>openpyxl</dc:creator>
  <dc:description/>
  <dc:language>en-US</dc:language>
  <cp:lastModifiedBy/>
  <dcterms:modified xsi:type="dcterms:W3CDTF">2026-10-15T03:53:15Z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