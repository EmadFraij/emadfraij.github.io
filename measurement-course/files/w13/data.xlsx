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اقرأني" sheetId="1" state="visible" r:id="rId3"/>
    <sheet name="المتوسطات" sheetId="2" state="visible" r:id="rId4"/>
    <sheet name="المستويات المعيارية" sheetId="3" state="visible" r:id="rId5"/>
    <sheet name="الاتجاه" sheetId="4" state="visible" r:id="rId6"/>
    <sheet name="البيانات السياقية" sheetId="5" state="visible" r:id="rId7"/>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C1" authorId="0">
      <text>
        <r>
          <rPr>
            <sz val="10"/>
            <rFont val="FreeSans"/>
            <family val="2"/>
          </rPr>
          <t xml:space="preserve">الخطأ المعياري يعكس أن المتوسط مقدَّر من عينة. كلما كبر كان المتوسط أقل دقة</t>
        </r>
        <r>
          <rPr>
            <sz val="10"/>
            <rFont val="Arial"/>
            <family val="2"/>
          </rPr>
          <t xml:space="preserve">.</t>
        </r>
      </text>
    </comment>
    <comment ref="G7" authorId="0">
      <text>
        <r>
          <rPr>
            <sz val="10"/>
            <rFont val="FreeSans"/>
            <family val="2"/>
          </rPr>
          <t xml:space="preserve">إذا كانت القيمة المطلقة </t>
        </r>
        <r>
          <rPr>
            <sz val="10"/>
            <rFont val="Arial"/>
            <family val="2"/>
          </rPr>
          <t xml:space="preserve">1.96 فأكثر، فالفرق دال عند مستوى 0.05. التقارير الدولية تحسب الخطأ المعياري بدقة أكبر (المعاينة والقيم المحتملة)، ثم تختبر كل فرق عند 0.05. كثرة المقارنات تزيد احتمال فرق دال بالصدفة، فجدول الدلالة المنشور هو المرجع.</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A2" authorId="0">
      <text>
        <r>
          <rPr>
            <sz val="10"/>
            <rFont val="FreeSans"/>
            <family val="2"/>
          </rPr>
          <t xml:space="preserve">خطأ شائع: جمع النسب التراكمية كأنها فئات منفصلة. </t>
        </r>
        <r>
          <rPr>
            <sz val="10"/>
            <rFont val="Arial"/>
            <family val="2"/>
          </rPr>
          <t xml:space="preserve">45% «مرتفع» تشمل الـ14% الذين بلغوا «متقدم».</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A10" authorId="0">
      <text>
        <r>
          <rPr>
            <sz val="10"/>
            <rFont val="FreeSans"/>
            <family val="2"/>
          </rPr>
          <t xml:space="preserve">بعض الدراسات، مثل بيزا، تضيف «خطأ الربط» إلى الخطأ المعياري للتغيّر بين الدورات. أما تيمس </t>
        </r>
        <r>
          <rPr>
            <sz val="10"/>
            <rFont val="Arial"/>
            <family val="2"/>
          </rPr>
          <t xml:space="preserve">2023 فلا تضيفه في اختبار الاتجاه. التغيّر غير الدال هنا يبقى غير دال في الحالتين.</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A7" authorId="0">
      <text>
        <r>
          <rPr>
            <sz val="10"/>
            <rFont val="FreeSans"/>
            <family val="2"/>
          </rPr>
          <t xml:space="preserve">الفرق كبير ودال، لكنه ارتباط لا سبب: موارد البيت ترتبط بعوامل كثيرة أخرى، مثل تعليم الوالدين ودخل الأسرة ونوع المدرسة</t>
        </r>
        <r>
          <rPr>
            <sz val="10"/>
            <rFont val="Arial"/>
            <family val="2"/>
          </rPr>
          <t xml:space="preserve">.</t>
        </r>
      </text>
    </comment>
  </commentList>
</comments>
</file>

<file path=xl/sharedStrings.xml><?xml version="1.0" encoding="utf-8"?>
<sst xmlns="http://schemas.openxmlformats.org/spreadsheetml/2006/main" count="78" uniqueCount="60">
  <si>
    <t xml:space="preserve">مشغل الأسبوع 13 — قراءة تقارير الأداء والبيانات السياقية</t>
  </si>
  <si>
    <t xml:space="preserve">مساق القياس والتقويم التربوي — دبلوم الدراسات العليا المهني في التدريس</t>
  </si>
  <si>
    <t xml:space="preserve">تنبيه: الأنظمة التعليمية في هذا الملف وهمية، وأرقامها محاكاة بأسلوب تقارير الدراسات الدولية. لا تمثّل أي دولة حقيقية.</t>
  </si>
  <si>
    <t xml:space="preserve">المقياس مثل مقياس تيمس: نقطة المنتصف 500، والمستويات المعيارية الدولية 625 و550 و475 و400.</t>
  </si>
  <si>
    <t xml:space="preserve">أوراق المصنف:</t>
  </si>
  <si>
    <t xml:space="preserve">المتوسطات: متوسط كل نظام وخطؤه المعياري. اختر نظامين لترى هل الفرق بينهما دال إحصائياً.</t>
  </si>
  <si>
    <t xml:space="preserve">المستويات المعيارية: النسب التراكمية لبلوغ كل مستوى، وتحويلها إلى نسب داخل كل مستوى.</t>
  </si>
  <si>
    <t xml:space="preserve">الاتجاه: هل تغيّر أداء النظام د بين دورتين تغيّراً حقيقياً؟</t>
  </si>
  <si>
    <t xml:space="preserve">البيانات السياقية: أداء الطلبة حسب موارد التعلم في البيت.</t>
  </si>
  <si>
    <t xml:space="preserve">الفكرة الأساسية: الترتيب وحده مضلل. اقرأ الخطأ المعياري قبل أي مقارنة، ولا تقرأ الارتباط على أنه سبب.</t>
  </si>
  <si>
    <t xml:space="preserve">النظام</t>
  </si>
  <si>
    <t xml:space="preserve">المتوسط</t>
  </si>
  <si>
    <t xml:space="preserve">الخطأ المعياري</t>
  </si>
  <si>
    <t xml:space="preserve">حد أدنى لنطاق 95%</t>
  </si>
  <si>
    <t xml:space="preserve">حد أعلى لنطاق 95%</t>
  </si>
  <si>
    <t xml:space="preserve">قارن نظامين</t>
  </si>
  <si>
    <t xml:space="preserve">النظام أ</t>
  </si>
  <si>
    <t xml:space="preserve">النظام الأول</t>
  </si>
  <si>
    <t xml:space="preserve">النظام ب</t>
  </si>
  <si>
    <t xml:space="preserve">النظام الثاني</t>
  </si>
  <si>
    <t xml:space="preserve">النظام ج</t>
  </si>
  <si>
    <t xml:space="preserve">النظام د</t>
  </si>
  <si>
    <t xml:space="preserve">الفرق بين المتوسطين</t>
  </si>
  <si>
    <t xml:space="preserve">النظام هـ</t>
  </si>
  <si>
    <t xml:space="preserve">الخطأ المعياري للفرق</t>
  </si>
  <si>
    <t xml:space="preserve">النظام و</t>
  </si>
  <si>
    <t xml:space="preserve">النسبة الحرجة (الفرق ÷ خطئه المعياري)</t>
  </si>
  <si>
    <t xml:space="preserve">النظام ز</t>
  </si>
  <si>
    <t xml:space="preserve">الحكم</t>
  </si>
  <si>
    <t xml:space="preserve">النظام ح</t>
  </si>
  <si>
    <t xml:space="preserve">النسب التراكمية كما تنشرها التقارير: نسبة من بلغ المستوى أو تجاوزه</t>
  </si>
  <si>
    <t xml:space="preserve">متقدم (625)</t>
  </si>
  <si>
    <t xml:space="preserve">مرتفع (550)</t>
  </si>
  <si>
    <t xml:space="preserve">متوسط (475)</t>
  </si>
  <si>
    <t xml:space="preserve">منخفض (400)</t>
  </si>
  <si>
    <t xml:space="preserve">التحويل: نسبة الطلبة داخل كل فئة (تُحسب تلقائياً)</t>
  </si>
  <si>
    <t xml:space="preserve">متقدم</t>
  </si>
  <si>
    <t xml:space="preserve">بين المرتفع والمتقدم</t>
  </si>
  <si>
    <t xml:space="preserve">بين المتوسط والمرتفع</t>
  </si>
  <si>
    <t xml:space="preserve">بين المنخفض والمتوسط</t>
  </si>
  <si>
    <t xml:space="preserve">دون المنخفض</t>
  </si>
  <si>
    <t xml:space="preserve">المجموع</t>
  </si>
  <si>
    <t xml:space="preserve">الدورة الأولى</t>
  </si>
  <si>
    <t xml:space="preserve">متوسط الدورة الأولى</t>
  </si>
  <si>
    <t xml:space="preserve">خطؤه المعياري</t>
  </si>
  <si>
    <t xml:space="preserve">الدورة الثانية</t>
  </si>
  <si>
    <t xml:space="preserve">متوسط الدورة الثانية</t>
  </si>
  <si>
    <t xml:space="preserve">التغيّر</t>
  </si>
  <si>
    <t xml:space="preserve">الخطأ المعياري للتغيّر</t>
  </si>
  <si>
    <t xml:space="preserve">النسبة الحرجة</t>
  </si>
  <si>
    <t xml:space="preserve">النظام د: الأداء حسب موارد التعلم في البيت (من استبانة الطالب)</t>
  </si>
  <si>
    <t xml:space="preserve">الفئة</t>
  </si>
  <si>
    <t xml:space="preserve">نسبة الطلبة</t>
  </si>
  <si>
    <t xml:space="preserve">موارد كثيرة</t>
  </si>
  <si>
    <t xml:space="preserve">بعض الموارد</t>
  </si>
  <si>
    <t xml:space="preserve">موارد قليلة</t>
  </si>
  <si>
    <t xml:space="preserve">الفرق بين «موارد كثيرة» و«موارد قليلة»</t>
  </si>
  <si>
    <t xml:space="preserve">النسبة الحرجة للفرق</t>
  </si>
  <si>
    <t xml:space="preserve">المتوسط الموزون بنسب الطلبة</t>
  </si>
  <si>
    <t xml:space="preserve">المتوسط الموزون يقارب متوسط النظام المنشور (519)، وهذا فحص سريع لاتساق قراءتك للجدول.</t>
  </si>
</sst>
</file>

<file path=xl/styles.xml><?xml version="1.0" encoding="utf-8"?>
<styleSheet xmlns="http://schemas.openxmlformats.org/spreadsheetml/2006/main">
  <numFmts count="5">
    <numFmt numFmtId="164" formatCode="General"/>
    <numFmt numFmtId="165" formatCode="0.0"/>
    <numFmt numFmtId="166" formatCode="0.00"/>
    <numFmt numFmtId="167" formatCode="0%"/>
    <numFmt numFmtId="168" formatCode="General"/>
  </numFmts>
  <fonts count="14">
    <font>
      <sz val="11"/>
      <color theme="1"/>
      <name val="Calibri"/>
      <family val="2"/>
      <charset val="1"/>
    </font>
    <font>
      <sz val="10"/>
      <name val="Arial"/>
      <family val="0"/>
    </font>
    <font>
      <sz val="10"/>
      <name val="Arial"/>
      <family val="0"/>
    </font>
    <font>
      <sz val="10"/>
      <name val="Arial"/>
      <family val="0"/>
    </font>
    <font>
      <b val="true"/>
      <sz val="13"/>
      <color rgb="FF1F4E79"/>
      <name val="IBM Plex Sans Arabic"/>
      <family val="0"/>
      <charset val="1"/>
    </font>
    <font>
      <sz val="11"/>
      <name val="IBM Plex Sans Arabic"/>
      <family val="0"/>
      <charset val="1"/>
    </font>
    <font>
      <b val="true"/>
      <sz val="11"/>
      <name val="IBM Plex Sans Arabic"/>
      <family val="0"/>
      <charset val="1"/>
    </font>
    <font>
      <b val="true"/>
      <sz val="11"/>
      <color rgb="FFFFFFFF"/>
      <name val="IBM Plex Sans Arabic"/>
      <family val="0"/>
      <charset val="1"/>
    </font>
    <font>
      <b val="true"/>
      <sz val="12"/>
      <color rgb="FF1F4E79"/>
      <name val="IBM Plex Sans Arabic"/>
      <family val="0"/>
      <charset val="1"/>
    </font>
    <font>
      <sz val="10"/>
      <name val="FreeSans"/>
      <family val="2"/>
    </font>
    <font>
      <sz val="10"/>
      <name val="Arial"/>
      <family val="2"/>
    </font>
    <font>
      <sz val="11"/>
      <color theme="1"/>
      <name val="FreeSans"/>
      <family val="2"/>
    </font>
    <font>
      <sz val="11"/>
      <color rgb="FF0000FF"/>
      <name val="IBM Plex Sans Arabic"/>
      <family val="0"/>
      <charset val="1"/>
    </font>
    <font>
      <sz val="11"/>
      <color rgb="FF595959"/>
      <name val="IBM Plex Sans Arabic"/>
      <family val="0"/>
      <charset val="1"/>
    </font>
  </fonts>
  <fills count="4">
    <fill>
      <patternFill patternType="none"/>
    </fill>
    <fill>
      <patternFill patternType="gray125"/>
    </fill>
    <fill>
      <patternFill patternType="solid">
        <fgColor rgb="FF1F4E79"/>
        <bgColor rgb="FF003366"/>
      </patternFill>
    </fill>
    <fill>
      <patternFill patternType="solid">
        <fgColor rgb="FFFFF2CC"/>
        <bgColor rgb="FFFFE69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5" fontId="5"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right"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6" fontId="6" fillId="0" borderId="1" xfId="0" applyFont="true" applyBorder="true" applyAlignment="true" applyProtection="false">
      <alignment horizontal="center" vertical="center" textRotation="0" wrapText="true" indent="0" shrinkToFit="false"/>
      <protection locked="true" hidden="false"/>
    </xf>
    <xf numFmtId="167" fontId="5" fillId="0" borderId="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false" applyAlignment="false" applyProtection="false">
      <alignment horizontal="general" vertical="bottom" textRotation="0" wrapText="false" indent="0" shrinkToFit="false"/>
      <protection locked="true" hidden="false"/>
    </xf>
    <xf numFmtId="168" fontId="6"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C6EFCE"/>
        </patternFill>
      </fill>
    </dxf>
    <dxf>
      <fill>
        <patternFill>
          <bgColor rgb="FFFFE69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6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true" showRowColHeaders="true" showZeros="true" rightToLeft="tru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5"/>
  </cols>
  <sheetData>
    <row r="1" customFormat="false" ht="20.1"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7.9" hidden="false" customHeight="false" outlineLevel="0" collapsed="false">
      <c r="A4" s="3" t="s">
        <v>2</v>
      </c>
    </row>
    <row r="5" customFormat="false" ht="17.9" hidden="false" customHeight="false" outlineLevel="0" collapsed="false">
      <c r="A5" s="2" t="s">
        <v>3</v>
      </c>
    </row>
    <row r="6" customFormat="false" ht="15" hidden="false" customHeight="false" outlineLevel="0" collapsed="false">
      <c r="A6" s="2"/>
    </row>
    <row r="7" customFormat="false" ht="17.9" hidden="false" customHeight="false" outlineLevel="0" collapsed="false">
      <c r="A7" s="3" t="s">
        <v>4</v>
      </c>
    </row>
    <row r="8" customFormat="false" ht="17.9" hidden="false" customHeight="false" outlineLevel="0" collapsed="false">
      <c r="A8" s="2" t="s">
        <v>5</v>
      </c>
    </row>
    <row r="9" customFormat="false" ht="17.9" hidden="false" customHeight="false" outlineLevel="0" collapsed="false">
      <c r="A9" s="2" t="s">
        <v>6</v>
      </c>
    </row>
    <row r="10" customFormat="false" ht="17.9" hidden="false" customHeight="false" outlineLevel="0" collapsed="false">
      <c r="A10" s="2" t="s">
        <v>7</v>
      </c>
    </row>
    <row r="11" customFormat="false" ht="17.9" hidden="false" customHeight="false" outlineLevel="0" collapsed="false">
      <c r="A11" s="2" t="s">
        <v>8</v>
      </c>
    </row>
    <row r="12" customFormat="false" ht="15" hidden="false" customHeight="false" outlineLevel="0" collapsed="false">
      <c r="A12" s="2"/>
    </row>
    <row r="13" customFormat="false" ht="17.9" hidden="false" customHeight="false" outlineLevel="0" collapsed="false">
      <c r="A13" s="3" t="s">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5" min="2" style="0" width="16"/>
    <col collapsed="false" customWidth="true" hidden="false" outlineLevel="0" max="7" min="7" style="0" width="36"/>
    <col collapsed="false" customWidth="true" hidden="false" outlineLevel="0" max="8" min="8" style="0" width="44"/>
  </cols>
  <sheetData>
    <row r="1" customFormat="false" ht="34.3" hidden="false" customHeight="false" outlineLevel="0" collapsed="false">
      <c r="A1" s="4" t="s">
        <v>10</v>
      </c>
      <c r="B1" s="4" t="s">
        <v>11</v>
      </c>
      <c r="C1" s="4" t="s">
        <v>12</v>
      </c>
      <c r="D1" s="4" t="s">
        <v>13</v>
      </c>
      <c r="E1" s="4" t="s">
        <v>14</v>
      </c>
      <c r="G1" s="5" t="s">
        <v>15</v>
      </c>
    </row>
    <row r="2" customFormat="false" ht="17.9" hidden="false" customHeight="false" outlineLevel="0" collapsed="false">
      <c r="A2" s="6" t="s">
        <v>16</v>
      </c>
      <c r="B2" s="6" t="n">
        <v>552</v>
      </c>
      <c r="C2" s="6" t="n">
        <v>2.4</v>
      </c>
      <c r="D2" s="7" t="n">
        <f aca="false">B2-1.96*C2</f>
        <v>547.296</v>
      </c>
      <c r="E2" s="7" t="n">
        <f aca="false">B2+1.96*C2</f>
        <v>556.704</v>
      </c>
      <c r="G2" s="8" t="s">
        <v>17</v>
      </c>
      <c r="H2" s="9" t="s">
        <v>16</v>
      </c>
    </row>
    <row r="3" customFormat="false" ht="17.9" hidden="false" customHeight="false" outlineLevel="0" collapsed="false">
      <c r="A3" s="6" t="s">
        <v>18</v>
      </c>
      <c r="B3" s="6" t="n">
        <v>547</v>
      </c>
      <c r="C3" s="6" t="n">
        <v>4.8</v>
      </c>
      <c r="D3" s="7" t="n">
        <f aca="false">B3-1.96*C3</f>
        <v>537.592</v>
      </c>
      <c r="E3" s="7" t="n">
        <f aca="false">B3+1.96*C3</f>
        <v>556.408</v>
      </c>
      <c r="G3" s="8" t="s">
        <v>19</v>
      </c>
      <c r="H3" s="9" t="s">
        <v>18</v>
      </c>
    </row>
    <row r="4" customFormat="false" ht="17.9" hidden="false" customHeight="false" outlineLevel="0" collapsed="false">
      <c r="A4" s="6" t="s">
        <v>20</v>
      </c>
      <c r="B4" s="6" t="n">
        <v>531</v>
      </c>
      <c r="C4" s="6" t="n">
        <v>2.9</v>
      </c>
      <c r="D4" s="7" t="n">
        <f aca="false">B4-1.96*C4</f>
        <v>525.316</v>
      </c>
      <c r="E4" s="7" t="n">
        <f aca="false">B4+1.96*C4</f>
        <v>536.684</v>
      </c>
      <c r="G4" s="8"/>
      <c r="H4" s="10"/>
    </row>
    <row r="5" customFormat="false" ht="17.9" hidden="false" customHeight="false" outlineLevel="0" collapsed="false">
      <c r="A5" s="6" t="s">
        <v>21</v>
      </c>
      <c r="B5" s="6" t="n">
        <v>519</v>
      </c>
      <c r="C5" s="6" t="n">
        <v>3.1</v>
      </c>
      <c r="D5" s="7" t="n">
        <f aca="false">B5-1.96*C5</f>
        <v>512.924</v>
      </c>
      <c r="E5" s="7" t="n">
        <f aca="false">B5+1.96*C5</f>
        <v>525.076</v>
      </c>
      <c r="G5" s="8" t="s">
        <v>22</v>
      </c>
      <c r="H5" s="10" t="n">
        <f aca="false">VLOOKUP(H2,$A$2:$C$9,2,FALSE())-VLOOKUP(H3,$A$2:$C$9,2,FALSE())</f>
        <v>5</v>
      </c>
    </row>
    <row r="6" customFormat="false" ht="17.9" hidden="false" customHeight="false" outlineLevel="0" collapsed="false">
      <c r="A6" s="6" t="s">
        <v>23</v>
      </c>
      <c r="B6" s="6" t="n">
        <v>516</v>
      </c>
      <c r="C6" s="6" t="n">
        <v>5.6</v>
      </c>
      <c r="D6" s="7" t="n">
        <f aca="false">B6-1.96*C6</f>
        <v>505.024</v>
      </c>
      <c r="E6" s="7" t="n">
        <f aca="false">B6+1.96*C6</f>
        <v>526.976</v>
      </c>
      <c r="G6" s="8" t="s">
        <v>24</v>
      </c>
      <c r="H6" s="11" t="n">
        <f aca="false">SQRT(VLOOKUP(H2,$A$2:$C$9,3,FALSE())^2+VLOOKUP(H3,$A$2:$C$9,3,FALSE())^2)</f>
        <v>5.3665631459995</v>
      </c>
    </row>
    <row r="7" customFormat="false" ht="17.9" hidden="false" customHeight="false" outlineLevel="0" collapsed="false">
      <c r="A7" s="6" t="s">
        <v>25</v>
      </c>
      <c r="B7" s="6" t="n">
        <v>489</v>
      </c>
      <c r="C7" s="6" t="n">
        <v>2.6</v>
      </c>
      <c r="D7" s="7" t="n">
        <f aca="false">B7-1.96*C7</f>
        <v>483.904</v>
      </c>
      <c r="E7" s="7" t="n">
        <f aca="false">B7+1.96*C7</f>
        <v>494.096</v>
      </c>
      <c r="G7" s="8" t="s">
        <v>26</v>
      </c>
      <c r="H7" s="11" t="n">
        <f aca="false">H5/H6</f>
        <v>0.931694990624912</v>
      </c>
    </row>
    <row r="8" customFormat="false" ht="17.9" hidden="false" customHeight="false" outlineLevel="0" collapsed="false">
      <c r="A8" s="6" t="s">
        <v>27</v>
      </c>
      <c r="B8" s="6" t="n">
        <v>474</v>
      </c>
      <c r="C8" s="6" t="n">
        <v>3.8</v>
      </c>
      <c r="D8" s="7" t="n">
        <f aca="false">B8-1.96*C8</f>
        <v>466.552</v>
      </c>
      <c r="E8" s="7" t="n">
        <f aca="false">B8+1.96*C8</f>
        <v>481.448</v>
      </c>
      <c r="G8" s="8" t="s">
        <v>28</v>
      </c>
      <c r="H8" s="10" t="str">
        <f aca="false">IF(H2=H3,"اختر نظامين مختلفين",IF(ABS(H7)&gt;=1.96,"الفرق دال إحصائياً","الفرق غير دال: لا نستطيع القول إن أحدهما أعلى"))</f>
        <v>الفرق غير دال: لا نستطيع القول إن أحدهما أعلى</v>
      </c>
    </row>
    <row r="9" customFormat="false" ht="17.9" hidden="false" customHeight="false" outlineLevel="0" collapsed="false">
      <c r="A9" s="6" t="s">
        <v>29</v>
      </c>
      <c r="B9" s="6" t="n">
        <v>452</v>
      </c>
      <c r="C9" s="6" t="n">
        <v>4.4</v>
      </c>
      <c r="D9" s="7" t="n">
        <f aca="false">B9-1.96*C9</f>
        <v>443.376</v>
      </c>
      <c r="E9" s="7" t="n">
        <f aca="false">B9+1.96*C9</f>
        <v>460.624</v>
      </c>
    </row>
  </sheetData>
  <conditionalFormatting sqref="H8">
    <cfRule type="expression" priority="2" aboveAverage="0" equalAverage="0" bottom="0" percent="0" rank="0" text="" dxfId="0">
      <formula>LEFT(H8,9)="الفرق دال"</formula>
    </cfRule>
    <cfRule type="expression" priority="3" aboveAverage="0" equalAverage="0" bottom="0" percent="0" rank="0" text="" dxfId="1">
      <formula>LEFT(H8,10)="الفرق غير "</formula>
    </cfRule>
  </conditionalFormatting>
  <dataValidations count="1">
    <dataValidation allowBlank="false" errorStyle="stop" operator="between" showDropDown="false" showErrorMessage="false" showInputMessage="false" sqref="H2:H3" type="list">
      <formula1>$A$2:$A$9</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7" min="2" style="0" width="20"/>
  </cols>
  <sheetData>
    <row r="1" customFormat="false" ht="17.9" hidden="false" customHeight="false" outlineLevel="0" collapsed="false">
      <c r="A1" s="3" t="s">
        <v>30</v>
      </c>
    </row>
    <row r="2" customFormat="false" ht="17.9" hidden="false" customHeight="false" outlineLevel="0" collapsed="false">
      <c r="A2" s="4" t="s">
        <v>10</v>
      </c>
      <c r="B2" s="4" t="s">
        <v>31</v>
      </c>
      <c r="C2" s="4" t="s">
        <v>32</v>
      </c>
      <c r="D2" s="4" t="s">
        <v>33</v>
      </c>
      <c r="E2" s="4" t="s">
        <v>34</v>
      </c>
    </row>
    <row r="3" customFormat="false" ht="17.9" hidden="false" customHeight="false" outlineLevel="0" collapsed="false">
      <c r="A3" s="6" t="s">
        <v>16</v>
      </c>
      <c r="B3" s="12" t="n">
        <v>0.14</v>
      </c>
      <c r="C3" s="12" t="n">
        <v>0.45</v>
      </c>
      <c r="D3" s="12" t="n">
        <v>0.77</v>
      </c>
      <c r="E3" s="12" t="n">
        <v>0.94</v>
      </c>
    </row>
    <row r="4" customFormat="false" ht="17.9" hidden="false" customHeight="false" outlineLevel="0" collapsed="false">
      <c r="A4" s="6" t="s">
        <v>18</v>
      </c>
      <c r="B4" s="12" t="n">
        <v>0.13</v>
      </c>
      <c r="C4" s="12" t="n">
        <v>0.42</v>
      </c>
      <c r="D4" s="12" t="n">
        <v>0.74</v>
      </c>
      <c r="E4" s="12" t="n">
        <v>0.92</v>
      </c>
    </row>
    <row r="5" customFormat="false" ht="17.9" hidden="false" customHeight="false" outlineLevel="0" collapsed="false">
      <c r="A5" s="6" t="s">
        <v>20</v>
      </c>
      <c r="B5" s="12" t="n">
        <v>0.09</v>
      </c>
      <c r="C5" s="12" t="n">
        <v>0.34</v>
      </c>
      <c r="D5" s="12" t="n">
        <v>0.69</v>
      </c>
      <c r="E5" s="12" t="n">
        <v>0.91</v>
      </c>
    </row>
    <row r="6" customFormat="false" ht="17.9" hidden="false" customHeight="false" outlineLevel="0" collapsed="false">
      <c r="A6" s="6" t="s">
        <v>21</v>
      </c>
      <c r="B6" s="12" t="n">
        <v>0.07</v>
      </c>
      <c r="C6" s="12" t="n">
        <v>0.29</v>
      </c>
      <c r="D6" s="12" t="n">
        <v>0.62</v>
      </c>
      <c r="E6" s="12" t="n">
        <v>0.88</v>
      </c>
    </row>
    <row r="7" customFormat="false" ht="17.9" hidden="false" customHeight="false" outlineLevel="0" collapsed="false">
      <c r="A7" s="6" t="s">
        <v>23</v>
      </c>
      <c r="B7" s="12" t="n">
        <v>0.08</v>
      </c>
      <c r="C7" s="12" t="n">
        <v>0.3</v>
      </c>
      <c r="D7" s="12" t="n">
        <v>0.6</v>
      </c>
      <c r="E7" s="12" t="n">
        <v>0.85</v>
      </c>
    </row>
    <row r="8" customFormat="false" ht="17.9" hidden="false" customHeight="false" outlineLevel="0" collapsed="false">
      <c r="A8" s="6" t="s">
        <v>25</v>
      </c>
      <c r="B8" s="12" t="n">
        <v>0.03</v>
      </c>
      <c r="C8" s="12" t="n">
        <v>0.18</v>
      </c>
      <c r="D8" s="12" t="n">
        <v>0.49</v>
      </c>
      <c r="E8" s="12" t="n">
        <v>0.8</v>
      </c>
    </row>
    <row r="9" customFormat="false" ht="17.9" hidden="false" customHeight="false" outlineLevel="0" collapsed="false">
      <c r="A9" s="6" t="s">
        <v>27</v>
      </c>
      <c r="B9" s="12" t="n">
        <v>0.02</v>
      </c>
      <c r="C9" s="12" t="n">
        <v>0.14</v>
      </c>
      <c r="D9" s="12" t="n">
        <v>0.42</v>
      </c>
      <c r="E9" s="12" t="n">
        <v>0.74</v>
      </c>
    </row>
    <row r="10" customFormat="false" ht="17.9" hidden="false" customHeight="false" outlineLevel="0" collapsed="false">
      <c r="A10" s="6" t="s">
        <v>29</v>
      </c>
      <c r="B10" s="12" t="n">
        <v>0.01</v>
      </c>
      <c r="C10" s="12" t="n">
        <v>0.09</v>
      </c>
      <c r="D10" s="12" t="n">
        <v>0.33</v>
      </c>
      <c r="E10" s="12" t="n">
        <v>0.64</v>
      </c>
    </row>
    <row r="12" customFormat="false" ht="17.9" hidden="false" customHeight="false" outlineLevel="0" collapsed="false">
      <c r="A12" s="3" t="s">
        <v>35</v>
      </c>
    </row>
    <row r="13" customFormat="false" ht="34.3" hidden="false" customHeight="false" outlineLevel="0" collapsed="false">
      <c r="A13" s="4" t="s">
        <v>10</v>
      </c>
      <c r="B13" s="4" t="s">
        <v>36</v>
      </c>
      <c r="C13" s="4" t="s">
        <v>37</v>
      </c>
      <c r="D13" s="4" t="s">
        <v>38</v>
      </c>
      <c r="E13" s="4" t="s">
        <v>39</v>
      </c>
      <c r="F13" s="4" t="s">
        <v>40</v>
      </c>
      <c r="G13" s="4" t="s">
        <v>41</v>
      </c>
    </row>
    <row r="14" customFormat="false" ht="17.9" hidden="false" customHeight="false" outlineLevel="0" collapsed="false">
      <c r="A14" s="6" t="str">
        <f aca="false">A3</f>
        <v>النظام أ</v>
      </c>
      <c r="B14" s="12" t="n">
        <f aca="false">B3</f>
        <v>0.14</v>
      </c>
      <c r="C14" s="12" t="n">
        <f aca="false">C3-B3</f>
        <v>0.31</v>
      </c>
      <c r="D14" s="12" t="n">
        <f aca="false">D3-C3</f>
        <v>0.32</v>
      </c>
      <c r="E14" s="12" t="n">
        <f aca="false">E3-D3</f>
        <v>0.17</v>
      </c>
      <c r="F14" s="12" t="n">
        <f aca="false">1-E3</f>
        <v>0.0600000000000001</v>
      </c>
      <c r="G14" s="12" t="n">
        <f aca="false">SUM(B14:F14)</f>
        <v>1</v>
      </c>
    </row>
    <row r="15" customFormat="false" ht="17.9" hidden="false" customHeight="false" outlineLevel="0" collapsed="false">
      <c r="A15" s="6" t="str">
        <f aca="false">A4</f>
        <v>النظام ب</v>
      </c>
      <c r="B15" s="12" t="n">
        <f aca="false">B4</f>
        <v>0.13</v>
      </c>
      <c r="C15" s="12" t="n">
        <f aca="false">C4-B4</f>
        <v>0.29</v>
      </c>
      <c r="D15" s="12" t="n">
        <f aca="false">D4-C4</f>
        <v>0.32</v>
      </c>
      <c r="E15" s="12" t="n">
        <f aca="false">E4-D4</f>
        <v>0.18</v>
      </c>
      <c r="F15" s="12" t="n">
        <f aca="false">1-E4</f>
        <v>0.08</v>
      </c>
      <c r="G15" s="12" t="n">
        <f aca="false">SUM(B15:F15)</f>
        <v>1</v>
      </c>
    </row>
    <row r="16" customFormat="false" ht="17.9" hidden="false" customHeight="false" outlineLevel="0" collapsed="false">
      <c r="A16" s="6" t="str">
        <f aca="false">A5</f>
        <v>النظام ج</v>
      </c>
      <c r="B16" s="12" t="n">
        <f aca="false">B5</f>
        <v>0.09</v>
      </c>
      <c r="C16" s="12" t="n">
        <f aca="false">C5-B5</f>
        <v>0.25</v>
      </c>
      <c r="D16" s="12" t="n">
        <f aca="false">D5-C5</f>
        <v>0.35</v>
      </c>
      <c r="E16" s="12" t="n">
        <f aca="false">E5-D5</f>
        <v>0.22</v>
      </c>
      <c r="F16" s="12" t="n">
        <f aca="false">1-E5</f>
        <v>0.09</v>
      </c>
      <c r="G16" s="12" t="n">
        <f aca="false">SUM(B16:F16)</f>
        <v>1</v>
      </c>
    </row>
    <row r="17" customFormat="false" ht="17.9" hidden="false" customHeight="false" outlineLevel="0" collapsed="false">
      <c r="A17" s="6" t="str">
        <f aca="false">A6</f>
        <v>النظام د</v>
      </c>
      <c r="B17" s="12" t="n">
        <f aca="false">B6</f>
        <v>0.07</v>
      </c>
      <c r="C17" s="12" t="n">
        <f aca="false">C6-B6</f>
        <v>0.22</v>
      </c>
      <c r="D17" s="12" t="n">
        <f aca="false">D6-C6</f>
        <v>0.33</v>
      </c>
      <c r="E17" s="12" t="n">
        <f aca="false">E6-D6</f>
        <v>0.26</v>
      </c>
      <c r="F17" s="12" t="n">
        <f aca="false">1-E6</f>
        <v>0.12</v>
      </c>
      <c r="G17" s="12" t="n">
        <f aca="false">SUM(B17:F17)</f>
        <v>1</v>
      </c>
    </row>
    <row r="18" customFormat="false" ht="17.9" hidden="false" customHeight="false" outlineLevel="0" collapsed="false">
      <c r="A18" s="6" t="str">
        <f aca="false">A7</f>
        <v>النظام هـ</v>
      </c>
      <c r="B18" s="12" t="n">
        <f aca="false">B7</f>
        <v>0.08</v>
      </c>
      <c r="C18" s="12" t="n">
        <f aca="false">C7-B7</f>
        <v>0.22</v>
      </c>
      <c r="D18" s="12" t="n">
        <f aca="false">D7-C7</f>
        <v>0.3</v>
      </c>
      <c r="E18" s="12" t="n">
        <f aca="false">E7-D7</f>
        <v>0.25</v>
      </c>
      <c r="F18" s="12" t="n">
        <f aca="false">1-E7</f>
        <v>0.15</v>
      </c>
      <c r="G18" s="12" t="n">
        <f aca="false">SUM(B18:F18)</f>
        <v>1</v>
      </c>
    </row>
    <row r="19" customFormat="false" ht="17.9" hidden="false" customHeight="false" outlineLevel="0" collapsed="false">
      <c r="A19" s="6" t="str">
        <f aca="false">A8</f>
        <v>النظام و</v>
      </c>
      <c r="B19" s="12" t="n">
        <f aca="false">B8</f>
        <v>0.03</v>
      </c>
      <c r="C19" s="12" t="n">
        <f aca="false">C8-B8</f>
        <v>0.15</v>
      </c>
      <c r="D19" s="12" t="n">
        <f aca="false">D8-C8</f>
        <v>0.31</v>
      </c>
      <c r="E19" s="12" t="n">
        <f aca="false">E8-D8</f>
        <v>0.31</v>
      </c>
      <c r="F19" s="12" t="n">
        <f aca="false">1-E8</f>
        <v>0.2</v>
      </c>
      <c r="G19" s="12" t="n">
        <f aca="false">SUM(B19:F19)</f>
        <v>1</v>
      </c>
    </row>
    <row r="20" customFormat="false" ht="17.9" hidden="false" customHeight="false" outlineLevel="0" collapsed="false">
      <c r="A20" s="6" t="str">
        <f aca="false">A9</f>
        <v>النظام ز</v>
      </c>
      <c r="B20" s="12" t="n">
        <f aca="false">B9</f>
        <v>0.02</v>
      </c>
      <c r="C20" s="12" t="n">
        <f aca="false">C9-B9</f>
        <v>0.12</v>
      </c>
      <c r="D20" s="12" t="n">
        <f aca="false">D9-C9</f>
        <v>0.28</v>
      </c>
      <c r="E20" s="12" t="n">
        <f aca="false">E9-D9</f>
        <v>0.32</v>
      </c>
      <c r="F20" s="12" t="n">
        <f aca="false">1-E9</f>
        <v>0.26</v>
      </c>
      <c r="G20" s="12" t="n">
        <f aca="false">SUM(B20:F20)</f>
        <v>1</v>
      </c>
    </row>
    <row r="21" customFormat="false" ht="17.9" hidden="false" customHeight="false" outlineLevel="0" collapsed="false">
      <c r="A21" s="6" t="str">
        <f aca="false">A10</f>
        <v>النظام ح</v>
      </c>
      <c r="B21" s="12" t="n">
        <f aca="false">B10</f>
        <v>0.01</v>
      </c>
      <c r="C21" s="12" t="n">
        <f aca="false">C10-B10</f>
        <v>0.08</v>
      </c>
      <c r="D21" s="12" t="n">
        <f aca="false">D10-C10</f>
        <v>0.24</v>
      </c>
      <c r="E21" s="12" t="n">
        <f aca="false">E10-D10</f>
        <v>0.31</v>
      </c>
      <c r="F21" s="12" t="n">
        <f aca="false">1-E10</f>
        <v>0.36</v>
      </c>
      <c r="G21" s="12" t="n">
        <f aca="false">SUM(B21:F21)</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60"/>
  </cols>
  <sheetData>
    <row r="1" customFormat="false" ht="15" hidden="false" customHeight="false" outlineLevel="0" collapsed="false">
      <c r="A1" s="3" t="s">
        <v>10</v>
      </c>
      <c r="B1" s="13" t="s">
        <v>21</v>
      </c>
    </row>
    <row r="2" customFormat="false" ht="15" hidden="false" customHeight="false" outlineLevel="0" collapsed="false">
      <c r="A2" s="3" t="s">
        <v>42</v>
      </c>
      <c r="B2" s="0" t="n">
        <v>2019</v>
      </c>
    </row>
    <row r="3" customFormat="false" ht="15" hidden="false" customHeight="false" outlineLevel="0" collapsed="false">
      <c r="A3" s="3" t="s">
        <v>43</v>
      </c>
      <c r="B3" s="14" t="n">
        <v>511</v>
      </c>
    </row>
    <row r="4" customFormat="false" ht="15" hidden="false" customHeight="false" outlineLevel="0" collapsed="false">
      <c r="A4" s="3" t="s">
        <v>44</v>
      </c>
      <c r="B4" s="14" t="n">
        <v>3.4</v>
      </c>
    </row>
    <row r="5" customFormat="false" ht="15" hidden="false" customHeight="false" outlineLevel="0" collapsed="false">
      <c r="A5" s="3" t="s">
        <v>45</v>
      </c>
      <c r="B5" s="0" t="n">
        <v>2023</v>
      </c>
    </row>
    <row r="6" customFormat="false" ht="15" hidden="false" customHeight="false" outlineLevel="0" collapsed="false">
      <c r="A6" s="3" t="s">
        <v>46</v>
      </c>
      <c r="B6" s="14" t="n">
        <v>519</v>
      </c>
    </row>
    <row r="7" customFormat="false" ht="15" hidden="false" customHeight="false" outlineLevel="0" collapsed="false">
      <c r="A7" s="3" t="s">
        <v>44</v>
      </c>
      <c r="B7" s="14" t="n">
        <v>3.1</v>
      </c>
    </row>
    <row r="9" customFormat="false" ht="15" hidden="false" customHeight="false" outlineLevel="0" collapsed="false">
      <c r="A9" s="3" t="s">
        <v>47</v>
      </c>
      <c r="B9" s="15" t="n">
        <f aca="false">B6-B3</f>
        <v>8</v>
      </c>
    </row>
    <row r="10" customFormat="false" ht="15" hidden="false" customHeight="false" outlineLevel="0" collapsed="false">
      <c r="A10" s="3" t="s">
        <v>48</v>
      </c>
      <c r="B10" s="16" t="n">
        <f aca="false">SQRT(B4^2+B7^2)</f>
        <v>4.60108682813094</v>
      </c>
    </row>
    <row r="11" customFormat="false" ht="15" hidden="false" customHeight="false" outlineLevel="0" collapsed="false">
      <c r="A11" s="3" t="s">
        <v>49</v>
      </c>
      <c r="B11" s="16" t="n">
        <f aca="false">B9/B10</f>
        <v>1.73871963273725</v>
      </c>
    </row>
    <row r="12" customFormat="false" ht="17.9" hidden="false" customHeight="false" outlineLevel="0" collapsed="false">
      <c r="A12" s="3" t="s">
        <v>28</v>
      </c>
      <c r="B12" s="15" t="str">
        <f aca="false">IF(ABS(B11)&gt;=1.96,"تغيّر دال إحصائياً","تغيّر غير دال: لا نستطيع القول إن الأداء تحسّن أو تراجع")</f>
        <v>تغيّر غير دال: لا نستطيع القول إن الأداء تحسّن أو تراجع</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4" min="2" style="0" width="16"/>
  </cols>
  <sheetData>
    <row r="1" customFormat="false" ht="17.9" hidden="false" customHeight="false" outlineLevel="0" collapsed="false">
      <c r="A1" s="3" t="s">
        <v>50</v>
      </c>
    </row>
    <row r="2" customFormat="false" ht="17.9" hidden="false" customHeight="false" outlineLevel="0" collapsed="false">
      <c r="A2" s="4" t="s">
        <v>51</v>
      </c>
      <c r="B2" s="4" t="s">
        <v>52</v>
      </c>
      <c r="C2" s="4" t="s">
        <v>11</v>
      </c>
      <c r="D2" s="4" t="s">
        <v>12</v>
      </c>
    </row>
    <row r="3" customFormat="false" ht="17.9" hidden="false" customHeight="false" outlineLevel="0" collapsed="false">
      <c r="A3" s="6" t="s">
        <v>53</v>
      </c>
      <c r="B3" s="12" t="n">
        <v>0.18</v>
      </c>
      <c r="C3" s="6" t="n">
        <v>571</v>
      </c>
      <c r="D3" s="6" t="n">
        <v>4.2</v>
      </c>
    </row>
    <row r="4" customFormat="false" ht="17.9" hidden="false" customHeight="false" outlineLevel="0" collapsed="false">
      <c r="A4" s="6" t="s">
        <v>54</v>
      </c>
      <c r="B4" s="12" t="n">
        <v>0.67</v>
      </c>
      <c r="C4" s="6" t="n">
        <v>516</v>
      </c>
      <c r="D4" s="6" t="n">
        <v>3</v>
      </c>
    </row>
    <row r="5" customFormat="false" ht="17.9" hidden="false" customHeight="false" outlineLevel="0" collapsed="false">
      <c r="A5" s="6" t="s">
        <v>55</v>
      </c>
      <c r="B5" s="12" t="n">
        <v>0.15</v>
      </c>
      <c r="C5" s="6" t="n">
        <v>468</v>
      </c>
      <c r="D5" s="6" t="n">
        <v>5.1</v>
      </c>
    </row>
    <row r="7" customFormat="false" ht="17.9" hidden="false" customHeight="false" outlineLevel="0" collapsed="false">
      <c r="A7" s="3" t="s">
        <v>56</v>
      </c>
      <c r="C7" s="15" t="n">
        <f aca="false">C3-C5</f>
        <v>103</v>
      </c>
    </row>
    <row r="8" customFormat="false" ht="15" hidden="false" customHeight="false" outlineLevel="0" collapsed="false">
      <c r="A8" s="3" t="s">
        <v>57</v>
      </c>
      <c r="C8" s="16" t="n">
        <f aca="false">(C3-C5)/SQRT(D3^2+D5^2)</f>
        <v>15.5899635820698</v>
      </c>
    </row>
    <row r="9" customFormat="false" ht="15" hidden="false" customHeight="false" outlineLevel="0" collapsed="false">
      <c r="A9" s="3" t="s">
        <v>58</v>
      </c>
      <c r="C9" s="17" t="n">
        <f aca="false">SUMPRODUCT(B3:B5,C3:C5)</f>
        <v>518.7</v>
      </c>
    </row>
    <row r="11" customFormat="false" ht="17.9" hidden="false" customHeight="false" outlineLevel="0" collapsed="false">
      <c r="A11" s="18" t="s">
        <v>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2026-10-05T17:33:20Z</dcterms:created>
  <dc:creator>openpyxl</dc:creator>
  <dc:description/>
  <dc:language>en-US</dc:language>
  <cp:lastModifiedBy/>
  <dcterms:modified xsi:type="dcterms:W3CDTF">2026-10-05T17:33:20Z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