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مخطط المهمة" sheetId="2" state="visible" r:id="rId4"/>
    <sheet name="فحص جودة المهمة" sheetId="3" state="visible" r:id="rId5"/>
    <sheet name="السلم الموزون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Wiggins &amp; McTighe (2005): </t>
        </r>
        <r>
          <rPr>
            <sz val="10"/>
            <rFont val="FreeSans"/>
            <family val="2"/>
          </rPr>
          <t xml:space="preserve">الهدف، الدور، الجمهور، الموقف، المنتج، معايير النجاح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قائمة أعدّها المساق، مستوحاة من معايير </t>
        </r>
        <r>
          <rPr>
            <sz val="10"/>
            <rFont val="Arial"/>
            <family val="2"/>
          </rPr>
          <t xml:space="preserve">Linn, Baker &amp; Dunbar (1991): </t>
        </r>
        <r>
          <rPr>
            <sz val="10"/>
            <rFont val="FreeSans"/>
            <family val="2"/>
          </rPr>
          <t xml:space="preserve">العواقب، والعدالة، والنقل وقابلية التعميم، والتعقيد المعرفي، وجودة المحتوى، وتغطية المحتوى، والمعنى، والكلفة والكفاءة، ومن قضيتي الفرد والأصالة. الحدود الثلاثة للحكم قاعدة إرشادية من المساق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FreeSans"/>
            <family val="2"/>
          </rPr>
          <t xml:space="preserve">النسبة الموزونة = مجموع (المستوى ÷ </t>
        </r>
        <r>
          <rPr>
            <sz val="10"/>
            <rFont val="Arial"/>
            <family val="2"/>
          </rPr>
          <t xml:space="preserve">4 × وزن المعيار).</t>
        </r>
      </text>
    </comment>
    <comment ref="H5" authorId="0">
      <text>
        <r>
          <rPr>
            <sz val="10"/>
            <rFont val="FreeSans"/>
            <family val="2"/>
          </rPr>
          <t xml:space="preserve">الفرق السالب يعني أن الطالب كان سيحصل على نسبة أعلى لو تساوت الأوزان. راقب الطلبة الذين قوتهم في التواصل وضعفهم في العلوم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<sst xmlns="http://schemas.openxmlformats.org/spreadsheetml/2006/main" count="59" uniqueCount="55">
  <si>
    <t xml:space="preserve">مشغل الأسبوع 9 — تخطيط مهمة أدائية وتقديرها بسلم موزون</t>
  </si>
  <si>
    <t xml:space="preserve">مساق القياس والتقويم التربوي — دبلوم الدراسات العليا المهني في التدريس</t>
  </si>
  <si>
    <t xml:space="preserve">تنبيه: المهمة ومستويات الطلبة الثمانية نموذج تدريبي كُتب للمساق، وليست لطلبة حقيقيين.</t>
  </si>
  <si>
    <t xml:space="preserve">أوراق المصنف:</t>
  </si>
  <si>
    <t xml:space="preserve">مخطط المهمة: مهمة أدائية لوحدة «المادة وتغيّراتها» مبنية بعناصر نموذج «غراسبس» الستة، وعمود فارغ لمهمتك.</t>
  </si>
  <si>
    <t xml:space="preserve">فحص جودة المهمة: ثماني أسئلة تجيب عنها بنعم أو لا لمهمتك، ويُحسب عدد ما تحقق.</t>
  </si>
  <si>
    <t xml:space="preserve">السلم الموزون: أوزان المعايير الأربعة قابلة للتعديل، ومستويات ثمانية طلبة من 1 إلى 4، وتُحسب النسبة الموزونة والنسبة بأوزان متساوية والترتيب.</t>
  </si>
  <si>
    <t xml:space="preserve">الفكرة الأساسية: الأوزان قرار تربوي يعلن ما يهمك. غيّرها وراقب كيف يتغير ترتيب الطلبة.</t>
  </si>
  <si>
    <t xml:space="preserve">العنصر</t>
  </si>
  <si>
    <t xml:space="preserve">المثال المحلول: مرشّح الماء</t>
  </si>
  <si>
    <t xml:space="preserve">مهمتك</t>
  </si>
  <si>
    <t xml:space="preserve">الهدف</t>
  </si>
  <si>
    <t xml:space="preserve">تصميم مرشّح ماء بسيط من مواد متوفرة يُحسّن صفاء ماء عكر، واختبار كفاءته.</t>
  </si>
  <si>
    <t xml:space="preserve">الدور</t>
  </si>
  <si>
    <t xml:space="preserve">أنت عضو في فريق علوم المدرسة. يبني الفريق المرشّح ويقيس معاً، ويكتب كل عضو سجله وتفسيره وتوصيته منفرداً في الصف.</t>
  </si>
  <si>
    <t xml:space="preserve">الجمهور</t>
  </si>
  <si>
    <t xml:space="preserve">لجنة الاستدامة في المدرسة.</t>
  </si>
  <si>
    <t xml:space="preserve">الموقف</t>
  </si>
  <si>
    <t xml:space="preserve">انقطع ماء الشرب عن مخيم مدرسي ليومين، والمتاح ماء عكر من خزان مكشوف. المطلوب تحسين صفائه قبل التعقيم، لا جعله صالحاً للشرب.</t>
  </si>
  <si>
    <t xml:space="preserve">المنتج</t>
  </si>
  <si>
    <t xml:space="preserve">نموذج مرشّح يعمل (للفريق)، وجدول قياسات قبل الترشيح وبعده، وتوصية فردية من صفحة واحدة للجنة، وسؤال شفهي قصير لكل طالب عن تفسيره.</t>
  </si>
  <si>
    <t xml:space="preserve">معايير النجاح</t>
  </si>
  <si>
    <t xml:space="preserve">تصميم مبرر علمياً، وقياس منظم قابل للتكرار، وتفسير للنتائج بلغة طرق فصل المخاليط، وتوصية واضحة تعترف بحدود المرشّح.</t>
  </si>
  <si>
    <t xml:space="preserve">السؤال</t>
  </si>
  <si>
    <t xml:space="preserve">مهمتك (نعم أو لا)</t>
  </si>
  <si>
    <t xml:space="preserve">1. المهمة تقيس نواتج الوحدة المحددة في جدول المواصفات، لا مهارات جانبية</t>
  </si>
  <si>
    <t xml:space="preserve">2. تتطلب تفكيراً من مستوى التطبيق أو الاستدلال، لا تنفيذ خطوات محفوظة</t>
  </si>
  <si>
    <t xml:space="preserve">3. السياق ذو معنى للطلبة، ولا يحتاج خبرة أو موارد لا تتوفر للجميع</t>
  </si>
  <si>
    <t xml:space="preserve">4. يمكن إنجازها في الوقت والإمكانات المتاحة في المدرسة</t>
  </si>
  <si>
    <t xml:space="preserve">5. المعايير معلنة للطلبة قبل البدء، ومرتبطة بالمنتج المطلوب</t>
  </si>
  <si>
    <t xml:space="preserve">6. يمكن التمييز بين مساهمة الفرد ومساهمة الفريق في التقدير</t>
  </si>
  <si>
    <t xml:space="preserve">7. العمل يُنجز أو يُوثّق في الصف بما يكفي للتحقق من أنه عمل الطالب</t>
  </si>
  <si>
    <t xml:space="preserve">8. تُضمّ المهمة إلى أدلة أخرى على الناتج نفسه (فقرات أو مهمة ثانية) قبل الحكم بالإتقان</t>
  </si>
  <si>
    <t xml:space="preserve">عدد الأسئلة المتحققة</t>
  </si>
  <si>
    <t xml:space="preserve">الحكم</t>
  </si>
  <si>
    <t xml:space="preserve">أوزان المعايير</t>
  </si>
  <si>
    <t xml:space="preserve">التصميم وتبريره العلمي</t>
  </si>
  <si>
    <t xml:space="preserve">القياس وجمع البيانات</t>
  </si>
  <si>
    <t xml:space="preserve">تفسير النتائج</t>
  </si>
  <si>
    <t xml:space="preserve">التوصية والتواصل</t>
  </si>
  <si>
    <t xml:space="preserve">المجموع</t>
  </si>
  <si>
    <t xml:space="preserve">الطالب</t>
  </si>
  <si>
    <t xml:space="preserve">النسبة الموزونة</t>
  </si>
  <si>
    <t xml:space="preserve">النسبة بأوزان متساوية</t>
  </si>
  <si>
    <t xml:space="preserve">الفرق</t>
  </si>
  <si>
    <t xml:space="preserve">الترتيب الموزون</t>
  </si>
  <si>
    <t xml:space="preserve">الترتيب بأوزان متساوية</t>
  </si>
  <si>
    <t xml:space="preserve">ط1</t>
  </si>
  <si>
    <t xml:space="preserve">ط2</t>
  </si>
  <si>
    <t xml:space="preserve">ط3</t>
  </si>
  <si>
    <t xml:space="preserve">ط4</t>
  </si>
  <si>
    <t xml:space="preserve">ط5</t>
  </si>
  <si>
    <t xml:space="preserve">ط6</t>
  </si>
  <si>
    <t xml:space="preserve">ط7</t>
  </si>
  <si>
    <t xml:space="preserve">ط8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</si>
</sst>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\+0%;\-0%;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sz val="10"/>
      <name val="Arial"/>
      <family val="2"/>
    </font>
    <font>
      <sz val="10"/>
      <name val="FreeSans"/>
      <family val="2"/>
    </font>
    <font>
      <sz val="11"/>
      <color theme="1"/>
      <name val="FreeSans"/>
      <family val="2"/>
    </font>
    <font>
      <sz val="11"/>
      <color rgb="FF0000FF"/>
      <name val="IBM Plex Sans Arabic"/>
      <family val="0"/>
      <charset val="1"/>
    </font>
    <font>
      <b val="true"/>
      <sz val="11"/>
      <color rgb="FFC00000"/>
      <name val="IBM Plex Sans Arab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7.9" hidden="false" customHeight="false" outlineLevel="0" collapsed="false">
      <c r="A6" s="3" t="s">
        <v>3</v>
      </c>
    </row>
    <row r="7" customFormat="false" ht="17.9" hidden="false" customHeight="false" outlineLevel="0" collapsed="false">
      <c r="A7" s="2" t="s">
        <v>4</v>
      </c>
    </row>
    <row r="8" customFormat="false" ht="17.9" hidden="false" customHeight="false" outlineLevel="0" collapsed="false">
      <c r="A8" s="2" t="s">
        <v>5</v>
      </c>
    </row>
    <row r="9" customFormat="false" ht="17.9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7.9" hidden="false" customHeight="false" outlineLevel="0" collapsed="false">
      <c r="A11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9" hidden="false" customHeight="false" outlineLevel="0" collapsed="false">
      <c r="A1" s="4" t="s">
        <v>8</v>
      </c>
      <c r="B1" s="4" t="s">
        <v>9</v>
      </c>
      <c r="C1" s="4" t="s">
        <v>10</v>
      </c>
    </row>
    <row r="2" customFormat="false" ht="48" hidden="false" customHeight="true" outlineLevel="0" collapsed="false">
      <c r="A2" s="5" t="s">
        <v>11</v>
      </c>
      <c r="B2" s="5" t="s">
        <v>12</v>
      </c>
      <c r="C2" s="6"/>
    </row>
    <row r="3" customFormat="false" ht="48" hidden="false" customHeight="true" outlineLevel="0" collapsed="false">
      <c r="A3" s="5" t="s">
        <v>13</v>
      </c>
      <c r="B3" s="5" t="s">
        <v>14</v>
      </c>
      <c r="C3" s="6"/>
    </row>
    <row r="4" customFormat="false" ht="48" hidden="false" customHeight="true" outlineLevel="0" collapsed="false">
      <c r="A4" s="5" t="s">
        <v>15</v>
      </c>
      <c r="B4" s="5" t="s">
        <v>16</v>
      </c>
      <c r="C4" s="6"/>
    </row>
    <row r="5" customFormat="false" ht="48" hidden="false" customHeight="true" outlineLevel="0" collapsed="false">
      <c r="A5" s="5" t="s">
        <v>17</v>
      </c>
      <c r="B5" s="5" t="s">
        <v>18</v>
      </c>
      <c r="C5" s="6"/>
    </row>
    <row r="6" customFormat="false" ht="48" hidden="false" customHeight="true" outlineLevel="0" collapsed="false">
      <c r="A6" s="5" t="s">
        <v>19</v>
      </c>
      <c r="B6" s="5" t="s">
        <v>20</v>
      </c>
      <c r="C6" s="6"/>
    </row>
    <row r="7" customFormat="false" ht="48" hidden="false" customHeight="true" outlineLevel="0" collapsed="false">
      <c r="A7" s="5" t="s">
        <v>21</v>
      </c>
      <c r="B7" s="5" t="s">
        <v>22</v>
      </c>
      <c r="C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22"/>
  </cols>
  <sheetData>
    <row r="1" customFormat="false" ht="17.9" hidden="false" customHeight="false" outlineLevel="0" collapsed="false">
      <c r="A1" s="4" t="s">
        <v>23</v>
      </c>
      <c r="B1" s="4" t="s">
        <v>24</v>
      </c>
    </row>
    <row r="2" customFormat="false" ht="17.9" hidden="false" customHeight="false" outlineLevel="0" collapsed="false">
      <c r="A2" s="5" t="s">
        <v>25</v>
      </c>
      <c r="B2" s="7"/>
    </row>
    <row r="3" customFormat="false" ht="17.9" hidden="false" customHeight="false" outlineLevel="0" collapsed="false">
      <c r="A3" s="5" t="s">
        <v>26</v>
      </c>
      <c r="B3" s="7"/>
    </row>
    <row r="4" customFormat="false" ht="17.9" hidden="false" customHeight="false" outlineLevel="0" collapsed="false">
      <c r="A4" s="5" t="s">
        <v>27</v>
      </c>
      <c r="B4" s="7"/>
    </row>
    <row r="5" customFormat="false" ht="17.9" hidden="false" customHeight="false" outlineLevel="0" collapsed="false">
      <c r="A5" s="5" t="s">
        <v>28</v>
      </c>
      <c r="B5" s="7"/>
    </row>
    <row r="6" customFormat="false" ht="17.9" hidden="false" customHeight="false" outlineLevel="0" collapsed="false">
      <c r="A6" s="5" t="s">
        <v>29</v>
      </c>
      <c r="B6" s="7"/>
    </row>
    <row r="7" customFormat="false" ht="17.9" hidden="false" customHeight="false" outlineLevel="0" collapsed="false">
      <c r="A7" s="5" t="s">
        <v>30</v>
      </c>
      <c r="B7" s="7"/>
    </row>
    <row r="8" customFormat="false" ht="17.9" hidden="false" customHeight="false" outlineLevel="0" collapsed="false">
      <c r="A8" s="5" t="s">
        <v>31</v>
      </c>
      <c r="B8" s="7"/>
    </row>
    <row r="9" customFormat="false" ht="17.9" hidden="false" customHeight="false" outlineLevel="0" collapsed="false">
      <c r="A9" s="5" t="s">
        <v>32</v>
      </c>
      <c r="B9" s="7"/>
    </row>
    <row r="11" customFormat="false" ht="17.9" hidden="false" customHeight="false" outlineLevel="0" collapsed="false">
      <c r="A11" s="3" t="s">
        <v>33</v>
      </c>
      <c r="B11" s="8" t="n">
        <f aca="false">COUNTIF(B2:B9,"نعم")</f>
        <v>0</v>
      </c>
    </row>
    <row r="12" customFormat="false" ht="17.9" hidden="false" customHeight="false" outlineLevel="0" collapsed="false">
      <c r="A12" s="3" t="s">
        <v>34</v>
      </c>
      <c r="B12" s="8" t="str">
        <f aca="false">IF(COUNTA(B2:B9)&lt;8,"أكمل الإجابات",IF(B11=8,"جاهزة للتجريب",IF(B11&gt;=6,"تحتاج تعديلاً محدوداً","تحتاج مراجعة جوهرية")))</f>
        <v>أكمل الإجابات</v>
      </c>
    </row>
  </sheetData>
  <dataValidations count="1">
    <dataValidation allowBlank="true" errorStyle="stop" operator="between" showDropDown="false" showErrorMessage="false" showInputMessage="false" sqref="B2:B9" type="list">
      <formula1>"نعم,لا"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2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9" min="8" style="0" width="16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3" t="s">
        <v>35</v>
      </c>
    </row>
    <row r="2" customFormat="false" ht="17.9" hidden="false" customHeight="false" outlineLevel="0" collapsed="false">
      <c r="B2" s="9" t="s">
        <v>36</v>
      </c>
      <c r="C2" s="9" t="s">
        <v>37</v>
      </c>
      <c r="D2" s="9" t="s">
        <v>38</v>
      </c>
      <c r="E2" s="9" t="s">
        <v>39</v>
      </c>
      <c r="F2" s="10" t="s">
        <v>40</v>
      </c>
    </row>
    <row r="3" customFormat="false" ht="15" hidden="false" customHeight="false" outlineLevel="0" collapsed="false">
      <c r="B3" s="11" t="n">
        <v>0.3</v>
      </c>
      <c r="C3" s="11" t="n">
        <v>0.25</v>
      </c>
      <c r="D3" s="11" t="n">
        <v>0.25</v>
      </c>
      <c r="E3" s="11" t="n">
        <v>0.2</v>
      </c>
      <c r="F3" s="12" t="n">
        <f aca="false">SUM(B3:E3)</f>
        <v>1</v>
      </c>
      <c r="G3" s="13" t="str">
        <f aca="false">IF(ROUND(F3,4)=1,"","مجموع الأوزان يجب أن يكون 100%")</f>
        <v/>
      </c>
    </row>
    <row r="5" customFormat="false" ht="17.9" hidden="false" customHeight="false" outlineLevel="0" collapsed="false">
      <c r="A5" s="4" t="s">
        <v>41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</row>
    <row r="6" customFormat="false" ht="17.9" hidden="false" customHeight="false" outlineLevel="0" collapsed="false">
      <c r="A6" s="14" t="s">
        <v>47</v>
      </c>
      <c r="B6" s="7" t="n">
        <v>4</v>
      </c>
      <c r="C6" s="7" t="n">
        <v>3</v>
      </c>
      <c r="D6" s="7" t="n">
        <v>4</v>
      </c>
      <c r="E6" s="7" t="n">
        <v>3</v>
      </c>
      <c r="F6" s="15" t="n">
        <f aca="false">SUMPRODUCT(B6:E6/4,$B$3:$E$3)</f>
        <v>0.8875</v>
      </c>
      <c r="G6" s="15" t="n">
        <f aca="false">SUM(B6:E6)/16</f>
        <v>0.875</v>
      </c>
      <c r="H6" s="16" t="n">
        <f aca="false">F6-G6</f>
        <v>0.0125</v>
      </c>
      <c r="I6" s="14" t="n">
        <f aca="false">RANK(F6,$F$6:$F$13,0)</f>
        <v>1</v>
      </c>
      <c r="J6" s="14" t="n">
        <f aca="false">RANK(G6,$G$6:$G$13,0)</f>
        <v>1</v>
      </c>
    </row>
    <row r="7" customFormat="false" ht="17.9" hidden="false" customHeight="false" outlineLevel="0" collapsed="false">
      <c r="A7" s="14" t="s">
        <v>48</v>
      </c>
      <c r="B7" s="7" t="n">
        <v>2</v>
      </c>
      <c r="C7" s="7" t="n">
        <v>2</v>
      </c>
      <c r="D7" s="7" t="n">
        <v>2</v>
      </c>
      <c r="E7" s="7" t="n">
        <v>4</v>
      </c>
      <c r="F7" s="15" t="n">
        <f aca="false">SUMPRODUCT(B7:E7/4,$B$3:$E$3)</f>
        <v>0.6</v>
      </c>
      <c r="G7" s="15" t="n">
        <f aca="false">SUM(B7:E7)/16</f>
        <v>0.625</v>
      </c>
      <c r="H7" s="16" t="n">
        <f aca="false">F7-G7</f>
        <v>-0.025</v>
      </c>
      <c r="I7" s="14" t="n">
        <f aca="false">RANK(F7,$F$6:$F$13,0)</f>
        <v>6</v>
      </c>
      <c r="J7" s="14" t="n">
        <f aca="false">RANK(G7,$G$6:$G$13,0)</f>
        <v>5</v>
      </c>
    </row>
    <row r="8" customFormat="false" ht="17.9" hidden="false" customHeight="false" outlineLevel="0" collapsed="false">
      <c r="A8" s="14" t="s">
        <v>49</v>
      </c>
      <c r="B8" s="7" t="n">
        <v>3</v>
      </c>
      <c r="C8" s="7" t="n">
        <v>4</v>
      </c>
      <c r="D8" s="7" t="n">
        <v>3</v>
      </c>
      <c r="E8" s="7" t="n">
        <v>2</v>
      </c>
      <c r="F8" s="15" t="n">
        <f aca="false">SUMPRODUCT(B8:E8/4,$B$3:$E$3)</f>
        <v>0.7625</v>
      </c>
      <c r="G8" s="15" t="n">
        <f aca="false">SUM(B8:E8)/16</f>
        <v>0.75</v>
      </c>
      <c r="H8" s="16" t="n">
        <f aca="false">F8-G8</f>
        <v>0.0125</v>
      </c>
      <c r="I8" s="14" t="n">
        <f aca="false">RANK(F8,$F$6:$F$13,0)</f>
        <v>2</v>
      </c>
      <c r="J8" s="14" t="n">
        <f aca="false">RANK(G8,$G$6:$G$13,0)</f>
        <v>2</v>
      </c>
    </row>
    <row r="9" customFormat="false" ht="17.9" hidden="false" customHeight="false" outlineLevel="0" collapsed="false">
      <c r="A9" s="14" t="s">
        <v>50</v>
      </c>
      <c r="B9" s="7" t="n">
        <v>1</v>
      </c>
      <c r="C9" s="7" t="n">
        <v>2</v>
      </c>
      <c r="D9" s="7" t="n">
        <v>1</v>
      </c>
      <c r="E9" s="7" t="n">
        <v>4</v>
      </c>
      <c r="F9" s="15" t="n">
        <f aca="false">SUMPRODUCT(B9:E9/4,$B$3:$E$3)</f>
        <v>0.4625</v>
      </c>
      <c r="G9" s="15" t="n">
        <f aca="false">SUM(B9:E9)/16</f>
        <v>0.5</v>
      </c>
      <c r="H9" s="16" t="n">
        <f aca="false">F9-G9</f>
        <v>-0.0375</v>
      </c>
      <c r="I9" s="14" t="n">
        <f aca="false">RANK(F9,$F$6:$F$13,0)</f>
        <v>7</v>
      </c>
      <c r="J9" s="14" t="n">
        <f aca="false">RANK(G9,$G$6:$G$13,0)</f>
        <v>7</v>
      </c>
    </row>
    <row r="10" customFormat="false" ht="17.9" hidden="false" customHeight="false" outlineLevel="0" collapsed="false">
      <c r="A10" s="14" t="s">
        <v>51</v>
      </c>
      <c r="B10" s="7" t="n">
        <v>3</v>
      </c>
      <c r="C10" s="7" t="n">
        <v>3</v>
      </c>
      <c r="D10" s="7" t="n">
        <v>3</v>
      </c>
      <c r="E10" s="7" t="n">
        <v>3</v>
      </c>
      <c r="F10" s="15" t="n">
        <f aca="false">SUMPRODUCT(B10:E10/4,$B$3:$E$3)</f>
        <v>0.75</v>
      </c>
      <c r="G10" s="15" t="n">
        <f aca="false">SUM(B10:E10)/16</f>
        <v>0.75</v>
      </c>
      <c r="H10" s="16" t="n">
        <f aca="false">F10-G10</f>
        <v>0</v>
      </c>
      <c r="I10" s="14" t="n">
        <f aca="false">RANK(F10,$F$6:$F$13,0)</f>
        <v>3</v>
      </c>
      <c r="J10" s="14" t="n">
        <f aca="false">RANK(G10,$G$6:$G$13,0)</f>
        <v>2</v>
      </c>
    </row>
    <row r="11" customFormat="false" ht="17.9" hidden="false" customHeight="false" outlineLevel="0" collapsed="false">
      <c r="A11" s="14" t="s">
        <v>52</v>
      </c>
      <c r="B11" s="7" t="n">
        <v>4</v>
      </c>
      <c r="C11" s="7" t="n">
        <v>4</v>
      </c>
      <c r="D11" s="7" t="n">
        <v>2</v>
      </c>
      <c r="E11" s="7" t="n">
        <v>1</v>
      </c>
      <c r="F11" s="15" t="n">
        <f aca="false">SUMPRODUCT(B11:E11/4,$B$3:$E$3)</f>
        <v>0.725</v>
      </c>
      <c r="G11" s="15" t="n">
        <f aca="false">SUM(B11:E11)/16</f>
        <v>0.6875</v>
      </c>
      <c r="H11" s="16" t="n">
        <f aca="false">F11-G11</f>
        <v>0.0375</v>
      </c>
      <c r="I11" s="14" t="n">
        <f aca="false">RANK(F11,$F$6:$F$13,0)</f>
        <v>4</v>
      </c>
      <c r="J11" s="14" t="n">
        <f aca="false">RANK(G11,$G$6:$G$13,0)</f>
        <v>4</v>
      </c>
    </row>
    <row r="12" customFormat="false" ht="17.9" hidden="false" customHeight="false" outlineLevel="0" collapsed="false">
      <c r="A12" s="14" t="s">
        <v>53</v>
      </c>
      <c r="B12" s="7" t="n">
        <v>2</v>
      </c>
      <c r="C12" s="7" t="n">
        <v>3</v>
      </c>
      <c r="D12" s="7" t="n">
        <v>3</v>
      </c>
      <c r="E12" s="7" t="n">
        <v>2</v>
      </c>
      <c r="F12" s="15" t="n">
        <f aca="false">SUMPRODUCT(B12:E12/4,$B$3:$E$3)</f>
        <v>0.625</v>
      </c>
      <c r="G12" s="15" t="n">
        <f aca="false">SUM(B12:E12)/16</f>
        <v>0.625</v>
      </c>
      <c r="H12" s="16" t="n">
        <f aca="false">F12-G12</f>
        <v>0</v>
      </c>
      <c r="I12" s="14" t="n">
        <f aca="false">RANK(F12,$F$6:$F$13,0)</f>
        <v>5</v>
      </c>
      <c r="J12" s="14" t="n">
        <f aca="false">RANK(G12,$G$6:$G$13,0)</f>
        <v>5</v>
      </c>
    </row>
    <row r="13" customFormat="false" ht="17.9" hidden="false" customHeight="false" outlineLevel="0" collapsed="false">
      <c r="A13" s="14" t="s">
        <v>54</v>
      </c>
      <c r="B13" s="7" t="n">
        <v>1</v>
      </c>
      <c r="C13" s="7" t="n">
        <v>1</v>
      </c>
      <c r="D13" s="7" t="n">
        <v>2</v>
      </c>
      <c r="E13" s="7" t="n">
        <v>2</v>
      </c>
      <c r="F13" s="15" t="n">
        <f aca="false">SUMPRODUCT(B13:E13/4,$B$3:$E$3)</f>
        <v>0.3625</v>
      </c>
      <c r="G13" s="15" t="n">
        <f aca="false">SUM(B13:E13)/16</f>
        <v>0.375</v>
      </c>
      <c r="H13" s="16" t="n">
        <f aca="false">F13-G13</f>
        <v>-0.0125</v>
      </c>
      <c r="I13" s="14" t="n">
        <f aca="false">RANK(F13,$F$6:$F$13,0)</f>
        <v>8</v>
      </c>
      <c r="J13" s="14" t="n">
        <f aca="false">RANK(G13,$G$6:$G$13,0)</f>
        <v>8</v>
      </c>
    </row>
  </sheetData>
  <conditionalFormatting sqref="H6:H13">
    <cfRule type="expression" priority="2" aboveAverage="0" equalAverage="0" bottom="0" percent="0" rank="0" text="" dxfId="0">
      <formula>ABS(H6)&gt;=0.03</formula>
    </cfRule>
  </conditionalFormatting>
  <dataValidations count="1">
    <dataValidation allowBlank="true" errorStyle="stop" operator="between" showDropDown="false" showErrorMessage="false" showInputMessage="false" sqref="B6:E1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2026-10-05T17:33:18Z</dcterms:created>
  <dc:creator>openpyxl</dc:creator>
  <dc:description/>
  <dc:language>en-US</dc:language>
  <cp:lastModifiedBy/>
  <dcterms:modified xsi:type="dcterms:W3CDTF">2026-10-05T17:33:18Z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