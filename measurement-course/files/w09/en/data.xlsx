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Task Plan" sheetId="2" state="visible" r:id="rId4"/>
    <sheet name="Task Quality Check" sheetId="3" state="visible" r:id="rId5"/>
    <sheet name="Weighted Rubric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Wiggins &amp; McTighe (2005): Goal, Role, Audience, Situation, Product, Success criteria.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A list prepared by the course, inspired by the criteria of Linn, Baker &amp; Dunbar (1991): consequences, fairness, transfer and generalisability, cognitive complexity, content quality, content coverage, meaningfulness, and cost and efficiency, and by the two issues of the individual and authenticity. The three judgement thresholds are a guiding rule from the course.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" authorId="0">
      <text>
        <r>
          <rPr>
            <sz val="10"/>
            <rFont val="Arial"/>
            <family val="2"/>
          </rPr>
          <t xml:space="preserve">Weighted percentage = sum of (level ÷ 4 × criterion weight).</t>
        </r>
      </text>
    </comment>
    <comment ref="H5" authorId="0">
      <text>
        <r>
          <rPr>
            <sz val="10"/>
            <rFont val="Arial"/>
            <family val="2"/>
          </rPr>
          <t xml:space="preserve">A negative difference means the student would have obtained a higher percentage had the weights been equal. Watch the students whose strength is in communication and whose weakness is in science.</t>
        </r>
      </text>
    </comment>
  </commentList>
</comments>
</file>

<file path=xl/sharedStrings.xml><?xml version="1.0" encoding="utf-8"?>
<sst xmlns="http://schemas.openxmlformats.org/spreadsheetml/2006/main" count="59" uniqueCount="55">
  <si>
    <t xml:space="preserve">Week 9 workshop — Planning a performance task and scoring it with a weighted rubric</t>
  </si>
  <si>
    <t xml:space="preserve">Educational Measurement and Evaluation — Postgraduate Professional Diploma in Teaching</t>
  </si>
  <si>
    <t xml:space="preserve">Note: the task and the levels of the eight students are a training sample written for the course; they are not real students.</t>
  </si>
  <si>
    <t xml:space="preserve">Workbook sheets:</t>
  </si>
  <si>
    <t xml:space="preserve">Task Plan: a performance task for the unit "Matter and Its Changes" built with the six elements of the GRASPS model, and a blank column for your task.</t>
  </si>
  <si>
    <t xml:space="preserve">Task Quality Check: eight questions you answer Yes or No for your task, and the number met is calculated.</t>
  </si>
  <si>
    <t xml:space="preserve">Weighted Rubric: the weights of the four criteria can be edited, with the levels of eight students from 1 to 4; the weighted percentage, the percentage with equal weights and the rank are calculated.</t>
  </si>
  <si>
    <t xml:space="preserve">The key idea: weights are a pedagogical decision that declares what matters to you. Change them and watch how the students' ranking changes.</t>
  </si>
  <si>
    <t xml:space="preserve">Element</t>
  </si>
  <si>
    <t xml:space="preserve">Worked example: the water filter</t>
  </si>
  <si>
    <t xml:space="preserve">Your task</t>
  </si>
  <si>
    <t xml:space="preserve">Goal</t>
  </si>
  <si>
    <t xml:space="preserve">Design a simple water filter from available materials that improves the clarity of muddy water, and test its efficiency.</t>
  </si>
  <si>
    <t xml:space="preserve">Role</t>
  </si>
  <si>
    <t xml:space="preserve">You are a member of the school science team. The team builds the filter and measures together, and each member writes their own log, explanation and recommendation individually in class.</t>
  </si>
  <si>
    <t xml:space="preserve">Audience</t>
  </si>
  <si>
    <t xml:space="preserve">The school sustainability committee.</t>
  </si>
  <si>
    <t xml:space="preserve">Situation</t>
  </si>
  <si>
    <t xml:space="preserve">Drinking water has been cut off from a school camp for two days, and what is available is muddy water from an open tank. The requirement is to improve its clarity before disinfection, not to make it drinkable.</t>
  </si>
  <si>
    <t xml:space="preserve">Product</t>
  </si>
  <si>
    <t xml:space="preserve">A working filter model (for the team), a table of measurements before and after filtering, an individual one-page recommendation to the committee, and a short oral question for each student about their explanation.</t>
  </si>
  <si>
    <t xml:space="preserve">Success criteria</t>
  </si>
  <si>
    <t xml:space="preserve">A scientifically justified design, organised and repeatable measurement, an explanation of the results in the language of methods for separating mixtures, and a clear recommendation that acknowledges the limits of the filter.</t>
  </si>
  <si>
    <t xml:space="preserve">Question</t>
  </si>
  <si>
    <t xml:space="preserve">Your task (Yes or No)</t>
  </si>
  <si>
    <t xml:space="preserve">1. The task measures the unit outcomes specified in the test blueprint, not peripheral skills</t>
  </si>
  <si>
    <t xml:space="preserve">2. It requires thinking at the Applying or Reasoning level, not carrying out memorised steps</t>
  </si>
  <si>
    <t xml:space="preserve">3. The context is meaningful to students, and does not need experience or resources not available to all</t>
  </si>
  <si>
    <t xml:space="preserve">4. It can be completed within the time and resources available at the school</t>
  </si>
  <si>
    <t xml:space="preserve">5. The criteria are announced to students before starting, and linked to the required product</t>
  </si>
  <si>
    <t xml:space="preserve">6. The individual's contribution can be distinguished from the team's contribution in scoring</t>
  </si>
  <si>
    <t xml:space="preserve">7. The work is done or documented in class enough to verify that it is the student's own work</t>
  </si>
  <si>
    <t xml:space="preserve">8. The task is combined with other evidence on the same outcome (items or a second task) before judging mastery</t>
  </si>
  <si>
    <t xml:space="preserve">Number of questions met</t>
  </si>
  <si>
    <t xml:space="preserve">Judgement</t>
  </si>
  <si>
    <t xml:space="preserve">Criterion weights</t>
  </si>
  <si>
    <t xml:space="preserve">Design and its scientific justification</t>
  </si>
  <si>
    <t xml:space="preserve">Measurement and data collection</t>
  </si>
  <si>
    <t xml:space="preserve">Interpretation of results</t>
  </si>
  <si>
    <t xml:space="preserve">Recommendation and communication</t>
  </si>
  <si>
    <t xml:space="preserve">Total</t>
  </si>
  <si>
    <t xml:space="preserve">Student</t>
  </si>
  <si>
    <t xml:space="preserve">Weighted percentage</t>
  </si>
  <si>
    <t xml:space="preserve">Percentage with equal weights</t>
  </si>
  <si>
    <t xml:space="preserve">Difference</t>
  </si>
  <si>
    <t xml:space="preserve">Weighted rank</t>
  </si>
  <si>
    <t xml:space="preserve">Rank with equal weights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</si>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</sst>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\+0%;\-0%;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Arial"/>
      <family val="2"/>
    </font>
    <font>
      <sz val="11"/>
      <color rgb="FF0000FF"/>
      <name val="Calibri"/>
      <family val="0"/>
      <charset val="1"/>
    </font>
    <font>
      <b val="true"/>
      <sz val="11"/>
      <color rgb="FFC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E699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70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4" t="s">
        <v>8</v>
      </c>
      <c r="B1" s="4" t="s">
        <v>9</v>
      </c>
      <c r="C1" s="4" t="s">
        <v>10</v>
      </c>
    </row>
    <row r="2" customFormat="false" ht="48" hidden="false" customHeight="true" outlineLevel="0" collapsed="false">
      <c r="A2" s="5" t="s">
        <v>11</v>
      </c>
      <c r="B2" s="5" t="s">
        <v>12</v>
      </c>
      <c r="C2" s="6"/>
    </row>
    <row r="3" customFormat="false" ht="48" hidden="false" customHeight="true" outlineLevel="0" collapsed="false">
      <c r="A3" s="5" t="s">
        <v>13</v>
      </c>
      <c r="B3" s="5" t="s">
        <v>14</v>
      </c>
      <c r="C3" s="6"/>
    </row>
    <row r="4" customFormat="false" ht="48" hidden="false" customHeight="true" outlineLevel="0" collapsed="false">
      <c r="A4" s="5" t="s">
        <v>15</v>
      </c>
      <c r="B4" s="5" t="s">
        <v>16</v>
      </c>
      <c r="C4" s="6"/>
    </row>
    <row r="5" customFormat="false" ht="48" hidden="false" customHeight="true" outlineLevel="0" collapsed="false">
      <c r="A5" s="5" t="s">
        <v>17</v>
      </c>
      <c r="B5" s="5" t="s">
        <v>18</v>
      </c>
      <c r="C5" s="6"/>
    </row>
    <row r="6" customFormat="false" ht="48" hidden="false" customHeight="true" outlineLevel="0" collapsed="false">
      <c r="A6" s="5" t="s">
        <v>19</v>
      </c>
      <c r="B6" s="5" t="s">
        <v>20</v>
      </c>
      <c r="C6" s="6"/>
    </row>
    <row r="7" customFormat="false" ht="48" hidden="false" customHeight="true" outlineLevel="0" collapsed="false">
      <c r="A7" s="5" t="s">
        <v>21</v>
      </c>
      <c r="B7" s="5" t="s">
        <v>22</v>
      </c>
      <c r="C7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22"/>
  </cols>
  <sheetData>
    <row r="1" customFormat="false" ht="15" hidden="false" customHeight="false" outlineLevel="0" collapsed="false">
      <c r="A1" s="4" t="s">
        <v>23</v>
      </c>
      <c r="B1" s="4" t="s">
        <v>24</v>
      </c>
    </row>
    <row r="2" customFormat="false" ht="15" hidden="false" customHeight="false" outlineLevel="0" collapsed="false">
      <c r="A2" s="5" t="s">
        <v>25</v>
      </c>
      <c r="B2" s="7"/>
    </row>
    <row r="3" customFormat="false" ht="15" hidden="false" customHeight="false" outlineLevel="0" collapsed="false">
      <c r="A3" s="5" t="s">
        <v>26</v>
      </c>
      <c r="B3" s="7"/>
    </row>
    <row r="4" customFormat="false" ht="28.35" hidden="false" customHeight="false" outlineLevel="0" collapsed="false">
      <c r="A4" s="5" t="s">
        <v>27</v>
      </c>
      <c r="B4" s="7"/>
    </row>
    <row r="5" customFormat="false" ht="15" hidden="false" customHeight="false" outlineLevel="0" collapsed="false">
      <c r="A5" s="5" t="s">
        <v>28</v>
      </c>
      <c r="B5" s="7"/>
    </row>
    <row r="6" customFormat="false" ht="15" hidden="false" customHeight="false" outlineLevel="0" collapsed="false">
      <c r="A6" s="5" t="s">
        <v>29</v>
      </c>
      <c r="B6" s="7"/>
    </row>
    <row r="7" customFormat="false" ht="15" hidden="false" customHeight="false" outlineLevel="0" collapsed="false">
      <c r="A7" s="5" t="s">
        <v>30</v>
      </c>
      <c r="B7" s="7"/>
    </row>
    <row r="8" customFormat="false" ht="15" hidden="false" customHeight="false" outlineLevel="0" collapsed="false">
      <c r="A8" s="5" t="s">
        <v>31</v>
      </c>
      <c r="B8" s="7"/>
    </row>
    <row r="9" customFormat="false" ht="28.35" hidden="false" customHeight="false" outlineLevel="0" collapsed="false">
      <c r="A9" s="5" t="s">
        <v>32</v>
      </c>
      <c r="B9" s="7"/>
    </row>
    <row r="11" customFormat="false" ht="15" hidden="false" customHeight="false" outlineLevel="0" collapsed="false">
      <c r="A11" s="3" t="s">
        <v>33</v>
      </c>
      <c r="B11" s="8" t="n">
        <f aca="false">COUNTIF(B2:B9,"Yes")</f>
        <v>0</v>
      </c>
    </row>
    <row r="12" customFormat="false" ht="15" hidden="false" customHeight="false" outlineLevel="0" collapsed="false">
      <c r="A12" s="3" t="s">
        <v>34</v>
      </c>
      <c r="B12" s="8" t="str">
        <f aca="false">IF(COUNTA(B2:B9)&lt;8,"Complete the answers",IF(B11=8,"Ready for piloting",IF(B11&gt;=6,"Needs limited revision","Needs fundamental review")))</f>
        <v>Complete the answers</v>
      </c>
    </row>
  </sheetData>
  <dataValidations count="1">
    <dataValidation allowBlank="true" errorStyle="stop" operator="between" showDropDown="false" showErrorMessage="false" showInputMessage="false" sqref="B2:B9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5" min="2" style="0" width="20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false" outlineLevel="0" max="9" min="8" style="0" width="16"/>
    <col collapsed="false" customWidth="true" hidden="false" outlineLevel="0" max="10" min="10" style="0" width="22"/>
  </cols>
  <sheetData>
    <row r="1" customFormat="false" ht="15" hidden="false" customHeight="false" outlineLevel="0" collapsed="false">
      <c r="A1" s="3" t="s">
        <v>35</v>
      </c>
    </row>
    <row r="2" customFormat="false" ht="28.35" hidden="false" customHeight="false" outlineLevel="0" collapsed="false">
      <c r="B2" s="9" t="s">
        <v>36</v>
      </c>
      <c r="C2" s="9" t="s">
        <v>37</v>
      </c>
      <c r="D2" s="9" t="s">
        <v>38</v>
      </c>
      <c r="E2" s="9" t="s">
        <v>39</v>
      </c>
      <c r="F2" s="10" t="s">
        <v>40</v>
      </c>
    </row>
    <row r="3" customFormat="false" ht="15" hidden="false" customHeight="false" outlineLevel="0" collapsed="false">
      <c r="B3" s="11" t="n">
        <v>0.3</v>
      </c>
      <c r="C3" s="11" t="n">
        <v>0.25</v>
      </c>
      <c r="D3" s="11" t="n">
        <v>0.25</v>
      </c>
      <c r="E3" s="11" t="n">
        <v>0.2</v>
      </c>
      <c r="F3" s="12" t="n">
        <f aca="false">SUM(B3:E3)</f>
        <v>1</v>
      </c>
      <c r="G3" s="13" t="str">
        <f aca="false">IF(ROUND(F3,4)=1,"","The weights must total 100%")</f>
        <v/>
      </c>
    </row>
    <row r="5" customFormat="false" ht="28.35" hidden="false" customHeight="false" outlineLevel="0" collapsed="false">
      <c r="A5" s="4" t="s">
        <v>41</v>
      </c>
      <c r="B5" s="4" t="s">
        <v>36</v>
      </c>
      <c r="C5" s="4" t="s">
        <v>37</v>
      </c>
      <c r="D5" s="4" t="s">
        <v>38</v>
      </c>
      <c r="E5" s="4" t="s">
        <v>39</v>
      </c>
      <c r="F5" s="4" t="s">
        <v>42</v>
      </c>
      <c r="G5" s="4" t="s">
        <v>43</v>
      </c>
      <c r="H5" s="4" t="s">
        <v>44</v>
      </c>
      <c r="I5" s="4" t="s">
        <v>45</v>
      </c>
      <c r="J5" s="4" t="s">
        <v>46</v>
      </c>
    </row>
    <row r="6" customFormat="false" ht="15" hidden="false" customHeight="false" outlineLevel="0" collapsed="false">
      <c r="A6" s="14" t="s">
        <v>47</v>
      </c>
      <c r="B6" s="7" t="n">
        <v>4</v>
      </c>
      <c r="C6" s="7" t="n">
        <v>3</v>
      </c>
      <c r="D6" s="7" t="n">
        <v>4</v>
      </c>
      <c r="E6" s="7" t="n">
        <v>3</v>
      </c>
      <c r="F6" s="15" t="n">
        <f aca="false">SUMPRODUCT(B6:E6/4,$B$3:$E$3)</f>
        <v>0.8875</v>
      </c>
      <c r="G6" s="15" t="n">
        <f aca="false">SUM(B6:E6)/16</f>
        <v>0.875</v>
      </c>
      <c r="H6" s="16" t="n">
        <f aca="false">F6-G6</f>
        <v>0.0125</v>
      </c>
      <c r="I6" s="14" t="n">
        <f aca="false">RANK(F6,$F$6:$F$13,0)</f>
        <v>1</v>
      </c>
      <c r="J6" s="14" t="n">
        <f aca="false">RANK(G6,$G$6:$G$13,0)</f>
        <v>1</v>
      </c>
    </row>
    <row r="7" customFormat="false" ht="15" hidden="false" customHeight="false" outlineLevel="0" collapsed="false">
      <c r="A7" s="14" t="s">
        <v>48</v>
      </c>
      <c r="B7" s="7" t="n">
        <v>2</v>
      </c>
      <c r="C7" s="7" t="n">
        <v>2</v>
      </c>
      <c r="D7" s="7" t="n">
        <v>2</v>
      </c>
      <c r="E7" s="7" t="n">
        <v>4</v>
      </c>
      <c r="F7" s="15" t="n">
        <f aca="false">SUMPRODUCT(B7:E7/4,$B$3:$E$3)</f>
        <v>0.6</v>
      </c>
      <c r="G7" s="15" t="n">
        <f aca="false">SUM(B7:E7)/16</f>
        <v>0.625</v>
      </c>
      <c r="H7" s="16" t="n">
        <f aca="false">F7-G7</f>
        <v>-0.025</v>
      </c>
      <c r="I7" s="14" t="n">
        <f aca="false">RANK(F7,$F$6:$F$13,0)</f>
        <v>6</v>
      </c>
      <c r="J7" s="14" t="n">
        <f aca="false">RANK(G7,$G$6:$G$13,0)</f>
        <v>5</v>
      </c>
    </row>
    <row r="8" customFormat="false" ht="15" hidden="false" customHeight="false" outlineLevel="0" collapsed="false">
      <c r="A8" s="14" t="s">
        <v>49</v>
      </c>
      <c r="B8" s="7" t="n">
        <v>3</v>
      </c>
      <c r="C8" s="7" t="n">
        <v>4</v>
      </c>
      <c r="D8" s="7" t="n">
        <v>3</v>
      </c>
      <c r="E8" s="7" t="n">
        <v>2</v>
      </c>
      <c r="F8" s="15" t="n">
        <f aca="false">SUMPRODUCT(B8:E8/4,$B$3:$E$3)</f>
        <v>0.7625</v>
      </c>
      <c r="G8" s="15" t="n">
        <f aca="false">SUM(B8:E8)/16</f>
        <v>0.75</v>
      </c>
      <c r="H8" s="16" t="n">
        <f aca="false">F8-G8</f>
        <v>0.0125</v>
      </c>
      <c r="I8" s="14" t="n">
        <f aca="false">RANK(F8,$F$6:$F$13,0)</f>
        <v>2</v>
      </c>
      <c r="J8" s="14" t="n">
        <f aca="false">RANK(G8,$G$6:$G$13,0)</f>
        <v>2</v>
      </c>
    </row>
    <row r="9" customFormat="false" ht="15" hidden="false" customHeight="false" outlineLevel="0" collapsed="false">
      <c r="A9" s="14" t="s">
        <v>50</v>
      </c>
      <c r="B9" s="7" t="n">
        <v>1</v>
      </c>
      <c r="C9" s="7" t="n">
        <v>2</v>
      </c>
      <c r="D9" s="7" t="n">
        <v>1</v>
      </c>
      <c r="E9" s="7" t="n">
        <v>4</v>
      </c>
      <c r="F9" s="15" t="n">
        <f aca="false">SUMPRODUCT(B9:E9/4,$B$3:$E$3)</f>
        <v>0.4625</v>
      </c>
      <c r="G9" s="15" t="n">
        <f aca="false">SUM(B9:E9)/16</f>
        <v>0.5</v>
      </c>
      <c r="H9" s="16" t="n">
        <f aca="false">F9-G9</f>
        <v>-0.0375</v>
      </c>
      <c r="I9" s="14" t="n">
        <f aca="false">RANK(F9,$F$6:$F$13,0)</f>
        <v>7</v>
      </c>
      <c r="J9" s="14" t="n">
        <f aca="false">RANK(G9,$G$6:$G$13,0)</f>
        <v>7</v>
      </c>
    </row>
    <row r="10" customFormat="false" ht="15" hidden="false" customHeight="false" outlineLevel="0" collapsed="false">
      <c r="A10" s="14" t="s">
        <v>51</v>
      </c>
      <c r="B10" s="7" t="n">
        <v>3</v>
      </c>
      <c r="C10" s="7" t="n">
        <v>3</v>
      </c>
      <c r="D10" s="7" t="n">
        <v>3</v>
      </c>
      <c r="E10" s="7" t="n">
        <v>3</v>
      </c>
      <c r="F10" s="15" t="n">
        <f aca="false">SUMPRODUCT(B10:E10/4,$B$3:$E$3)</f>
        <v>0.75</v>
      </c>
      <c r="G10" s="15" t="n">
        <f aca="false">SUM(B10:E10)/16</f>
        <v>0.75</v>
      </c>
      <c r="H10" s="16" t="n">
        <f aca="false">F10-G10</f>
        <v>0</v>
      </c>
      <c r="I10" s="14" t="n">
        <f aca="false">RANK(F10,$F$6:$F$13,0)</f>
        <v>3</v>
      </c>
      <c r="J10" s="14" t="n">
        <f aca="false">RANK(G10,$G$6:$G$13,0)</f>
        <v>2</v>
      </c>
    </row>
    <row r="11" customFormat="false" ht="15" hidden="false" customHeight="false" outlineLevel="0" collapsed="false">
      <c r="A11" s="14" t="s">
        <v>52</v>
      </c>
      <c r="B11" s="7" t="n">
        <v>4</v>
      </c>
      <c r="C11" s="7" t="n">
        <v>4</v>
      </c>
      <c r="D11" s="7" t="n">
        <v>2</v>
      </c>
      <c r="E11" s="7" t="n">
        <v>1</v>
      </c>
      <c r="F11" s="15" t="n">
        <f aca="false">SUMPRODUCT(B11:E11/4,$B$3:$E$3)</f>
        <v>0.725</v>
      </c>
      <c r="G11" s="15" t="n">
        <f aca="false">SUM(B11:E11)/16</f>
        <v>0.6875</v>
      </c>
      <c r="H11" s="16" t="n">
        <f aca="false">F11-G11</f>
        <v>0.0375</v>
      </c>
      <c r="I11" s="14" t="n">
        <f aca="false">RANK(F11,$F$6:$F$13,0)</f>
        <v>4</v>
      </c>
      <c r="J11" s="14" t="n">
        <f aca="false">RANK(G11,$G$6:$G$13,0)</f>
        <v>4</v>
      </c>
    </row>
    <row r="12" customFormat="false" ht="15" hidden="false" customHeight="false" outlineLevel="0" collapsed="false">
      <c r="A12" s="14" t="s">
        <v>53</v>
      </c>
      <c r="B12" s="7" t="n">
        <v>2</v>
      </c>
      <c r="C12" s="7" t="n">
        <v>3</v>
      </c>
      <c r="D12" s="7" t="n">
        <v>3</v>
      </c>
      <c r="E12" s="7" t="n">
        <v>2</v>
      </c>
      <c r="F12" s="15" t="n">
        <f aca="false">SUMPRODUCT(B12:E12/4,$B$3:$E$3)</f>
        <v>0.625</v>
      </c>
      <c r="G12" s="15" t="n">
        <f aca="false">SUM(B12:E12)/16</f>
        <v>0.625</v>
      </c>
      <c r="H12" s="16" t="n">
        <f aca="false">F12-G12</f>
        <v>0</v>
      </c>
      <c r="I12" s="14" t="n">
        <f aca="false">RANK(F12,$F$6:$F$13,0)</f>
        <v>5</v>
      </c>
      <c r="J12" s="14" t="n">
        <f aca="false">RANK(G12,$G$6:$G$13,0)</f>
        <v>5</v>
      </c>
    </row>
    <row r="13" customFormat="false" ht="15" hidden="false" customHeight="false" outlineLevel="0" collapsed="false">
      <c r="A13" s="14" t="s">
        <v>54</v>
      </c>
      <c r="B13" s="7" t="n">
        <v>1</v>
      </c>
      <c r="C13" s="7" t="n">
        <v>1</v>
      </c>
      <c r="D13" s="7" t="n">
        <v>2</v>
      </c>
      <c r="E13" s="7" t="n">
        <v>2</v>
      </c>
      <c r="F13" s="15" t="n">
        <f aca="false">SUMPRODUCT(B13:E13/4,$B$3:$E$3)</f>
        <v>0.3625</v>
      </c>
      <c r="G13" s="15" t="n">
        <f aca="false">SUM(B13:E13)/16</f>
        <v>0.375</v>
      </c>
      <c r="H13" s="16" t="n">
        <f aca="false">F13-G13</f>
        <v>-0.0125</v>
      </c>
      <c r="I13" s="14" t="n">
        <f aca="false">RANK(F13,$F$6:$F$13,0)</f>
        <v>8</v>
      </c>
      <c r="J13" s="14" t="n">
        <f aca="false">RANK(G13,$G$6:$G$13,0)</f>
        <v>8</v>
      </c>
    </row>
  </sheetData>
  <conditionalFormatting sqref="H6:H13">
    <cfRule type="expression" priority="2" aboveAverage="0" equalAverage="0" bottom="0" percent="0" rank="0" text="" dxfId="0">
      <formula>ABS(H6)&gt;=0.03</formula>
    </cfRule>
  </conditionalFormatting>
  <dataValidations count="1">
    <dataValidation allowBlank="true" errorStyle="stop" operator="between" showDropDown="false" showErrorMessage="false" showInputMessage="false" sqref="B6:E13" type="whole">
      <formula1>1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2026-10-15T03:58:19Z</dcterms:created>
  <dc:creator>openpyxl</dc:creator>
  <dc:description/>
  <dc:language>en-US</dc:language>
  <cp:lastModifiedBy/>
  <dcterms:modified xsi:type="dcterms:W3CDTF">2026-10-15T03:58:19Z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